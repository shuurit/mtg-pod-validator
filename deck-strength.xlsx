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<sst xmlns="http://schemas.openxmlformats.org/spreadsheetml/2006/main" count="923" uniqueCount="181">
  <si>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</si>
  <si>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</si>
  <si>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</si>
  <si>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</si>
  <si>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</si>
  <si>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</si>
  <si>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</si>
  <si>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</si>
  <si>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</si>
  <si>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</si>
  <si>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</si>
  <si>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</si>
  <si>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</si>
  <si>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</si>
  <si>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</si>
  <si>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</si>
  <si>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</si>
  <si>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</si>
  <si>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</si>
  <si>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</si>
  <si>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</si>
  <si>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</si>
  <si>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</si>
  <si>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</si>
  <si>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</si>
  <si>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</si>
  <si>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</si>
  <si>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</si>
  <si>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</si>
  <si>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</si>
  <si>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</si>
  <si>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</si>
  <si>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</si>
  <si>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</si>
  <si>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</si>
  <si>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</si>
  <si>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</si>
  <si>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</si>
  <si>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</si>
  <si>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</si>
  <si>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</si>
  <si>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</si>
  <si>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</si>
  <si>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</si>
  <si>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</si>
  <si>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</si>
  <si>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</si>
  <si>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</si>
  <si>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</si>
  <si>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</si>
  <si>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</si>
  <si>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</si>
  <si>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</si>
  <si>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</si>
  <si>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</si>
  <si>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</si>
  <si>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</si>
  <si>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</si>
  <si>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</si>
  <si>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</si>
  <si>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</si>
  <si>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</si>
  <si>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</si>
  <si>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</si>
  <si>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</si>
  <si>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</si>
  <si>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</si>
  <si>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</si>
  <si>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</si>
  <si>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</si>
  <si>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</si>
  <si>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</si>
  <si>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</si>
  <si>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</si>
  <si>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</si>
  <si>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</si>
  <si>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</si>
  <si>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</si>
  <si>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</si>
  <si>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</si>
  <si>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</si>
  <si>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</si>
  <si>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</si>
  <si>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</si>
  <si>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</si>
  <si>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</si>
  <si>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</si>
  <si>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</si>
  <si>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</si>
  <si>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</si>
  <si>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</si>
  <si>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Playgroup Game ID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</si>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</sst>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  <c r="Y1" s="6" t="s">
        <v>91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  <c r="Y2" s="13" t="s">
        <v>91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  <c r="Y3" s="1" t="n">
        <v>767378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  <c r="Y4" s="1" t="n">
        <v>767378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92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  <c r="Y5" s="1" t="n">
        <v>767378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  <c r="Y6" s="1" t="n">
        <v>767378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  <c r="Y7" s="1" t="n">
        <v>767378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  <c r="Y8" s="1" t="n">
        <v>773832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  <c r="Y9" s="1" t="n">
        <v>773832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  <c r="Y10" s="1" t="n">
        <v>773832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  <c r="Y11" s="1" t="n">
        <v>773832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  <c r="Y12" s="1" t="n">
        <v>774108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  <c r="Y13" s="1" t="n">
        <v>774108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  <c r="Y14" s="1" t="n">
        <v>774108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  <c r="Y15" s="1" t="n">
        <v>774108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  <c r="Y16" s="1" t="n">
        <v>774418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  <c r="Y17" s="1" t="n">
        <v>774418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  <c r="Y18" s="1" t="n">
        <v>774418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  <c r="Y19" s="1" t="n">
        <v>787397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  <c r="Y20" s="1" t="n">
        <v>787397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  <c r="Y21" s="1" t="n">
        <v>787397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92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  <c r="Y22" s="1" t="n">
        <v>787397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93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  <c r="Y23" s="1" t="n">
        <v>823975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  <c r="Y24" s="1" t="n">
        <v>823975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92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  <c r="Y25" s="1" t="n">
        <v>823975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  <c r="Y26" s="1" t="n">
        <v>823975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94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  <c r="Y27" s="1" t="n">
        <v>823975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  <c r="Y28" s="1" t="n">
        <v>824881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95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  <c r="Y29" s="1" t="n">
        <v>824881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  <c r="Y30" s="1" t="n">
        <v>824881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  <c r="Y31" s="1" t="n">
        <v>824881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  <c r="Y32" s="1" t="n">
        <v>848075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96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  <c r="Y33" s="1" t="n">
        <v>848075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  <c r="Y34" s="1" t="n">
        <v>848075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  <c r="Y35" s="1" t="n">
        <v>862064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  <c r="Y36" s="1" t="n">
        <v>862064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93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  <c r="Y37" s="1" t="n">
        <v>862064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97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  <c r="Y38" s="1" t="n">
        <v>862064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  <c r="Y39" s="1" t="n">
        <v>863208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92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  <c r="Y40" s="1" t="n">
        <v>863208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98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  <c r="Y41" s="1" t="n">
        <v>863208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95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  <c r="Y42" s="1" t="n">
        <v>868917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  <c r="Y43" s="1" t="n">
        <v>868917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  <c r="Y44" s="1" t="n">
        <v>868917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93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  <c r="Y45" s="1" t="n">
        <v>869357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92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  <c r="Y46" s="1" t="n">
        <v>869357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  <c r="Y47" s="1" t="n">
        <v>869357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98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  <c r="Y48" s="1" t="n">
        <v>869611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  <c r="Y49" s="1" t="n">
        <v>869611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  <c r="Y50" s="1" t="n">
        <v>869611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92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  <c r="Y51" s="1" t="n">
        <v>913140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  <c r="Y52" s="1" t="n">
        <v>913140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  <c r="Y53" s="1" t="n">
        <v>913140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99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  <c r="Y54" s="1" t="n">
        <v>944159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  <c r="Y55" s="1" t="n">
        <v>944159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100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3</v>
      </c>
      <c r="X56" s="15" t="n">
        <f aca="false">((O56*0.3)+(Q56*0.175)+(R56*0.175)+(U56*0.175)+((1-V56)*0.175))+W56</f>
        <v>2.89916666666667</v>
      </c>
      <c r="Y56" s="1" t="n">
        <v>944159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95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  <c r="Y57" s="1" t="n">
        <v>944159</v>
      </c>
    </row>
    <row r="58" customFormat="false" ht="14.25" hidden="false" customHeight="true" outlineLevel="0" collapsed="false">
      <c r="A58" s="40" t="n">
        <v>46242</v>
      </c>
      <c r="B58" s="22" t="n">
        <v>16</v>
      </c>
      <c r="C58" s="22" t="s">
        <v>26</v>
      </c>
      <c r="D58" s="22" t="s">
        <v>75</v>
      </c>
      <c r="E58" s="15" t="n">
        <v>2.30388888888889</v>
      </c>
      <c r="F58" s="22" t="n">
        <v>0</v>
      </c>
      <c r="G58" s="22" t="n">
        <v>2</v>
      </c>
      <c r="H58" s="22" t="n">
        <v>4</v>
      </c>
      <c r="I58" s="22" t="n">
        <v>0</v>
      </c>
      <c r="J58" s="22" t="n">
        <f aca="false">F58-(1/H58)</f>
        <v>-0.25</v>
      </c>
      <c r="K58" s="22" t="n">
        <f aca="false">((I58-((H58-1)/H58))-(-5/6))/((5-(5/6))-(-5/6))</f>
        <v>0.0166666666666667</v>
      </c>
      <c r="L58" s="22" t="n">
        <f aca="false">E58-((E59+E60+E61)/3)</f>
        <v>-0.62273148148148</v>
      </c>
      <c r="M58" s="17" t="n">
        <f aca="false">0.5+(L58*0.09)</f>
        <v>0.443954166666667</v>
      </c>
      <c r="N58" s="22" t="n">
        <f aca="false">((H58-(G58-1))/H58)*(IF(I58&lt;&gt;0,(I58+H58)/H58,1))</f>
        <v>0.75</v>
      </c>
      <c r="O58" s="26" t="n">
        <f aca="false">(N58-(1/6))/(10/6)</f>
        <v>0.35</v>
      </c>
      <c r="P58" s="22" t="n">
        <v>9</v>
      </c>
      <c r="Q58" s="26" t="n">
        <f aca="false">IF(F58=1,(((1-((P58-3)/15))*0.5)+0.5),((P58/18)*0.5))</f>
        <v>0.25</v>
      </c>
      <c r="R58" s="22" t="n">
        <v>0</v>
      </c>
      <c r="S58" s="22" t="n">
        <v>0</v>
      </c>
      <c r="T58" s="22" t="n">
        <v>0</v>
      </c>
      <c r="U58" s="26" t="n">
        <f aca="false">IFERROR(T58/S58, 1)</f>
        <v>1</v>
      </c>
      <c r="V58" s="27" t="n">
        <v>1</v>
      </c>
      <c r="W58" s="24" t="n">
        <v>2</v>
      </c>
      <c r="X58" s="15" t="n">
        <f aca="false">((O58*0.3)+(Q58*0.175)+(R58*0.175)+(U58*0.175)+((1-V58)*0.175))+W58</f>
        <v>2.32375</v>
      </c>
      <c r="Y58" s="1" t="n">
        <v>945272</v>
      </c>
    </row>
    <row r="59" customFormat="false" ht="14.25" hidden="false" customHeight="true" outlineLevel="0" collapsed="false">
      <c r="A59" s="40" t="n">
        <v>46242</v>
      </c>
      <c r="B59" s="22" t="n">
        <v>16</v>
      </c>
      <c r="C59" s="22" t="s">
        <v>28</v>
      </c>
      <c r="D59" s="22" t="s">
        <v>92</v>
      </c>
      <c r="E59" s="15" t="n">
        <v>2.94083333333333</v>
      </c>
      <c r="F59" s="22" t="n">
        <v>0</v>
      </c>
      <c r="G59" s="22" t="n">
        <v>4</v>
      </c>
      <c r="H59" s="22" t="n">
        <v>4</v>
      </c>
      <c r="I59" s="22" t="n">
        <v>0</v>
      </c>
      <c r="J59" s="22" t="n">
        <f aca="false">F59-(1/H59)</f>
        <v>-0.25</v>
      </c>
      <c r="K59" s="22" t="n">
        <f aca="false">((I59-((H59-1)/H59))-(-5/6))/((5-(5/6))-(-5/6))</f>
        <v>0.0166666666666667</v>
      </c>
      <c r="L59" s="22" t="n">
        <f aca="false">E59-((E58+E60+E61)/3)</f>
        <v>0.226527777777773</v>
      </c>
      <c r="M59" s="17" t="n">
        <f aca="false">0.5+(L59*0.09)</f>
        <v>0.5203875</v>
      </c>
      <c r="N59" s="22" t="n">
        <f aca="false">((H59-(G59-1))/H59)*(IF(I59&lt;&gt;0,(I59+H59)/H59,1))</f>
        <v>0.25</v>
      </c>
      <c r="O59" s="26" t="n">
        <f aca="false">(N59-(1/6))/(10/6)</f>
        <v>0.05</v>
      </c>
      <c r="P59" s="22" t="n">
        <v>8</v>
      </c>
      <c r="Q59" s="26" t="n">
        <f aca="false">IF(F59=1,(((1-((P59-3)/15))*0.5)+0.5),((P59/18)*0.5))</f>
        <v>0.222222222222222</v>
      </c>
      <c r="R59" s="22" t="n">
        <v>0</v>
      </c>
      <c r="S59" s="22" t="n">
        <v>0</v>
      </c>
      <c r="T59" s="22" t="n">
        <v>0</v>
      </c>
      <c r="U59" s="26" t="n">
        <f aca="false">IFERROR(T59/S59, 1)</f>
        <v>1</v>
      </c>
      <c r="V59" s="27" t="n">
        <v>1</v>
      </c>
      <c r="W59" s="24" t="n">
        <v>2</v>
      </c>
      <c r="X59" s="15" t="n">
        <f aca="false">((O59*0.3)+(Q59*0.175)+(R59*0.175)+(U59*0.175)+((1-V59)*0.175))+W59</f>
        <v>2.22888888888889</v>
      </c>
      <c r="Y59" s="1" t="n">
        <v>945272</v>
      </c>
    </row>
    <row r="60" customFormat="false" ht="14.25" hidden="false" customHeight="true" outlineLevel="0" collapsed="false">
      <c r="A60" s="40" t="n">
        <v>46242</v>
      </c>
      <c r="B60" s="22" t="n">
        <v>16</v>
      </c>
      <c r="C60" s="22" t="s">
        <v>30</v>
      </c>
      <c r="D60" s="22" t="s">
        <v>81</v>
      </c>
      <c r="E60" s="15" t="n">
        <v>2.6</v>
      </c>
      <c r="F60" s="22" t="n">
        <v>1</v>
      </c>
      <c r="G60" s="22" t="n">
        <v>1</v>
      </c>
      <c r="H60" s="22" t="n">
        <v>4</v>
      </c>
      <c r="I60" s="22" t="n">
        <v>2</v>
      </c>
      <c r="J60" s="22" t="n">
        <f aca="false">F60-(1/H60)</f>
        <v>0.75</v>
      </c>
      <c r="K60" s="22" t="n">
        <f aca="false">((I60-((H60-1)/H60))-(-5/6))/((5-(5/6))-(-5/6))</f>
        <v>0.416666666666667</v>
      </c>
      <c r="L60" s="22" t="n">
        <f aca="false">E60-((E58+E59+E61)/3)</f>
        <v>-0.227916666666667</v>
      </c>
      <c r="M60" s="17" t="n">
        <f aca="false">0.5+(L60*0.09)</f>
        <v>0.4794875</v>
      </c>
      <c r="N60" s="22" t="n">
        <f aca="false">((H60-(G60-1))/H60)*(IF(I60&lt;&gt;0,(I60+H60)/H60,1))</f>
        <v>1.5</v>
      </c>
      <c r="O60" s="26" t="n">
        <f aca="false">(N60-(1/6))/(10/6)</f>
        <v>0.8</v>
      </c>
      <c r="P60" s="22" t="n">
        <v>9</v>
      </c>
      <c r="Q60" s="26" t="n">
        <f aca="false">IF(F60=1,(((1-((P60-3)/15))*0.5)+0.5),((P60/18)*0.5))</f>
        <v>0.8</v>
      </c>
      <c r="R60" s="22" t="n">
        <v>1</v>
      </c>
      <c r="S60" s="22" t="n">
        <v>0</v>
      </c>
      <c r="T60" s="22" t="n">
        <v>0</v>
      </c>
      <c r="U60" s="26" t="n">
        <f aca="false">IFERROR(T60/S60, 1)</f>
        <v>1</v>
      </c>
      <c r="V60" s="27" t="n">
        <v>0</v>
      </c>
      <c r="W60" s="24" t="n">
        <v>2</v>
      </c>
      <c r="X60" s="15" t="n">
        <f aca="false">((O60*0.3)+(Q60*0.175)+(R60*0.175)+(U60*0.175)+((1-V60)*0.175))+W60</f>
        <v>2.905</v>
      </c>
      <c r="Y60" s="1" t="n">
        <v>945272</v>
      </c>
    </row>
    <row r="61" customFormat="false" ht="14.25" hidden="false" customHeight="true" outlineLevel="0" collapsed="false">
      <c r="A61" s="40" t="n">
        <v>46242</v>
      </c>
      <c r="B61" s="22" t="n">
        <v>16</v>
      </c>
      <c r="C61" s="22" t="s">
        <v>32</v>
      </c>
      <c r="D61" s="22" t="s">
        <v>54</v>
      </c>
      <c r="E61" s="15" t="n">
        <v>3.23902777777778</v>
      </c>
      <c r="F61" s="22" t="n">
        <v>0</v>
      </c>
      <c r="G61" s="22" t="n">
        <v>3</v>
      </c>
      <c r="H61" s="22" t="n">
        <v>4</v>
      </c>
      <c r="I61" s="22" t="n">
        <v>1</v>
      </c>
      <c r="J61" s="22" t="n">
        <f aca="false">F61-(1/H61)</f>
        <v>-0.25</v>
      </c>
      <c r="K61" s="22" t="n">
        <f aca="false">((I61-((H61-1)/H61))-(-5/6))/((5-(5/6))-(-5/6))</f>
        <v>0.216666666666667</v>
      </c>
      <c r="L61" s="22" t="n">
        <f aca="false">E61-((E58+E59+E60)/3)</f>
        <v>0.624120370370374</v>
      </c>
      <c r="M61" s="17" t="n">
        <f aca="false">0.5+(L61*0.09)</f>
        <v>0.556170833333334</v>
      </c>
      <c r="N61" s="22" t="n">
        <f aca="false">((H61-(G61-1))/H61)*(IF(I61&lt;&gt;0,(I61+H61)/H61,1))</f>
        <v>0.625</v>
      </c>
      <c r="O61" s="26" t="n">
        <f aca="false">(N61-(1/6))/(10/6)</f>
        <v>0.275</v>
      </c>
      <c r="P61" s="22" t="n">
        <v>8</v>
      </c>
      <c r="Q61" s="26" t="n">
        <f aca="false">IF(F61=1,(((1-((P61-3)/15))*0.5)+0.5),((P61/18)*0.5))</f>
        <v>0.222222222222222</v>
      </c>
      <c r="R61" s="22" t="n">
        <v>0</v>
      </c>
      <c r="S61" s="22" t="n">
        <v>0</v>
      </c>
      <c r="T61" s="22" t="n">
        <v>0</v>
      </c>
      <c r="U61" s="26" t="n">
        <f aca="false">IFERROR(T61/S61, 1)</f>
        <v>1</v>
      </c>
      <c r="V61" s="27" t="n">
        <v>0</v>
      </c>
      <c r="W61" s="24" t="n">
        <v>3</v>
      </c>
      <c r="X61" s="15" t="n">
        <f aca="false">((O61*0.3)+(Q61*0.175)+(R61*0.175)+(U61*0.175)+((1-V61)*0.175))+W61</f>
        <v>3.47138888888889</v>
      </c>
      <c r="Y61" s="1" t="n">
        <v>945272</v>
      </c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101</v>
      </c>
      <c r="B1" s="44" t="s">
        <v>102</v>
      </c>
      <c r="C1" s="45"/>
      <c r="D1" s="44" t="s">
        <v>103</v>
      </c>
      <c r="E1" s="46" t="s">
        <v>104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2.76211111111111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105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106</v>
      </c>
      <c r="D4" s="48" t="n">
        <v>3.7</v>
      </c>
      <c r="E4" s="46" t="s">
        <v>107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2.32375</v>
      </c>
      <c r="C5" s="45"/>
      <c r="D5" s="48" t="n">
        <v>2.3</v>
      </c>
      <c r="E5" s="46" t="s">
        <v>108</v>
      </c>
    </row>
    <row r="6" customFormat="false" ht="14.25" hidden="false" customHeight="true" outlineLevel="0" collapsed="false">
      <c r="A6" s="48" t="s">
        <v>96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100</v>
      </c>
      <c r="B7" s="48" t="n">
        <f aca="false">IFERROR(LOOKUP(2,1/(('Game Log Season 3'!$C$3:$C$1000="Becca")*('Game Log Season 3'!$D$3:$D$1000=A7)*('Game Log Season 3'!$X$3:$X$1000&lt;&gt;"")),'Game Log Season 3'!$X$3:$X$1000), D7)</f>
        <v>2.89916666666667</v>
      </c>
      <c r="C7" s="45" t="inlineStr">
        <is>
          <t>*Bracket 3</t>
        </is>
      </c>
      <c r="D7" s="48" t="n">
        <v>2</v>
      </c>
      <c r="E7" s="46" t="s">
        <v>110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3.33883547008547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111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112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113</v>
      </c>
      <c r="D11" s="48" t="n">
        <v>3.4</v>
      </c>
      <c r="E11" s="46" t="s">
        <v>114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115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106</v>
      </c>
      <c r="D13" s="48" t="n">
        <v>3.5</v>
      </c>
      <c r="E13" s="46" t="s">
        <v>116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117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118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119</v>
      </c>
    </row>
    <row r="17" customFormat="false" ht="14.25" hidden="false" customHeight="true" outlineLevel="0" collapsed="false">
      <c r="A17" s="48" t="s">
        <v>92</v>
      </c>
      <c r="B17" s="48" t="n">
        <f aca="false">IFERROR(LOOKUP(2,1/(('Game Log Season 3'!$C$3:$C$1000="Manny")*('Game Log Season 3'!$D$3:$D$1000=A17)*('Game Log Season 3'!$X$3:$X$1000&lt;&gt;"")),'Game Log Season 3'!$X$3:$X$1000), D17)</f>
        <v>2.22888888888889</v>
      </c>
      <c r="C17" s="45"/>
      <c r="D17" s="48" t="n">
        <v>2.3</v>
      </c>
      <c r="E17" s="46" t="s">
        <v>120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121</v>
      </c>
    </row>
    <row r="19" customFormat="false" ht="14.25" hidden="false" customHeight="true" outlineLevel="0" collapsed="false">
      <c r="A19" s="48" t="s">
        <v>122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123</v>
      </c>
    </row>
    <row r="20" customFormat="false" ht="14.25" hidden="false" customHeight="true" outlineLevel="0" collapsed="false">
      <c r="A20" s="48" t="s">
        <v>124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125</v>
      </c>
    </row>
    <row r="21" customFormat="false" ht="14.25" hidden="false" customHeight="true" outlineLevel="0" collapsed="false">
      <c r="A21" s="48" t="s">
        <v>99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126</v>
      </c>
      <c r="D21" s="48" t="n">
        <v>3</v>
      </c>
      <c r="E21" s="46" t="s">
        <v>127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3.23713235294118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128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129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130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131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106</v>
      </c>
      <c r="D27" s="48" t="n">
        <v>3.9</v>
      </c>
      <c r="E27" s="46" t="s">
        <v>132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2.905</v>
      </c>
      <c r="C29" s="45"/>
      <c r="D29" s="48" t="n">
        <v>2.6</v>
      </c>
      <c r="E29" s="46" t="s">
        <v>133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126</v>
      </c>
      <c r="D30" s="48" t="n">
        <v>3.6</v>
      </c>
      <c r="E30" s="46" t="s">
        <v>134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135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136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137</v>
      </c>
    </row>
    <row r="34" customFormat="false" ht="14.25" hidden="false" customHeight="true" outlineLevel="0" collapsed="false">
      <c r="A34" s="48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138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139</v>
      </c>
      <c r="D35" s="49" t="n">
        <v>3.9</v>
      </c>
      <c r="E35" s="46" t="s">
        <v>140</v>
      </c>
    </row>
    <row r="36" customFormat="false" ht="14.25" hidden="false" customHeight="true" outlineLevel="0" collapsed="false">
      <c r="A36" s="48" t="s">
        <v>141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142</v>
      </c>
    </row>
    <row r="37" customFormat="false" ht="14.25" hidden="false" customHeight="true" outlineLevel="0" collapsed="false">
      <c r="A37" s="48" t="s">
        <v>94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143</v>
      </c>
    </row>
    <row r="38" customFormat="false" ht="14.25" hidden="false" customHeight="true" outlineLevel="0" collapsed="false">
      <c r="A38" s="48" t="s">
        <v>144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145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146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3.31878174603175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147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148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149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150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151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152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3.47138888888889</v>
      </c>
      <c r="C47" s="45"/>
      <c r="D47" s="48" t="n">
        <v>3.6</v>
      </c>
      <c r="E47" s="46" t="s">
        <v>153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154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95</v>
      </c>
      <c r="B50" s="48" t="n">
        <f aca="false">IFERROR(LOOKUP(2,1/(('Game Log Season 3'!$C$3:$C$1000="Ryan")*('Game Log Season 3'!$D$3:$D$1000=A50)*('Game Log Season 3'!$X$3:$X$1000&lt;&gt;"")),'Game Log Season 3'!$X$3:$X$1000), D50)</f>
        <v>2.48111111111111</v>
      </c>
      <c r="C50" s="45"/>
      <c r="D50" s="48" t="n">
        <v>2.9</v>
      </c>
      <c r="E50" s="46" t="s">
        <v>155</v>
      </c>
    </row>
    <row r="51" customFormat="false" ht="14.25" hidden="false" customHeight="true" outlineLevel="0" collapsed="false">
      <c r="A51" s="48" t="s">
        <v>98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156</v>
      </c>
    </row>
    <row r="52" customFormat="false" ht="14.25" hidden="false" customHeight="true" outlineLevel="0" collapsed="false">
      <c r="A52" s="48" t="s">
        <v>157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158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159</v>
      </c>
    </row>
    <row r="54" customFormat="false" ht="14.25" hidden="false" customHeight="true" outlineLevel="0" collapsed="false">
      <c r="A54" s="48" t="s">
        <v>160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161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126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126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139</v>
      </c>
      <c r="D59" s="48" t="n">
        <v>3.9</v>
      </c>
    </row>
    <row r="60" customFormat="false" ht="14.25" hidden="false" customHeight="true" outlineLevel="0" collapsed="false">
      <c r="A60" s="48" t="s">
        <v>94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162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163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164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165</v>
      </c>
    </row>
    <row r="74" customFormat="false" ht="14.25" hidden="false" customHeight="true" outlineLevel="0" collapsed="false">
      <c r="A74" s="48" t="s">
        <v>97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166</v>
      </c>
      <c r="B1" s="44" t="s">
        <v>167</v>
      </c>
      <c r="C1" s="44" t="s">
        <v>168</v>
      </c>
      <c r="D1" s="44" t="s">
        <v>169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9</v>
      </c>
      <c r="C2" s="47" t="n">
        <f aca="false">COUNTIFS('Game Log Season 3'!$C$3:$C$1000,A2,'Game Log Season 3'!$F$3:$F$1000,1)</f>
        <v>3</v>
      </c>
      <c r="D2" s="47" t="n">
        <f aca="false">IFERROR(C2/B2,0)</f>
        <v>0.333333333333333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4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0.25</v>
      </c>
    </row>
    <row r="6" customFormat="false" ht="14.25" hidden="false" customHeight="true" outlineLevel="0" collapsed="false">
      <c r="A6" s="48" t="s">
        <v>96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100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16</v>
      </c>
      <c r="C8" s="47" t="n">
        <f aca="false">COUNTIFS('Game Log Season 3'!$C$3:$C$1000,A8,'Game Log Season 3'!$F$3:$F$1000,1)</f>
        <v>4</v>
      </c>
      <c r="D8" s="47" t="n">
        <f aca="false">IFERROR(C8/B8,0)</f>
        <v>0.25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92</v>
      </c>
      <c r="B17" s="48" t="n">
        <f aca="false">COUNTIFS('Game Log Season 3'!$C$3:$C$1000,"Manny",'Game Log Season 3'!$D$3:$D$1000,A17)</f>
        <v>7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0.142857142857143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122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124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99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14</v>
      </c>
      <c r="C22" s="47" t="n">
        <f aca="false">COUNTIFS('Game Log Season 3'!$C$3:$C$1000,A22,'Game Log Season 3'!$F$3:$F$1000,1)</f>
        <v>6</v>
      </c>
      <c r="D22" s="47" t="n">
        <f aca="false">IFERROR(C22/B22,0)</f>
        <v>0.428571428571429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1</v>
      </c>
      <c r="C29" s="48" t="n">
        <f aca="false">COUNTIFS('Game Log Season 3'!$C$3:$C$1000,"Mateo",'Game Log Season 3'!$D$3:$D$1000,A29,'Game Log Season 3'!$F$3:$F$1000,1)</f>
        <v>1</v>
      </c>
      <c r="D29" s="48" t="n">
        <f aca="false">IFERROR(C29/B29,0)</f>
        <v>1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93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141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94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144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13</v>
      </c>
      <c r="C40" s="47" t="n">
        <f aca="false">COUNTIFS('Game Log Season 3'!$C$3:$C$1000,A40,'Game Log Season 3'!$F$3:$F$1000,1)</f>
        <v>3</v>
      </c>
      <c r="D40" s="47" t="n">
        <f aca="false">IFERROR(C40/B40,0)</f>
        <v>0.230769230769231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3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95</v>
      </c>
      <c r="B50" s="48" t="n">
        <f aca="false">COUNTIFS('Game Log Season 3'!$C$3:$C$1000,"Ryan",'Game Log Season 3'!$D$3:$D$1000,A50)</f>
        <v>3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0.333333333333333</v>
      </c>
    </row>
    <row r="51" customFormat="false" ht="14.25" hidden="false" customHeight="true" outlineLevel="0" collapsed="false">
      <c r="A51" s="48" t="s">
        <v>98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157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160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94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97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170</v>
      </c>
      <c r="B1" s="50" t="s">
        <v>171</v>
      </c>
      <c r="C1" s="50" t="s">
        <v>172</v>
      </c>
      <c r="D1" s="50" t="s">
        <v>173</v>
      </c>
      <c r="E1" s="50" t="s">
        <v>169</v>
      </c>
      <c r="F1" s="50" t="s">
        <v>174</v>
      </c>
      <c r="G1" s="50" t="s">
        <v>175</v>
      </c>
      <c r="H1" s="50" t="s">
        <v>176</v>
      </c>
      <c r="I1" s="50" t="s">
        <v>177</v>
      </c>
      <c r="J1" s="50" t="s">
        <v>178</v>
      </c>
      <c r="K1" s="50" t="s">
        <v>179</v>
      </c>
      <c r="L1" s="50" t="s">
        <v>180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0.382160342472996</v>
      </c>
      <c r="C2" s="1" t="n">
        <f aca="false">COUNTIFS('Game Log Season 3'!$C$3:$C$126, "Mateo", 'Game Log Season 3'!$F$3:$F$126, 1)</f>
        <v>6</v>
      </c>
      <c r="D2" s="1" t="n">
        <f aca="false">COUNTIFS('Game Log Season 3'!$C$3:$C$126, "Mateo", 'Game Log Season 3'!$F$3:$F$126, 0)</f>
        <v>8</v>
      </c>
      <c r="E2" s="17" t="n">
        <f aca="false">IFERROR(C2/(C2+D2),0)</f>
        <v>0.428571428571429</v>
      </c>
      <c r="F2" s="1" t="n">
        <f aca="false">SUMIFS('Game Log Season 3'!$J$3:$J$126, 'Game Log Season 3'!$C$3:$C$126, "Mateo", 'Game Log Season 3'!$F$3:$F$126, 1)</f>
        <v>4.3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0.422258592471359</v>
      </c>
      <c r="I2" s="17" t="n">
        <f aca="false">IF(C2&lt;&gt;0,AVERAGEIF('Game Log Season 3'!$C$3:$C$126, "Mateo", 'Game Log Season 3'!$K$3:$K$126),0)</f>
        <v>0.23547619047619</v>
      </c>
      <c r="J2" s="1" t="n">
        <f aca="false">IFERROR((1-(AVERAGEIFS('Game Log Season 3'!$M$3:$M$126, 'Game Log Season 3'!$C$3:$C$126, "Mateo", 'Game Log Season 3'!$F$3:$F$126, 1)-0.5))*C2, 0)</f>
        <v>6.0362625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0.4167750532727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0.217200151257559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10</v>
      </c>
      <c r="E3" s="17" t="n">
        <f aca="false">IFERROR(C3/(C3+D3),0)</f>
        <v>0.230769230769231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7.21666666666667</v>
      </c>
      <c r="H3" s="17" t="n">
        <f aca="false">IFERROR(F3/(F3+G3),0)</f>
        <v>0.228163992869875</v>
      </c>
      <c r="I3" s="17" t="n">
        <f aca="false">IF(C3&lt;&gt;0,AVERAGEIF('Game Log Season 3'!$C$3:$C$126, "Ryan", 'Game Log Season 3'!$K$3:$K$126),0)</f>
        <v>0.192051282051282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10.3876708333333</v>
      </c>
      <c r="L3" s="17" t="n">
        <f aca="false">IFERROR(J3/(J3+K3),0)</f>
        <v>0.220681393972681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0.303396021322759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6</v>
      </c>
      <c r="E4" s="17" t="n">
        <f aca="false">IFERROR(C4/(C4+D4),0)</f>
        <v>0.333333333333333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4.38333333333333</v>
      </c>
      <c r="H4" s="17" t="n">
        <f aca="false">IFERROR(F4/(F4+G4),0)</f>
        <v>0.339195979899497</v>
      </c>
      <c r="I4" s="17" t="n">
        <f aca="false">IF(C4&lt;&gt;0,AVERAGEIF('Game Log Season 3'!$C$3:$C$126, "Becca", 'Game Log Season 3'!$K$3:$K$126),0)</f>
        <v>0.108148148148148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5.74895416666667</v>
      </c>
      <c r="L4" s="17" t="n">
        <f aca="false">IFERROR(J4/(J4+K4),0)</f>
        <v>0.360015195446561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0.226064167519965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12</v>
      </c>
      <c r="E5" s="17" t="n">
        <f aca="false">IFERROR(C5/(C5+D5),0)</f>
        <v>0.25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8.68333333333333</v>
      </c>
      <c r="H5" s="17" t="n">
        <f aca="false">IFERROR(F5/(F5+G5),0)</f>
        <v>0.246020260492041</v>
      </c>
      <c r="I5" s="17" t="n">
        <f aca="false">IF(C5&lt;&gt;0,AVERAGEIF('Game Log Season 3'!$C$3:$C$126, "Manny", 'Game Log Season 3'!$K$3:$K$126),0)</f>
        <v>0.147708333333333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11.6843875</v>
      </c>
      <c r="L5" s="17" t="n">
        <f aca="false">IFERROR(J5/(J5+K5),0)</f>
        <v>0.245432845411373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2026-08-09T02:57:06Z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