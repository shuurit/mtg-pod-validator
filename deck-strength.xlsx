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<sst xmlns="http://schemas.openxmlformats.org/spreadsheetml/2006/main" count="941" uniqueCount="195">
  <si>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</si>
  <si>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</si>
  <si>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</si>
  <si>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</si>
  <si>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</si>
  <si>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</si>
  <si>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</si>
  <si>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</si>
  <si>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</si>
  <si>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</si>
  <si>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</si>
  <si>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</si>
  <si>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</si>
  <si>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</si>
  <si>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</si>
  <si>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</si>
  <si>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</si>
  <si>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</si>
  <si>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</si>
  <si>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</si>
  <si>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</si>
  <si>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</si>
  <si>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</si>
  <si>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</si>
  <si>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</si>
  <si>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</si>
  <si>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</si>
  <si>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</si>
  <si>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</si>
  <si>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</si>
  <si>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</si>
  <si>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</si>
  <si>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</si>
  <si>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</si>
  <si>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</si>
  <si>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</si>
  <si>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</si>
  <si>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</si>
  <si>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</si>
  <si>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</si>
  <si>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</si>
  <si>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</si>
  <si>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</si>
  <si>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</si>
  <si>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</si>
  <si>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</si>
  <si>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</si>
  <si>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</si>
  <si>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</si>
  <si>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</si>
  <si>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</si>
  <si>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</si>
  <si>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</si>
  <si>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</si>
  <si>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</si>
  <si>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</si>
  <si>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</si>
  <si>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</si>
  <si>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</si>
  <si>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</si>
  <si>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</si>
  <si>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</si>
  <si>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</si>
  <si>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</si>
  <si>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</si>
  <si>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</si>
  <si>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</si>
  <si>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</si>
  <si>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</si>
  <si>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</si>
  <si>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</si>
  <si>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</si>
  <si>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</si>
  <si>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</si>
  <si>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</si>
  <si>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</si>
  <si>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</si>
  <si>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</si>
  <si>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</si>
  <si>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</si>
  <si>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</si>
  <si>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</si>
  <si>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</si>
  <si>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</si>
  <si>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</si>
  <si>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</si>
  <si>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</si>
  <si>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</si>
  <si>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</si>
  <si>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</si>
  <si>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</si>
  <si>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</si>
  <si>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</si>
  <si>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</si>
  <si>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</si>
  <si>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</si>
  <si>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</si>
  <si>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</si>
  <si>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</si>
  <si>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</si>
  <si>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</si>
  <si>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</si>
  <si>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</si>
  <si>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</si>
  <si>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</si>
  <si>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</si>
  <si>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</si>
  <si>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</si>
  <si>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</si>
  <si>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</si>
  <si>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</si>
  <si>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</si>
  <si>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</si>
  <si>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</si>
  <si>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</si>
  <si>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</si>
  <si>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</si>
  <si>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</si>
  <si>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</si>
  <si>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</si>
  <si>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</si>
  <si>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</si>
  <si>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</si>
  <si>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</si>
  <si>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</si>
  <si>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</si>
  <si>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</si>
  <si>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</si>
  <si>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</si>
  <si>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</si>
  <si>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</si>
  <si>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</si>
  <si>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</si>
  <si>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</si>
  <si>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</si>
  <si>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</si>
  <si>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</si>
  <si>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</si>
  <si>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</si>
  <si>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</si>
  <si>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</si>
  <si>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</si>
  <si>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</si>
  <si>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</si>
  <si>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Michelangelo, the Heart</t>
  </si>
  <si>
    <t xml:space="preserve">743883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</si>
  <si>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</si>
  <si>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</si>
  <si>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</si>
  <si>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</si>
  <si>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</si>
  <si>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</si>
  <si>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</si>
  <si>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</si>
  <si>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</si>
  <si>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</si>
  <si>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</si>
  <si>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</si>
  <si>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</si>
  <si>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</si>
  <si>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</si>
  <si>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</si>
  <si>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</si>
  <si>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</si>
  <si>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</si>
  <si>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Hiccup_The_Hero</t>
  </si>
  <si>
    <t xml:space="preserve">763457</t>
  </si>
  <si>
    <t xml:space="preserve">763448</t>
  </si>
  <si>
    <t xml:space="preserve">Sam, Loyal Attendant</t>
  </si>
  <si>
    <t xml:space="preserve">763442</t>
  </si>
  <si>
    <t xml:space="preserve">763443</t>
  </si>
  <si>
    <t xml:space="preserve">763445</t>
  </si>
  <si>
    <t xml:space="preserve">763449</t>
  </si>
  <si>
    <t xml:space="preserve">763451</t>
  </si>
  <si>
    <t xml:space="preserve">763450</t>
  </si>
  <si>
    <t xml:space="preserve">Avatar Aang // Aang, Master of Elements</t>
  </si>
  <si>
    <t xml:space="preserve">763453</t>
  </si>
  <si>
    <t xml:space="preserve">763459</t>
  </si>
  <si>
    <t xml:space="preserve">763454</t>
  </si>
  <si>
    <t xml:space="preserve">763460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</si>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</sst>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AVERAGE(B23:B39)</f>
        <v>3.32970588235294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31</v>
      </c>
      <c r="B24" s="49" t="n">
        <f aca="false">IFERROR(LOOKUP(2,1/(('Game Log Season 3'!$C$3:$C$1000="Mateo")*('Game Log Season 3'!$D$3:$D$1000=A24)*('Game Log Season 3'!$X$3:$X$1000&lt;&gt;"")),'Game Log Season 3'!$X$3:$X$1000), D24)</f>
        <v>3.57402777777778</v>
      </c>
      <c r="C24" s="46"/>
      <c r="D24" s="49" t="n">
        <v>3.6</v>
      </c>
      <c r="E24" s="47" t="s">
        <v>126</v>
      </c>
    </row>
    <row r="25" customFormat="false" ht="14.25" hidden="false" customHeight="false" outlineLevel="0" collapsed="false">
      <c r="A25" s="49" t="s">
        <v>34</v>
      </c>
      <c r="B25" s="49" t="n">
        <f aca="false">IFERROR(LOOKUP(2,1/(('Game Log Season 3'!$C$3:$C$1000="Mateo")*('Game Log Season 3'!$D$3:$D$1000=A25)*('Game Log Season 3'!$X$3:$X$1000&lt;&gt;"")),'Game Log Season 3'!$X$3:$X$1000), D25)</f>
        <v>3.6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74</v>
      </c>
      <c r="B26" s="49" t="n">
        <f aca="false">IFERROR(LOOKUP(2,1/(('Game Log Season 3'!$C$3:$C$1000="Mateo")*('Game Log Season 3'!$D$3:$D$1000=A26)*('Game Log Season 3'!$X$3:$X$1000&lt;&gt;"")),'Game Log Season 3'!$X$3:$X$1000), D26)</f>
        <v>2.9</v>
      </c>
      <c r="C26" s="46"/>
      <c r="D26" s="49" t="n">
        <v>2.9</v>
      </c>
      <c r="E26" s="47" t="s">
        <v>128</v>
      </c>
    </row>
    <row r="27" customFormat="false" ht="28.35" hidden="false" customHeight="false" outlineLevel="0" collapsed="false">
      <c r="A27" s="49" t="s">
        <v>57</v>
      </c>
      <c r="B27" s="49" t="n">
        <f aca="false">IFERROR(LOOKUP(2,1/(('Game Log Season 3'!$C$3:$C$1000="Mateo")*('Game Log Season 3'!$D$3:$D$1000=A27)*('Game Log Season 3'!$X$3:$X$1000&lt;&gt;"")),'Game Log Season 3'!$X$3:$X$1000), D27)</f>
        <v>3.9</v>
      </c>
      <c r="C27" s="46" t="s">
        <v>103</v>
      </c>
      <c r="D27" s="49" t="n">
        <v>3.9</v>
      </c>
      <c r="E27" s="47" t="s">
        <v>129</v>
      </c>
    </row>
    <row r="28" customFormat="false" ht="14.25" hidden="false" customHeight="false" outlineLevel="0" collapsed="false">
      <c r="A28" s="49" t="s">
        <v>80</v>
      </c>
      <c r="B28" s="49" t="n">
        <f aca="false">IFERROR(LOOKUP(2,1/(('Game Log Season 3'!$C$3:$C$1000="Mateo")*('Game Log Season 3'!$D$3:$D$1000=A28)*('Game Log Season 3'!$X$3:$X$1000&lt;&gt;"")),'Game Log Season 3'!$X$3:$X$1000), D28)</f>
        <v>2.8</v>
      </c>
      <c r="C28" s="46"/>
      <c r="D28" s="49" t="n">
        <v>2.8</v>
      </c>
    </row>
    <row r="29" customFormat="false" ht="14.25" hidden="false" customHeight="false" outlineLevel="0" collapsed="false">
      <c r="A29" s="49" t="s">
        <v>81</v>
      </c>
      <c r="B29" s="49" t="n">
        <f aca="false">IFERROR(LOOKUP(2,1/(('Game Log Season 3'!$C$3:$C$1000="Mateo")*('Game Log Season 3'!$D$3:$D$1000=A29)*('Game Log Season 3'!$X$3:$X$1000&lt;&gt;"")),'Game Log Season 3'!$X$3:$X$1000), D29)</f>
        <v>2.6</v>
      </c>
      <c r="C29" s="46"/>
      <c r="D29" s="49" t="n">
        <v>2.6</v>
      </c>
      <c r="E29" s="47" t="s">
        <v>130</v>
      </c>
    </row>
    <row r="30" customFormat="false" ht="14.25" hidden="false" customHeight="false" outlineLevel="0" collapsed="false">
      <c r="A30" s="49" t="s">
        <v>83</v>
      </c>
      <c r="B30" s="49" t="n">
        <f aca="false">IFERROR(LOOKUP(2,1/(('Game Log Season 3'!$C$3:$C$1000="Mateo")*('Game Log Season 3'!$D$3:$D$1000=A30)*('Game Log Season 3'!$X$3:$X$1000&lt;&gt;"")),'Game Log Season 3'!$X$3:$X$1000), D30)</f>
        <v>3.59875</v>
      </c>
      <c r="C30" s="46" t="s">
        <v>131</v>
      </c>
      <c r="D30" s="49" t="n">
        <v>3.6</v>
      </c>
      <c r="E30" s="47" t="s">
        <v>132</v>
      </c>
    </row>
    <row r="31" customFormat="false" ht="14.25" hidden="false" customHeight="false" outlineLevel="0" collapsed="false">
      <c r="A31" s="49" t="s">
        <v>48</v>
      </c>
      <c r="B31" s="49" t="n">
        <f aca="false">IFERROR(LOOKUP(2,1/(('Game Log Season 3'!$C$3:$C$1000="Mateo")*('Game Log Season 3'!$D$3:$D$1000=A31)*('Game Log Season 3'!$X$3:$X$1000&lt;&gt;"")),'Game Log Season 3'!$X$3:$X$1000), D31)</f>
        <v>3.94083333333333</v>
      </c>
      <c r="C31" s="46"/>
      <c r="D31" s="49" t="n">
        <v>3.9</v>
      </c>
      <c r="E31" s="47" t="s">
        <v>133</v>
      </c>
    </row>
    <row r="32" customFormat="false" ht="14.25" hidden="false" customHeight="false" outlineLevel="0" collapsed="false">
      <c r="A32" s="49" t="s">
        <v>90</v>
      </c>
      <c r="B32" s="49" t="n">
        <f aca="false">IFERROR(LOOKUP(2,1/(('Game Log Season 3'!$C$3:$C$1000="Mateo")*('Game Log Season 3'!$D$3:$D$1000=A32)*('Game Log Season 3'!$X$3:$X$1000&lt;&gt;"")),'Game Log Season 3'!$X$3:$X$1000), D32)</f>
        <v>3.65388888888889</v>
      </c>
      <c r="C32" s="46"/>
      <c r="D32" s="49" t="n">
        <v>3.7</v>
      </c>
      <c r="E32" s="47" t="s">
        <v>134</v>
      </c>
    </row>
    <row r="33" customFormat="false" ht="14.25" hidden="false" customHeight="false" outlineLevel="0" collapsed="false">
      <c r="A33" s="49" t="s">
        <v>46</v>
      </c>
      <c r="B33" s="50" t="n">
        <f aca="false">IFERROR(LOOKUP(2,1/(('Game Log Season 3'!$C$3:$C$1000="Mateo")*('Game Log Season 3'!$D$3:$D$1000=A33)*('Game Log Season 3'!$X$3:$X$1000&lt;&gt;"")),'Game Log Season 3'!$X$3:$X$1000), D33)</f>
        <v>3.95583333333333</v>
      </c>
      <c r="C33" s="46"/>
      <c r="D33" s="50" t="n">
        <v>4</v>
      </c>
      <c r="E33" s="47" t="s">
        <v>135</v>
      </c>
    </row>
    <row r="34" customFormat="false" ht="14.25" hidden="false" customHeight="false" outlineLevel="0" collapsed="false">
      <c r="A34" s="49" t="s">
        <v>92</v>
      </c>
      <c r="B34" s="50" t="n">
        <f aca="false">IFERROR(LOOKUP(2,1/(('Game Log Season 3'!$C$3:$C$1000="Mateo")*('Game Log Season 3'!$D$3:$D$1000=A34)*('Game Log Season 3'!$X$3:$X$1000&lt;&gt;"")),'Game Log Season 3'!$X$3:$X$1000), D34)</f>
        <v>2.94666666666667</v>
      </c>
      <c r="C34" s="46"/>
      <c r="D34" s="50" t="n">
        <v>2.9</v>
      </c>
      <c r="E34" s="47" t="s">
        <v>136</v>
      </c>
    </row>
    <row r="35" customFormat="false" ht="28.35" hidden="false" customHeight="false" outlineLevel="0" collapsed="false">
      <c r="A35" s="49" t="s">
        <v>40</v>
      </c>
      <c r="B35" s="50" t="n">
        <f aca="false">IFERROR(LOOKUP(2,1/(('Game Log Season 3'!$C$3:$C$1000="Mateo")*('Game Log Season 3'!$D$3:$D$1000=A35)*('Game Log Season 3'!$X$3:$X$1000&lt;&gt;"")),'Game Log Season 3'!$X$3:$X$1000), D35)</f>
        <v>3.935</v>
      </c>
      <c r="C35" s="46" t="s">
        <v>137</v>
      </c>
      <c r="D35" s="50" t="n">
        <v>3.9</v>
      </c>
      <c r="E35" s="47" t="s">
        <v>138</v>
      </c>
    </row>
    <row r="36" customFormat="false" ht="14.25" hidden="false" customHeight="false" outlineLevel="0" collapsed="false">
      <c r="A36" s="49" t="s">
        <v>139</v>
      </c>
      <c r="B36" s="49" t="n">
        <f aca="false">IFERROR(LOOKUP(2,1/(('Game Log Season 3'!$C$3:$C$1000="Mateo")*('Game Log Season 3'!$D$3:$D$1000=A36)*('Game Log Season 3'!$X$3:$X$1000&lt;&gt;"")),'Game Log Season 3'!$X$3:$X$1000), D36)</f>
        <v>3</v>
      </c>
      <c r="C36" s="46"/>
      <c r="D36" s="49" t="n">
        <v>3</v>
      </c>
      <c r="E36" s="47" t="s">
        <v>140</v>
      </c>
    </row>
    <row r="37" customFormat="false" ht="14.25" hidden="false" customHeight="false" outlineLevel="0" collapsed="false">
      <c r="A37" s="49" t="s">
        <v>93</v>
      </c>
      <c r="B37" s="49" t="n">
        <f aca="false">IFERROR(LOOKUP(2,1/(('Game Log Season 3'!$C$3:$C$1000="Mateo")*('Game Log Season 3'!$D$3:$D$1000=A37)*('Game Log Season 3'!$X$3:$X$1000&lt;&gt;"")),'Game Log Season 3'!$X$3:$X$1000), D37)</f>
        <v>2</v>
      </c>
      <c r="C37" s="46"/>
      <c r="D37" s="49" t="n">
        <v>2</v>
      </c>
      <c r="E37" s="47" t="s">
        <v>141</v>
      </c>
    </row>
    <row r="38" customFormat="false" ht="14.25" hidden="false" customHeight="false" outlineLevel="0" collapsed="false">
      <c r="A38" s="49" t="s">
        <v>142</v>
      </c>
      <c r="B38" s="49" t="n">
        <f aca="false">IFERROR(LOOKUP(2,1/(('Game Log Season 3'!$C$3:$C$1000="Mateo")*('Game Log Season 3'!$D$3:$D$1000=A38)*('Game Log Season 3'!$X$3:$X$1000&lt;&gt;"")),'Game Log Season 3'!$X$3:$X$1000), D38)</f>
        <v>3.9</v>
      </c>
      <c r="C38" s="46"/>
      <c r="D38" s="49" t="n">
        <v>3.9</v>
      </c>
      <c r="E38" s="47" t="s">
        <v>143</v>
      </c>
    </row>
    <row r="39" customFormat="false" ht="14.25" hidden="false" customHeight="false" outlineLevel="0" collapsed="false">
      <c r="A39" s="49" t="s">
        <v>144</v>
      </c>
      <c r="B39" s="49" t="n">
        <f aca="false">IFERROR(LOOKUP(2,1/(('Game Log Season 3'!$C$3:$C$1000="Mateo")*('Game Log Season 3'!$D$3:$D$1000=A39)*('Game Log Season 3'!$X$3:$X$1000&lt;&gt;"")),'Game Log Season 3'!$X$3:$X$1000), D39)</f>
        <v>3.9</v>
      </c>
      <c r="C39" s="46"/>
      <c r="D39" s="49" t="n">
        <v>3.9</v>
      </c>
      <c r="E39" s="47" t="s">
        <v>145</v>
      </c>
    </row>
    <row r="40" customFormat="false" ht="14.25" hidden="false" customHeight="false" outlineLevel="0" collapsed="false">
      <c r="A40" s="47" t="s">
        <v>32</v>
      </c>
      <c r="B40" s="48" t="n">
        <f aca="false">AVERAGE(B41:B54)</f>
        <v>3.33502182539683</v>
      </c>
      <c r="C40" s="46"/>
    </row>
    <row r="41" customFormat="false" ht="14.25" hidden="false" customHeight="false" outlineLevel="0" collapsed="false">
      <c r="A41" s="49" t="s">
        <v>36</v>
      </c>
      <c r="B41" s="49" t="n">
        <f aca="false">IFERROR(LOOKUP(2,1/(('Game Log Season 3'!$C$3:$C$1000="Ryan")*('Game Log Season 3'!$D$3:$D$1000=A41)*('Game Log Season 3'!$X$3:$X$1000&lt;&gt;"")),'Game Log Season 3'!$X$3:$X$1000), D41)</f>
        <v>3.5</v>
      </c>
      <c r="C41" s="46"/>
      <c r="D41" s="49" t="n">
        <v>3.5</v>
      </c>
      <c r="E41" s="47" t="s">
        <v>146</v>
      </c>
    </row>
    <row r="42" customFormat="false" ht="14.25" hidden="false" customHeight="false" outlineLevel="0" collapsed="false">
      <c r="A42" s="49" t="s">
        <v>62</v>
      </c>
      <c r="B42" s="49" t="n">
        <f aca="false">IFERROR(LOOKUP(2,1/(('Game Log Season 3'!$C$3:$C$1000="Ryan")*('Game Log Season 3'!$D$3:$D$1000=A42)*('Game Log Season 3'!$X$3:$X$1000&lt;&gt;"")),'Game Log Season 3'!$X$3:$X$1000), D42)</f>
        <v>3.43088888888889</v>
      </c>
      <c r="C42" s="46"/>
      <c r="D42" s="49" t="n">
        <v>3.4</v>
      </c>
      <c r="E42" s="47" t="s">
        <v>147</v>
      </c>
    </row>
    <row r="43" customFormat="false" ht="14.25" hidden="false" customHeight="false" outlineLevel="0" collapsed="false">
      <c r="A43" s="49" t="s">
        <v>33</v>
      </c>
      <c r="B43" s="49" t="n">
        <f aca="false">IFERROR(LOOKUP(2,1/(('Game Log Season 3'!$C$3:$C$1000="Ryan")*('Game Log Season 3'!$D$3:$D$1000=A43)*('Game Log Season 3'!$X$3:$X$1000&lt;&gt;"")),'Game Log Season 3'!$X$3:$X$1000), D43)</f>
        <v>3.7</v>
      </c>
      <c r="C43" s="46"/>
      <c r="D43" s="49" t="n">
        <v>3.7</v>
      </c>
      <c r="E43" s="47" t="s">
        <v>148</v>
      </c>
    </row>
    <row r="44" customFormat="false" ht="14.25" hidden="false" customHeight="false" outlineLevel="0" collapsed="false">
      <c r="A44" s="49" t="s">
        <v>61</v>
      </c>
      <c r="B44" s="49" t="n">
        <f aca="false">IFERROR(LOOKUP(2,1/(('Game Log Season 3'!$C$3:$C$1000="Ryan")*('Game Log Season 3'!$D$3:$D$1000=A44)*('Game Log Season 3'!$X$3:$X$1000&lt;&gt;"")),'Game Log Season 3'!$X$3:$X$1000), D44)</f>
        <v>2.6</v>
      </c>
      <c r="C44" s="46"/>
      <c r="D44" s="49" t="n">
        <v>2.6</v>
      </c>
      <c r="E44" s="47" t="s">
        <v>149</v>
      </c>
    </row>
    <row r="45" customFormat="false" ht="14.25" hidden="false" customHeight="false" outlineLevel="0" collapsed="false">
      <c r="A45" s="49" t="s">
        <v>41</v>
      </c>
      <c r="B45" s="49" t="n">
        <f aca="false">IFERROR(LOOKUP(2,1/(('Game Log Season 3'!$C$3:$C$1000="Ryan")*('Game Log Season 3'!$D$3:$D$1000=A45)*('Game Log Season 3'!$X$3:$X$1000&lt;&gt;"")),'Game Log Season 3'!$X$3:$X$1000), D45)</f>
        <v>3.77816666666667</v>
      </c>
      <c r="C45" s="46"/>
      <c r="D45" s="49" t="n">
        <v>3.8</v>
      </c>
      <c r="E45" s="47" t="s">
        <v>150</v>
      </c>
    </row>
    <row r="46" customFormat="false" ht="14.25" hidden="false" customHeight="false" outlineLevel="0" collapsed="false">
      <c r="A46" s="49" t="s">
        <v>79</v>
      </c>
      <c r="B46" s="49" t="n">
        <f aca="false">IFERROR(LOOKUP(2,1/(('Game Log Season 3'!$C$3:$C$1000="Ryan")*('Game Log Season 3'!$D$3:$D$1000=A46)*('Game Log Season 3'!$X$3:$X$1000&lt;&gt;"")),'Game Log Season 3'!$X$3:$X$1000), D46)</f>
        <v>2.59388888888889</v>
      </c>
      <c r="C46" s="46"/>
      <c r="D46" s="49" t="n">
        <v>2.6</v>
      </c>
      <c r="E46" s="47" t="s">
        <v>151</v>
      </c>
    </row>
    <row r="47" customFormat="false" ht="14.25" hidden="false" customHeight="false" outlineLevel="0" collapsed="false">
      <c r="A47" s="49" t="s">
        <v>54</v>
      </c>
      <c r="B47" s="49" t="n">
        <f aca="false">IFERROR(LOOKUP(2,1/(('Game Log Season 3'!$C$3:$C$1000="Ryan")*('Game Log Season 3'!$D$3:$D$1000=A47)*('Game Log Season 3'!$X$3:$X$1000&lt;&gt;"")),'Game Log Season 3'!$X$3:$X$1000), D47)</f>
        <v>3.23902777777778</v>
      </c>
      <c r="C47" s="46"/>
      <c r="D47" s="49" t="n">
        <v>3.6</v>
      </c>
      <c r="E47" s="47" t="s">
        <v>152</v>
      </c>
    </row>
    <row r="48" customFormat="false" ht="14.25" hidden="false" customHeight="false" outlineLevel="0" collapsed="false">
      <c r="A48" s="49" t="s">
        <v>87</v>
      </c>
      <c r="B48" s="49" t="n">
        <f aca="false">IFERROR(LOOKUP(2,1/(('Game Log Season 3'!$C$3:$C$1000="Ryan")*('Game Log Season 3'!$D$3:$D$1000=A48)*('Game Log Season 3'!$X$3:$X$1000&lt;&gt;"")),'Game Log Season 3'!$X$3:$X$1000), D48)</f>
        <v>2.6</v>
      </c>
      <c r="C48" s="46"/>
      <c r="D48" s="49" t="n">
        <v>2.6</v>
      </c>
      <c r="E48" s="47" t="s">
        <v>153</v>
      </c>
    </row>
    <row r="49" customFormat="false" ht="14.25" hidden="false" customHeight="false" outlineLevel="0" collapsed="false">
      <c r="A49" s="49" t="s">
        <v>89</v>
      </c>
      <c r="B49" s="49" t="n">
        <f aca="false">IFERROR(LOOKUP(2,1/(('Game Log Season 3'!$C$3:$C$1000="Ryan")*('Game Log Season 3'!$D$3:$D$1000=A49)*('Game Log Season 3'!$X$3:$X$1000&lt;&gt;"")),'Game Log Season 3'!$X$3:$X$1000), D49)</f>
        <v>3.58416666666667</v>
      </c>
      <c r="C49" s="46"/>
      <c r="D49" s="49" t="n">
        <v>3.6</v>
      </c>
    </row>
    <row r="50" customFormat="false" ht="14.25" hidden="false" customHeight="false" outlineLevel="0" collapsed="false">
      <c r="A50" s="49" t="s">
        <v>94</v>
      </c>
      <c r="B50" s="49" t="n">
        <f aca="false">IFERROR(LOOKUP(2,1/(('Game Log Season 3'!$C$3:$C$1000="Ryan")*('Game Log Season 3'!$D$3:$D$1000=A50)*('Game Log Season 3'!$X$3:$X$1000&lt;&gt;"")),'Game Log Season 3'!$X$3:$X$1000), D50)</f>
        <v>2.94083333333333</v>
      </c>
      <c r="C50" s="46"/>
      <c r="D50" s="49" t="n">
        <v>2.9</v>
      </c>
      <c r="E50" s="47" t="s">
        <v>154</v>
      </c>
    </row>
    <row r="51" customFormat="false" ht="14.25" hidden="false" customHeight="false" outlineLevel="0" collapsed="false">
      <c r="A51" s="49" t="s">
        <v>97</v>
      </c>
      <c r="B51" s="49" t="n">
        <f aca="false">IFERROR(LOOKUP(2,1/(('Game Log Season 3'!$C$3:$C$1000="Ryan")*('Game Log Season 3'!$D$3:$D$1000=A51)*('Game Log Season 3'!$X$3:$X$1000&lt;&gt;"")),'Game Log Season 3'!$X$3:$X$1000), D51)</f>
        <v>3.92333333333333</v>
      </c>
      <c r="C51" s="46"/>
      <c r="D51" s="49" t="n">
        <v>3.9</v>
      </c>
      <c r="E51" s="47" t="s">
        <v>155</v>
      </c>
    </row>
    <row r="52" customFormat="false" ht="14.25" hidden="false" customHeight="false" outlineLevel="0" collapsed="false">
      <c r="A52" s="49" t="s">
        <v>156</v>
      </c>
      <c r="B52" s="49" t="n">
        <f aca="false">IFERROR(LOOKUP(2,1/(('Game Log Season 3'!$C$3:$C$1000="Ryan")*('Game Log Season 3'!$D$3:$D$1000=A52)*('Game Log Season 3'!$X$3:$X$1000&lt;&gt;"")),'Game Log Season 3'!$X$3:$X$1000), D52)</f>
        <v>3.7</v>
      </c>
      <c r="C52" s="46"/>
      <c r="D52" s="49" t="n">
        <v>3.7</v>
      </c>
      <c r="E52" s="47" t="s">
        <v>157</v>
      </c>
    </row>
    <row r="53" customFormat="false" ht="14.25" hidden="false" customHeight="false" outlineLevel="0" collapsed="false">
      <c r="A53" s="49" t="s">
        <v>43</v>
      </c>
      <c r="B53" s="49" t="n">
        <f aca="false">IFERROR(LOOKUP(2,1/(('Game Log Season 3'!$C$3:$C$1000="Ryan")*('Game Log Season 3'!$D$3:$D$1000=A53)*('Game Log Season 3'!$X$3:$X$1000&lt;&gt;"")),'Game Log Season 3'!$X$3:$X$1000), D53)</f>
        <v>3.2</v>
      </c>
      <c r="C53" s="46"/>
      <c r="D53" s="49" t="n">
        <v>3.2</v>
      </c>
      <c r="E53" s="47" t="s">
        <v>158</v>
      </c>
    </row>
    <row r="54" customFormat="false" ht="14.25" hidden="false" customHeight="false" outlineLevel="0" collapsed="false">
      <c r="A54" s="49" t="s">
        <v>159</v>
      </c>
      <c r="B54" s="49" t="n">
        <f aca="false">IFERROR(LOOKUP(2,1/(('Game Log Season 3'!$C$3:$C$1000="Ryan")*('Game Log Season 3'!$D$3:$D$1000=A54)*('Game Log Season 3'!$X$3:$X$1000&lt;&gt;"")),'Game Log Season 3'!$X$3:$X$1000), D54)</f>
        <v>3.9</v>
      </c>
      <c r="C54" s="46"/>
      <c r="D54" s="49" t="n">
        <v>3.9</v>
      </c>
      <c r="E54" s="47" t="s">
        <v>160</v>
      </c>
    </row>
    <row r="55" customFormat="false" ht="14.25" hidden="false" customHeight="false" outlineLevel="0" collapsed="false">
      <c r="A55" s="47" t="s">
        <v>70</v>
      </c>
      <c r="B55" s="48" t="n">
        <f aca="false">AVERAGE(B56:B60)</f>
        <v>3.2865</v>
      </c>
      <c r="C55" s="46"/>
    </row>
    <row r="56" customFormat="false" ht="14.25" hidden="false" customHeight="false" outlineLevel="0" collapsed="false">
      <c r="A56" s="49" t="s">
        <v>71</v>
      </c>
      <c r="B56" s="49" t="n">
        <f aca="false">IFERROR(LOOKUP(2,1/(('Game Log Season 3'!$C$3:$C$1000="Kristy")*('Game Log Season 3'!$D$3:$D$1000=A56)*('Game Log Season 3'!$X$3:$X$1000&lt;&gt;"")),'Game Log Season 3'!$X$3:$X$1000), D56)</f>
        <v>3.6</v>
      </c>
      <c r="C56" s="46" t="s">
        <v>131</v>
      </c>
      <c r="D56" s="49" t="n">
        <v>3.6</v>
      </c>
    </row>
    <row r="57" customFormat="false" ht="14.25" hidden="false" customHeight="false" outlineLevel="0" collapsed="false">
      <c r="A57" s="49" t="s">
        <v>57</v>
      </c>
      <c r="B57" s="49" t="n">
        <f aca="false">IFERROR(LOOKUP(2,1/(('Game Log Season 3'!$C$3:$C$1000="Kristy")*('Game Log Season 3'!$D$3:$D$1000=A57)*('Game Log Season 3'!$X$3:$X$1000&lt;&gt;"")),'Game Log Season 3'!$X$3:$X$1000), D57)</f>
        <v>3.33761111111111</v>
      </c>
      <c r="C57" s="46" t="s">
        <v>131</v>
      </c>
      <c r="D57" s="49" t="n">
        <v>3.3</v>
      </c>
    </row>
    <row r="58" customFormat="false" ht="14.25" hidden="false" customHeight="false" outlineLevel="0" collapsed="false">
      <c r="A58" s="49" t="s">
        <v>78</v>
      </c>
      <c r="B58" s="49" t="n">
        <f aca="false">IFERROR(LOOKUP(2,1/(('Game Log Season 3'!$C$3:$C$1000="Kristy")*('Game Log Season 3'!$D$3:$D$1000=A58)*('Game Log Season 3'!$X$3:$X$1000&lt;&gt;"")),'Game Log Season 3'!$X$3:$X$1000), D58)</f>
        <v>3.2</v>
      </c>
      <c r="C58" s="46"/>
      <c r="D58" s="49" t="n">
        <v>3.2</v>
      </c>
    </row>
    <row r="59" customFormat="false" ht="28.35" hidden="false" customHeight="false" outlineLevel="0" collapsed="false">
      <c r="A59" s="49" t="s">
        <v>85</v>
      </c>
      <c r="B59" s="49" t="n">
        <f aca="false">IFERROR(LOOKUP(2,1/(('Game Log Season 3'!$C$3:$C$1000="Kristy")*('Game Log Season 3'!$D$3:$D$1000=A59)*('Game Log Season 3'!$X$3:$X$1000&lt;&gt;"")),'Game Log Season 3'!$X$3:$X$1000), D59)</f>
        <v>3.9</v>
      </c>
      <c r="C59" s="46" t="s">
        <v>137</v>
      </c>
      <c r="D59" s="49" t="n">
        <v>3.9</v>
      </c>
    </row>
    <row r="60" customFormat="false" ht="14.25" hidden="false" customHeight="false" outlineLevel="0" collapsed="false">
      <c r="A60" s="49" t="s">
        <v>93</v>
      </c>
      <c r="B60" s="49" t="n">
        <f aca="false">IFERROR(LOOKUP(2,1/(('Game Log Season 3'!$C$3:$C$1000="Kristy")*('Game Log Season 3'!$D$3:$D$1000=A60)*('Game Log Season 3'!$X$3:$X$1000&lt;&gt;"")),'Game Log Season 3'!$X$3:$X$1000), D60)</f>
        <v>2.39488888888889</v>
      </c>
      <c r="C60" s="46"/>
      <c r="D60" s="49" t="n">
        <v>2.4</v>
      </c>
    </row>
    <row r="61" customFormat="false" ht="14.25" hidden="false" customHeight="false" outlineLevel="0" collapsed="false">
      <c r="A61" s="47" t="s">
        <v>38</v>
      </c>
      <c r="B61" s="48" t="n">
        <f aca="false">AVERAGE(B62:B66)</f>
        <v>3.42807</v>
      </c>
      <c r="C61" s="46"/>
    </row>
    <row r="62" customFormat="false" ht="14.25" hidden="false" customHeight="false" outlineLevel="0" collapsed="false">
      <c r="A62" s="49" t="s">
        <v>49</v>
      </c>
      <c r="B62" s="49" t="n">
        <f aca="false">IFERROR(LOOKUP(2,1/(('Game Log Season 3'!$C$3:$C$1000="Joseph")*('Game Log Season 3'!$D$3:$D$1000=A62)*('Game Log Season 3'!$X$3:$X$1000&lt;&gt;"")),'Game Log Season 3'!$X$3:$X$1000), D62)</f>
        <v>3.6</v>
      </c>
      <c r="C62" s="46"/>
      <c r="D62" s="49" t="n">
        <v>3.6</v>
      </c>
    </row>
    <row r="63" customFormat="false" ht="14.25" hidden="false" customHeight="false" outlineLevel="0" collapsed="false">
      <c r="A63" s="49" t="s">
        <v>76</v>
      </c>
      <c r="B63" s="49" t="n">
        <f aca="false">IFERROR(LOOKUP(2,1/(('Game Log Season 3'!$C$3:$C$1000="Joseph")*('Game Log Season 3'!$D$3:$D$1000=A63)*('Game Log Season 3'!$X$3:$X$1000&lt;&gt;"")),'Game Log Season 3'!$X$3:$X$1000), D63)</f>
        <v>3.8</v>
      </c>
      <c r="C63" s="46"/>
      <c r="D63" s="49" t="n">
        <v>3.8</v>
      </c>
    </row>
    <row r="64" customFormat="false" ht="14.25" hidden="false" customHeight="false" outlineLevel="0" collapsed="false">
      <c r="A64" s="49" t="s">
        <v>77</v>
      </c>
      <c r="B64" s="49" t="n">
        <f aca="false">IFERROR(LOOKUP(2,1/(('Game Log Season 3'!$C$3:$C$1000="Joseph")*('Game Log Season 3'!$D$3:$D$1000=A64)*('Game Log Season 3'!$X$3:$X$1000&lt;&gt;"")),'Game Log Season 3'!$X$3:$X$1000), D64)</f>
        <v>2.7</v>
      </c>
      <c r="C64" s="46"/>
      <c r="D64" s="49" t="n">
        <v>2.7</v>
      </c>
    </row>
    <row r="65" customFormat="false" ht="14.25" hidden="false" customHeight="false" outlineLevel="0" collapsed="false">
      <c r="A65" s="49" t="s">
        <v>64</v>
      </c>
      <c r="B65" s="49" t="n">
        <f aca="false">IFERROR(LOOKUP(2,1/(('Game Log Season 3'!$C$3:$C$1000="Joseph")*('Game Log Season 3'!$D$3:$D$1000=A65)*('Game Log Season 3'!$X$3:$X$1000&lt;&gt;"")),'Game Log Season 3'!$X$3:$X$1000), D65)</f>
        <v>3.3</v>
      </c>
      <c r="C65" s="46"/>
      <c r="D65" s="49" t="n">
        <v>3.3</v>
      </c>
    </row>
    <row r="66" customFormat="false" ht="14.25" hidden="false" customHeight="false" outlineLevel="0" collapsed="false">
      <c r="A66" s="49" t="s">
        <v>63</v>
      </c>
      <c r="B66" s="49" t="n">
        <f aca="false">IFERROR(LOOKUP(2,1/(('Game Log Season 3'!$C$3:$C$1000="Joseph")*('Game Log Season 3'!$D$3:$D$1000=A66)*('Game Log Season 3'!$X$3:$X$1000&lt;&gt;"")),'Game Log Season 3'!$X$3:$X$1000), D66)</f>
        <v>3.74035</v>
      </c>
      <c r="C66" s="46"/>
      <c r="D66" s="49" t="n">
        <v>3.7</v>
      </c>
    </row>
    <row r="67" customFormat="false" ht="14.25" hidden="false" customHeight="false" outlineLevel="0" collapsed="false">
      <c r="A67" s="47" t="s">
        <v>59</v>
      </c>
      <c r="B67" s="48" t="n">
        <f aca="false">AVERAGE(B68:B69)</f>
        <v>3.05</v>
      </c>
      <c r="C67" s="46"/>
    </row>
    <row r="68" customFormat="false" ht="14.25" hidden="false" customHeight="false" outlineLevel="0" collapsed="false">
      <c r="A68" s="49" t="s">
        <v>33</v>
      </c>
      <c r="B68" s="49" t="n">
        <f aca="false">IFERROR(LOOKUP(2,1/(('Game Log Season 3'!$C$3:$C$1000="Red")*('Game Log Season 3'!$D$3:$D$1000=A68)*('Game Log Season 3'!$X$3:$X$1000&lt;&gt;"")),'Game Log Season 3'!$X$3:$X$1000), D68)</f>
        <v>2.7</v>
      </c>
      <c r="C68" s="46"/>
      <c r="D68" s="49" t="n">
        <v>2.7</v>
      </c>
      <c r="E68" s="47" t="s">
        <v>161</v>
      </c>
    </row>
    <row r="69" customFormat="false" ht="14.25" hidden="false" customHeight="false" outlineLevel="0" collapsed="false">
      <c r="A69" s="49" t="s">
        <v>69</v>
      </c>
      <c r="B69" s="49" t="n">
        <f aca="false">IFERROR(LOOKUP(2,1/(('Game Log Season 3'!$C$3:$C$1000="Red")*('Game Log Season 3'!$D$3:$D$1000=A69)*('Game Log Season 3'!$X$3:$X$1000&lt;&gt;"")),'Game Log Season 3'!$X$3:$X$1000), D69)</f>
        <v>3.4</v>
      </c>
      <c r="C69" s="46"/>
      <c r="D69" s="49" t="n">
        <v>3.4</v>
      </c>
      <c r="E69" s="47" t="s">
        <v>162</v>
      </c>
    </row>
    <row r="70" customFormat="false" ht="14.25" hidden="false" customHeight="false" outlineLevel="0" collapsed="false">
      <c r="A70" s="49" t="s">
        <v>84</v>
      </c>
      <c r="B70" s="50" t="n">
        <f aca="false">IFERROR(LOOKUP(2,1/(('Game Log Season 3'!$C$3:$C$1000="Red")*('Game Log Season 3'!$D$3:$D$1000=A70)*('Game Log Season 3'!$X$3:$X$1000&lt;&gt;"")),'Game Log Season 3'!$X$3:$X$1000), D70)</f>
        <v>1</v>
      </c>
      <c r="C70" s="46"/>
      <c r="D70" s="50" t="n">
        <v>1</v>
      </c>
      <c r="E70" s="47" t="s">
        <v>163</v>
      </c>
    </row>
    <row r="71" customFormat="false" ht="14.25" hidden="false" customHeight="false" outlineLevel="0" collapsed="false">
      <c r="A71" s="47" t="s">
        <v>51</v>
      </c>
      <c r="B71" s="48" t="n">
        <f aca="false">AVERAGE(B72:B73)</f>
        <v>2.25194444444444</v>
      </c>
      <c r="C71" s="46"/>
    </row>
    <row r="72" customFormat="false" ht="14.25" hidden="false" customHeight="false" outlineLevel="0" collapsed="false">
      <c r="A72" s="49" t="s">
        <v>52</v>
      </c>
      <c r="B72" s="49" t="n">
        <f aca="false">IFERROR(LOOKUP(2,1/(('Game Log Season 3'!$C$3:$C$1000="Michelle")*('Game Log Season 3'!$D$3:$D$1000=A72)*('Game Log Season 3'!$X$3:$X$1000&lt;&gt;"")),'Game Log Season 3'!$X$3:$X$1000), D72)</f>
        <v>2.30388888888889</v>
      </c>
      <c r="C72" s="46"/>
      <c r="D72" s="49" t="n">
        <v>2.5</v>
      </c>
    </row>
    <row r="73" customFormat="false" ht="14.25" hidden="false" customHeight="false" outlineLevel="0" collapsed="false">
      <c r="A73" s="49" t="s">
        <v>86</v>
      </c>
      <c r="B73" s="49" t="n">
        <f aca="false">IFERROR(LOOKUP(2,1/(('Game Log Season 3'!$C$3:$C$1000="Michelle")*('Game Log Season 3'!$D$3:$D$1000=A73)*('Game Log Season 3'!$X$3:$X$1000&lt;&gt;"")),'Game Log Season 3'!$X$3:$X$1000), D73)</f>
        <v>2.2</v>
      </c>
      <c r="C73" s="46"/>
      <c r="D73" s="49" t="n">
        <v>2.2</v>
      </c>
      <c r="E73" s="47" t="s">
        <v>164</v>
      </c>
    </row>
    <row r="74" customFormat="false" ht="14.25" hidden="false" customHeight="false" outlineLevel="0" collapsed="false">
      <c r="A74" s="49" t="s">
        <v>96</v>
      </c>
      <c r="B74" s="49" t="n">
        <f aca="false">IFERROR(LOOKUP(2,1/(('Game Log Season 3'!$C$3:$C$1000="Michelle")*('Game Log Season 3'!$D$3:$D$1000=A74)*('Game Log Season 3'!$X$3:$X$1000&lt;&gt;"")),'Game Log Season 3'!$X$3:$X$1000), D74)</f>
        <v>2.43069444444444</v>
      </c>
      <c r="D74" s="49" t="n">
        <v>2.4</v>
      </c>
    </row>
    <row r="75" customFormat="false" ht="14.25" hidden="false" customHeight="false" outlineLevel="0" collapsed="false">
      <c r="A75" s="47" t="s">
        <v>165</v>
      </c>
      <c r="B75" s="48" t="n">
        <f aca="false">AVERAGE(B76:B87)</f>
        <v>3.88333333333333</v>
      </c>
      <c r="C75" s="46"/>
    </row>
    <row r="76" customFormat="false" ht="14.25" hidden="false" customHeight="false" outlineLevel="0" collapsed="false">
      <c r="A76" s="49" t="s">
        <v>37</v>
      </c>
      <c r="B76" s="49" t="n">
        <f aca="false">IFERROR(LOOKUP(2,1/(('Game Log Season 3'!$C$3:$C$1000="Hiccup_The_Hero")*('Game Log Season 3'!$D$3:$D$1000=A76)*('Game Log Season 3'!$X$3:$X$1000&lt;&gt;"")),'Game Log Season 3'!$X$3:$X$1000), D76)</f>
        <v>3.9</v>
      </c>
      <c r="C76" s="46"/>
      <c r="D76" s="49" t="n">
        <v>3.9</v>
      </c>
      <c r="E76" s="47" t="s">
        <v>166</v>
      </c>
    </row>
    <row r="77" customFormat="false" ht="14.25" hidden="false" customHeight="false" outlineLevel="0" collapsed="false">
      <c r="A77" s="49" t="s">
        <v>48</v>
      </c>
      <c r="B77" s="49" t="n">
        <f aca="false">IFERROR(LOOKUP(2,1/(('Game Log Season 3'!$C$3:$C$1000="Hiccup_The_Hero")*('Game Log Season 3'!$D$3:$D$1000=A77)*('Game Log Season 3'!$X$3:$X$1000&lt;&gt;"")),'Game Log Season 3'!$X$3:$X$1000), D77)</f>
        <v>3.9</v>
      </c>
      <c r="C77" s="46"/>
      <c r="D77" s="49" t="n">
        <v>3.9</v>
      </c>
      <c r="E77" s="47" t="s">
        <v>167</v>
      </c>
    </row>
    <row r="78" customFormat="false" ht="14.25" hidden="false" customHeight="false" outlineLevel="0" collapsed="false">
      <c r="A78" s="49" t="s">
        <v>168</v>
      </c>
      <c r="B78" s="49" t="n">
        <f aca="false">IFERROR(LOOKUP(2,1/(('Game Log Season 3'!$C$3:$C$1000="Hiccup_The_Hero")*('Game Log Season 3'!$D$3:$D$1000=A78)*('Game Log Season 3'!$X$3:$X$1000&lt;&gt;"")),'Game Log Season 3'!$X$3:$X$1000), D78)</f>
        <v>3.9</v>
      </c>
      <c r="C78" s="46"/>
      <c r="D78" s="49" t="n">
        <v>3.9</v>
      </c>
      <c r="E78" s="47" t="s">
        <v>169</v>
      </c>
    </row>
    <row r="79" customFormat="false" ht="14.25" hidden="false" customHeight="false" outlineLevel="0" collapsed="false">
      <c r="A79" s="49" t="s">
        <v>119</v>
      </c>
      <c r="B79" s="49" t="n">
        <f aca="false">IFERROR(LOOKUP(2,1/(('Game Log Season 3'!$C$3:$C$1000="Hiccup_The_Hero")*('Game Log Season 3'!$D$3:$D$1000=A79)*('Game Log Season 3'!$X$3:$X$1000&lt;&gt;"")),'Game Log Season 3'!$X$3:$X$1000), D79)</f>
        <v>3.9</v>
      </c>
      <c r="C79" s="46"/>
      <c r="D79" s="49" t="n">
        <v>3.9</v>
      </c>
      <c r="E79" s="47" t="s">
        <v>170</v>
      </c>
    </row>
    <row r="80" customFormat="false" ht="14.25" hidden="false" customHeight="false" outlineLevel="0" collapsed="false">
      <c r="A80" s="49" t="s">
        <v>68</v>
      </c>
      <c r="B80" s="49" t="n">
        <f aca="false">IFERROR(LOOKUP(2,1/(('Game Log Season 3'!$C$3:$C$1000="Hiccup_The_Hero")*('Game Log Season 3'!$D$3:$D$1000=A80)*('Game Log Season 3'!$X$3:$X$1000&lt;&gt;"")),'Game Log Season 3'!$X$3:$X$1000), D80)</f>
        <v>3.9</v>
      </c>
      <c r="C80" s="46"/>
      <c r="D80" s="49" t="n">
        <v>3.9</v>
      </c>
      <c r="E80" s="47" t="s">
        <v>171</v>
      </c>
    </row>
    <row r="81" customFormat="false" ht="14.25" hidden="false" customHeight="false" outlineLevel="0" collapsed="false">
      <c r="A81" s="49" t="s">
        <v>91</v>
      </c>
      <c r="B81" s="49" t="n">
        <f aca="false">IFERROR(LOOKUP(2,1/(('Game Log Season 3'!$C$3:$C$1000="Hiccup_The_Hero")*('Game Log Season 3'!$D$3:$D$1000=A81)*('Game Log Season 3'!$X$3:$X$1000&lt;&gt;"")),'Game Log Season 3'!$X$3:$X$1000), D81)</f>
        <v>3.9</v>
      </c>
      <c r="C81" s="46"/>
      <c r="D81" s="49" t="n">
        <v>3.9</v>
      </c>
      <c r="E81" s="47" t="s">
        <v>172</v>
      </c>
    </row>
    <row r="82" customFormat="false" ht="14.25" hidden="false" customHeight="false" outlineLevel="0" collapsed="false">
      <c r="A82" s="49" t="s">
        <v>82</v>
      </c>
      <c r="B82" s="49" t="n">
        <f aca="false">IFERROR(LOOKUP(2,1/(('Game Log Season 3'!$C$3:$C$1000="Hiccup_The_Hero")*('Game Log Season 3'!$D$3:$D$1000=A82)*('Game Log Season 3'!$X$3:$X$1000&lt;&gt;"")),'Game Log Season 3'!$X$3:$X$1000), D82)</f>
        <v>3.7</v>
      </c>
      <c r="C82" s="46"/>
      <c r="D82" s="49" t="n">
        <v>3.7</v>
      </c>
      <c r="E82" s="47" t="s">
        <v>173</v>
      </c>
    </row>
    <row r="83" customFormat="false" ht="14.25" hidden="false" customHeight="false" outlineLevel="0" collapsed="false">
      <c r="A83" s="49" t="s">
        <v>121</v>
      </c>
      <c r="B83" s="49" t="n">
        <f aca="false">IFERROR(LOOKUP(2,1/(('Game Log Season 3'!$C$3:$C$1000="Hiccup_The_Hero")*('Game Log Season 3'!$D$3:$D$1000=A83)*('Game Log Season 3'!$X$3:$X$1000&lt;&gt;"")),'Game Log Season 3'!$X$3:$X$1000), D83)</f>
        <v>3.9</v>
      </c>
      <c r="C83" s="46"/>
      <c r="D83" s="49" t="n">
        <v>3.9</v>
      </c>
      <c r="E83" s="47" t="s">
        <v>174</v>
      </c>
    </row>
    <row r="84" customFormat="false" ht="14.25" hidden="false" customHeight="false" outlineLevel="0" collapsed="false">
      <c r="A84" s="49" t="s">
        <v>175</v>
      </c>
      <c r="B84" s="49" t="n">
        <f aca="false">IFERROR(LOOKUP(2,1/(('Game Log Season 3'!$C$3:$C$1000="Hiccup_The_Hero")*('Game Log Season 3'!$D$3:$D$1000=A84)*('Game Log Season 3'!$X$3:$X$1000&lt;&gt;"")),'Game Log Season 3'!$X$3:$X$1000), D84)</f>
        <v>3.9</v>
      </c>
      <c r="C84" s="46"/>
      <c r="D84" s="49" t="n">
        <v>3.9</v>
      </c>
      <c r="E84" s="47" t="s">
        <v>176</v>
      </c>
    </row>
    <row r="85" customFormat="false" ht="14.25" hidden="false" customHeight="false" outlineLevel="0" collapsed="false">
      <c r="A85" s="49" t="s">
        <v>123</v>
      </c>
      <c r="B85" s="49" t="n">
        <f aca="false">IFERROR(LOOKUP(2,1/(('Game Log Season 3'!$C$3:$C$1000="Hiccup_The_Hero")*('Game Log Season 3'!$D$3:$D$1000=A85)*('Game Log Season 3'!$X$3:$X$1000&lt;&gt;"")),'Game Log Season 3'!$X$3:$X$1000), D85)</f>
        <v>3.9</v>
      </c>
      <c r="C85" s="46"/>
      <c r="D85" s="49" t="n">
        <v>3.9</v>
      </c>
      <c r="E85" s="47" t="s">
        <v>177</v>
      </c>
    </row>
    <row r="86" customFormat="false" ht="14.25" hidden="false" customHeight="false" outlineLevel="0" collapsed="false">
      <c r="A86" s="49" t="s">
        <v>156</v>
      </c>
      <c r="B86" s="49" t="n">
        <f aca="false">IFERROR(LOOKUP(2,1/(('Game Log Season 3'!$C$3:$C$1000="Hiccup_The_Hero")*('Game Log Season 3'!$D$3:$D$1000=A86)*('Game Log Season 3'!$X$3:$X$1000&lt;&gt;"")),'Game Log Season 3'!$X$3:$X$1000), D86)</f>
        <v>3.9</v>
      </c>
      <c r="C86" s="46"/>
      <c r="D86" s="49" t="n">
        <v>3.9</v>
      </c>
      <c r="E86" s="47" t="s">
        <v>178</v>
      </c>
    </row>
    <row r="87" customFormat="false" ht="14.25" hidden="false" customHeight="false" outlineLevel="0" collapsed="false">
      <c r="A87" s="49" t="s">
        <v>88</v>
      </c>
      <c r="B87" s="49" t="n">
        <f aca="false">IFERROR(LOOKUP(2,1/(('Game Log Season 3'!$C$3:$C$1000="Hiccup_The_Hero")*('Game Log Season 3'!$D$3:$D$1000=A87)*('Game Log Season 3'!$X$3:$X$1000&lt;&gt;"")),'Game Log Season 3'!$X$3:$X$1000), D87)</f>
        <v>3.9</v>
      </c>
      <c r="C87" s="46"/>
      <c r="D87" s="49" t="n">
        <v>3.9</v>
      </c>
      <c r="E87" s="47" t="s">
        <v>179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180</v>
      </c>
      <c r="B1" s="45" t="s">
        <v>181</v>
      </c>
      <c r="C1" s="45" t="s">
        <v>182</v>
      </c>
      <c r="D1" s="45" t="s">
        <v>183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31</v>
      </c>
      <c r="B24" s="49" t="n">
        <f aca="false">COUNTIFS('Game Log Season 3'!$C$3:$C$1000,"Mateo",'Game Log Season 3'!$D$3:$D$1000,A24)</f>
        <v>1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34</v>
      </c>
      <c r="B25" s="49" t="n">
        <f aca="false">COUNTIFS('Game Log Season 3'!$C$3:$C$1000,"Mateo",'Game Log Season 3'!$D$3:$D$1000,A25)</f>
        <v>0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74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57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80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81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83</v>
      </c>
      <c r="B30" s="49" t="n">
        <f aca="false">COUNTIFS('Game Log Season 3'!$C$3:$C$1000,"Mateo",'Game Log Season 3'!$D$3:$D$1000,A30)</f>
        <v>1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48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1</v>
      </c>
      <c r="D31" s="49" t="n">
        <f aca="false">IFERROR(C31/B31,0)</f>
        <v>1</v>
      </c>
    </row>
    <row r="32" customFormat="false" ht="14.25" hidden="false" customHeight="false" outlineLevel="0" collapsed="false">
      <c r="A32" s="49" t="s">
        <v>90</v>
      </c>
      <c r="B32" s="49" t="n">
        <f aca="false">COUNTIFS('Game Log Season 3'!$C$3:$C$1000,"Mateo",'Game Log Season 3'!$D$3:$D$1000,A32)</f>
        <v>4</v>
      </c>
      <c r="C32" s="49" t="n">
        <f aca="false">COUNTIFS('Game Log Season 3'!$C$3:$C$1000,"Mateo",'Game Log Season 3'!$D$3:$D$1000,A32,'Game Log Season 3'!$F$3:$F$1000,1)</f>
        <v>0</v>
      </c>
      <c r="D32" s="49" t="n">
        <f aca="false">IFERROR(C32/B32,0)</f>
        <v>0</v>
      </c>
    </row>
    <row r="33" customFormat="false" ht="14.25" hidden="false" customHeight="false" outlineLevel="0" collapsed="false">
      <c r="A33" s="49" t="s">
        <v>46</v>
      </c>
      <c r="B33" s="49" t="n">
        <f aca="false">COUNTIFS('Game Log Season 3'!$C$3:$C$1000,"Mateo",'Game Log Season 3'!$D$3:$D$1000,A33)</f>
        <v>1</v>
      </c>
      <c r="C33" s="49" t="n">
        <f aca="false">COUNTIFS('Game Log Season 3'!$C$3:$C$1000,"Mateo",'Game Log Season 3'!$D$3:$D$1000,A33,'Game Log Season 3'!$F$3:$F$1000,1)</f>
        <v>1</v>
      </c>
      <c r="D33" s="49" t="n">
        <f aca="false">IFERROR(C33/B33,0)</f>
        <v>1</v>
      </c>
    </row>
    <row r="34" customFormat="false" ht="14.25" hidden="false" customHeight="false" outlineLevel="0" collapsed="false">
      <c r="A34" s="49" t="s">
        <v>92</v>
      </c>
      <c r="B34" s="49" t="n">
        <f aca="false">COUNTIFS('Game Log Season 3'!$C$3:$C$1000,"Mateo",'Game Log Season 3'!$D$3:$D$1000,A34)</f>
        <v>3</v>
      </c>
      <c r="C34" s="49" t="n">
        <f aca="false">COUNTIFS('Game Log Season 3'!$C$3:$C$1000,"Mateo",'Game Log Season 3'!$D$3:$D$1000,A34,'Game Log Season 3'!$F$3:$F$1000,1)</f>
        <v>2</v>
      </c>
      <c r="D34" s="49" t="n">
        <f aca="false">IFERROR(C34/B34,0)</f>
        <v>0.666666666666667</v>
      </c>
    </row>
    <row r="35" customFormat="false" ht="14.25" hidden="false" customHeight="false" outlineLevel="0" collapsed="false">
      <c r="A35" s="49" t="s">
        <v>40</v>
      </c>
      <c r="B35" s="49" t="n">
        <f aca="false">COUNTIFS('Game Log Season 3'!$C$3:$C$1000,"Mateo",'Game Log Season 3'!$D$3:$D$1000,A35)</f>
        <v>1</v>
      </c>
      <c r="C35" s="49" t="n">
        <f aca="false">COUNTIFS('Game Log Season 3'!$C$3:$C$1000,"Mateo",'Game Log Season 3'!$D$3:$D$1000,A35,'Game Log Season 3'!$F$3:$F$1000,1)</f>
        <v>1</v>
      </c>
      <c r="D35" s="49" t="n">
        <f aca="false">IFERROR(C35/B35,0)</f>
        <v>1</v>
      </c>
    </row>
    <row r="36" customFormat="false" ht="14.25" hidden="false" customHeight="false" outlineLevel="0" collapsed="false">
      <c r="A36" s="49" t="s">
        <v>139</v>
      </c>
      <c r="B36" s="49" t="n">
        <f aca="false">COUNTIFS('Game Log Season 3'!$C$3:$C$1000,"Mateo",'Game Log Season 3'!$D$3:$D$1000,A36)</f>
        <v>0</v>
      </c>
      <c r="C36" s="49" t="n">
        <f aca="false">COUNTIFS('Game Log Season 3'!$C$3:$C$1000,"Mateo",'Game Log Season 3'!$D$3:$D$1000,A36,'Game Log Season 3'!$F$3:$F$1000,1)</f>
        <v>0</v>
      </c>
      <c r="D36" s="49" t="n">
        <f aca="false">IFERROR(C36/B36,0)</f>
        <v>0</v>
      </c>
    </row>
    <row r="37" customFormat="false" ht="14.25" hidden="false" customHeight="false" outlineLevel="0" collapsed="false">
      <c r="A37" s="49" t="s">
        <v>93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142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144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7" t="s">
        <v>32</v>
      </c>
      <c r="B40" s="48" t="n">
        <f aca="false">COUNTIFS('Game Log Season 3'!$C$3:$C$1000,A40)</f>
        <v>11</v>
      </c>
      <c r="C40" s="48" t="n">
        <f aca="false">COUNTIFS('Game Log Season 3'!$C$3:$C$1000,A40,'Game Log Season 3'!$F$3:$F$1000,1)</f>
        <v>3</v>
      </c>
      <c r="D40" s="48" t="n">
        <f aca="false">IFERROR(C40/B40,0)</f>
        <v>0.272727272727273</v>
      </c>
    </row>
    <row r="41" customFormat="false" ht="14.25" hidden="false" customHeight="false" outlineLevel="0" collapsed="false">
      <c r="A41" s="49" t="s">
        <v>36</v>
      </c>
      <c r="B41" s="49" t="n">
        <f aca="false">COUNTIFS('Game Log Season 3'!$C$3:$C$1000,"Ryan",'Game Log Season 3'!$D$3:$D$1000,A41)</f>
        <v>0</v>
      </c>
      <c r="C41" s="49" t="n">
        <f aca="false">COUNTIFS('Game Log Season 3'!$C$3:$C$1000,"Ryan",'Game Log Season 3'!$D$3:$D$1000,A41,'Game Log Season 3'!$F$3:$F$1000,1)</f>
        <v>0</v>
      </c>
      <c r="D41" s="49" t="n">
        <f aca="false">IFERROR(C41/B41,0)</f>
        <v>0</v>
      </c>
    </row>
    <row r="42" customFormat="false" ht="14.25" hidden="false" customHeight="false" outlineLevel="0" collapsed="false">
      <c r="A42" s="49" t="s">
        <v>62</v>
      </c>
      <c r="B42" s="49" t="n">
        <f aca="false">COUNTIFS('Game Log Season 3'!$C$3:$C$1000,"Ryan",'Game Log Season 3'!$D$3:$D$1000,A42)</f>
        <v>1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33</v>
      </c>
      <c r="B43" s="49" t="n">
        <f aca="false">COUNTIFS('Game Log Season 3'!$C$3:$C$1000,"Ryan",'Game Log Season 3'!$D$3:$D$1000,A43)</f>
        <v>0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61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41</v>
      </c>
      <c r="B45" s="49" t="n">
        <f aca="false">COUNTIFS('Game Log Season 3'!$C$3:$C$1000,"Ryan",'Game Log Season 3'!$D$3:$D$1000,A45)</f>
        <v>1</v>
      </c>
      <c r="C45" s="49" t="n">
        <f aca="false">COUNTIFS('Game Log Season 3'!$C$3:$C$1000,"Ryan",'Game Log Season 3'!$D$3:$D$1000,A45,'Game Log Season 3'!$F$3:$F$1000,1)</f>
        <v>1</v>
      </c>
      <c r="D45" s="49" t="n">
        <f aca="false">IFERROR(C45/B45,0)</f>
        <v>1</v>
      </c>
    </row>
    <row r="46" customFormat="false" ht="14.25" hidden="false" customHeight="false" outlineLevel="0" collapsed="false">
      <c r="A46" s="49" t="s">
        <v>79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0</v>
      </c>
      <c r="D46" s="49" t="n">
        <f aca="false">IFERROR(C46/B46,0)</f>
        <v>0</v>
      </c>
    </row>
    <row r="47" customFormat="false" ht="14.25" hidden="false" customHeight="false" outlineLevel="0" collapsed="false">
      <c r="A47" s="49" t="s">
        <v>54</v>
      </c>
      <c r="B47" s="49" t="n">
        <f aca="false">COUNTIFS('Game Log Season 3'!$C$3:$C$1000,"Ryan",'Game Log Season 3'!$D$3:$D$1000,A47)</f>
        <v>2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87</v>
      </c>
      <c r="B48" s="49" t="n">
        <f aca="false">COUNTIFS('Game Log Season 3'!$C$3:$C$1000,"Ryan",'Game Log Season 3'!$D$3:$D$1000,A48)</f>
        <v>0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89</v>
      </c>
      <c r="B49" s="49" t="n">
        <f aca="false">COUNTIFS('Game Log Season 3'!$C$3:$C$1000,"Ryan",'Game Log Season 3'!$D$3:$D$1000,A49)</f>
        <v>2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94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1</v>
      </c>
      <c r="D50" s="49" t="n">
        <f aca="false">IFERROR(C50/B50,0)</f>
        <v>0.5</v>
      </c>
    </row>
    <row r="51" customFormat="false" ht="14.25" hidden="false" customHeight="false" outlineLevel="0" collapsed="false">
      <c r="A51" s="49" t="s">
        <v>97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156</v>
      </c>
      <c r="B52" s="49" t="n">
        <f aca="false">COUNTIFS('Game Log Season 3'!$C$3:$C$1000,"Ryan",'Game Log Season 3'!$D$3:$D$1000,A52)</f>
        <v>0</v>
      </c>
      <c r="C52" s="49" t="n">
        <f aca="false">COUNTIFS('Game Log Season 3'!$C$3:$C$1000,"Ryan",'Game Log Season 3'!$D$3:$D$1000,A52,'Game Log Season 3'!$F$3:$F$1000,1)</f>
        <v>0</v>
      </c>
      <c r="D52" s="49" t="n">
        <f aca="false">IFERROR(C52/B52,0)</f>
        <v>0</v>
      </c>
    </row>
    <row r="53" customFormat="false" ht="14.25" hidden="false" customHeight="false" outlineLevel="0" collapsed="false">
      <c r="A53" s="49" t="s">
        <v>43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159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7" t="s">
        <v>70</v>
      </c>
      <c r="B55" s="48" t="n">
        <f aca="false">COUNTIFS('Game Log Season 3'!$C$3:$C$1000,A55)</f>
        <v>2</v>
      </c>
      <c r="C55" s="48" t="n">
        <f aca="false">COUNTIFS('Game Log Season 3'!$C$3:$C$1000,A55,'Game Log Season 3'!$F$3:$F$1000,1)</f>
        <v>0</v>
      </c>
      <c r="D55" s="48" t="n">
        <f aca="false">IFERROR(C55/B55,0)</f>
        <v>0</v>
      </c>
    </row>
    <row r="56" customFormat="false" ht="14.25" hidden="false" customHeight="false" outlineLevel="0" collapsed="false">
      <c r="A56" s="49" t="s">
        <v>71</v>
      </c>
      <c r="B56" s="49" t="n">
        <f aca="false">COUNTIFS('Game Log Season 3'!$C$3:$C$1000,"Kristy",'Game Log Season 3'!$D$3:$D$1000,A56)</f>
        <v>0</v>
      </c>
      <c r="C56" s="49" t="n">
        <f aca="false">COUNTIFS('Game Log Season 3'!$C$3:$C$1000,"Kristy",'Game Log Season 3'!$D$3:$D$1000,A56,'Game Log Season 3'!$F$3:$F$1000,1)</f>
        <v>0</v>
      </c>
      <c r="D56" s="49" t="n">
        <f aca="false">IFERROR(C56/B56,0)</f>
        <v>0</v>
      </c>
    </row>
    <row r="57" customFormat="false" ht="14.25" hidden="false" customHeight="false" outlineLevel="0" collapsed="false">
      <c r="A57" s="49" t="s">
        <v>57</v>
      </c>
      <c r="B57" s="49" t="n">
        <f aca="false">COUNTIFS('Game Log Season 3'!$C$3:$C$1000,"Kristy",'Game Log Season 3'!$D$3:$D$1000,A57)</f>
        <v>1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78</v>
      </c>
      <c r="B58" s="49" t="n">
        <f aca="false">COUNTIFS('Game Log Season 3'!$C$3:$C$1000,"Kristy",'Game Log Season 3'!$D$3:$D$1000,A58)</f>
        <v>0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85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93</v>
      </c>
      <c r="B60" s="49" t="n">
        <f aca="false">COUNTIFS('Game Log Season 3'!$C$3:$C$1000,"Kristy",'Game Log Season 3'!$D$3:$D$1000,A60)</f>
        <v>1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7" t="s">
        <v>38</v>
      </c>
      <c r="B61" s="48" t="n">
        <f aca="false">COUNTIFS('Game Log Season 3'!$C$3:$C$1000,A61)</f>
        <v>1</v>
      </c>
      <c r="C61" s="48" t="n">
        <f aca="false">COUNTIFS('Game Log Season 3'!$C$3:$C$1000,A61,'Game Log Season 3'!$F$3:$F$1000,1)</f>
        <v>0</v>
      </c>
      <c r="D61" s="48" t="n">
        <f aca="false">IFERROR(C61/B61,0)</f>
        <v>0</v>
      </c>
    </row>
    <row r="62" customFormat="false" ht="14.25" hidden="false" customHeight="false" outlineLevel="0" collapsed="false">
      <c r="A62" s="49" t="s">
        <v>49</v>
      </c>
      <c r="B62" s="49" t="n">
        <f aca="false">COUNTIFS('Game Log Season 3'!$C$3:$C$1000,"Joseph",'Game Log Season 3'!$D$3:$D$1000,A62)</f>
        <v>0</v>
      </c>
      <c r="C62" s="49" t="n">
        <f aca="false">COUNTIFS('Game Log Season 3'!$C$3:$C$1000,"Joseph",'Game Log Season 3'!$D$3:$D$1000,A62,'Game Log Season 3'!$F$3:$F$1000,1)</f>
        <v>0</v>
      </c>
      <c r="D62" s="49" t="n">
        <f aca="false">IFERROR(C62/B62,0)</f>
        <v>0</v>
      </c>
    </row>
    <row r="63" customFormat="false" ht="14.25" hidden="false" customHeight="false" outlineLevel="0" collapsed="false">
      <c r="A63" s="49" t="s">
        <v>76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77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64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63</v>
      </c>
      <c r="B66" s="49" t="n">
        <f aca="false">COUNTIFS('Game Log Season 3'!$C$3:$C$1000,"Joseph",'Game Log Season 3'!$D$3:$D$1000,A66)</f>
        <v>1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7" t="s">
        <v>59</v>
      </c>
      <c r="B67" s="48" t="n">
        <f aca="false">COUNTIFS('Game Log Season 3'!$C$3:$C$1000,A67)</f>
        <v>0</v>
      </c>
      <c r="C67" s="48" t="n">
        <f aca="false">COUNTIFS('Game Log Season 3'!$C$3:$C$1000,A67,'Game Log Season 3'!$F$3:$F$1000,1)</f>
        <v>0</v>
      </c>
      <c r="D67" s="48" t="n">
        <f aca="false">IFERROR(C67/B67,0)</f>
        <v>0</v>
      </c>
    </row>
    <row r="68" customFormat="false" ht="14.25" hidden="false" customHeight="false" outlineLevel="0" collapsed="false">
      <c r="A68" s="49" t="s">
        <v>33</v>
      </c>
      <c r="B68" s="49" t="n">
        <f aca="false">COUNTIFS('Game Log Season 3'!$C$3:$C$1000,"Red",'Game Log Season 3'!$D$3:$D$1000,A68)</f>
        <v>0</v>
      </c>
      <c r="C68" s="49" t="n">
        <f aca="false">COUNTIFS('Game Log Season 3'!$C$3:$C$1000,"Red",'Game Log Season 3'!$D$3:$D$1000,A68,'Game Log Season 3'!$F$3:$F$1000,1)</f>
        <v>0</v>
      </c>
      <c r="D68" s="49" t="n">
        <f aca="false">IFERROR(C68/B68,0)</f>
        <v>0</v>
      </c>
    </row>
    <row r="69" customFormat="false" ht="14.25" hidden="false" customHeight="false" outlineLevel="0" collapsed="false">
      <c r="A69" s="49" t="s">
        <v>69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84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7" t="s">
        <v>51</v>
      </c>
      <c r="B71" s="48" t="n">
        <f aca="false">COUNTIFS('Game Log Season 3'!$C$3:$C$1000,A71)</f>
        <v>4</v>
      </c>
      <c r="C71" s="48" t="n">
        <f aca="false">COUNTIFS('Game Log Season 3'!$C$3:$C$1000,A71,'Game Log Season 3'!$F$3:$F$1000,1)</f>
        <v>0</v>
      </c>
      <c r="D71" s="48" t="n">
        <f aca="false">IFERROR(C71/B71,0)</f>
        <v>0</v>
      </c>
    </row>
    <row r="72" customFormat="false" ht="14.25" hidden="false" customHeight="false" outlineLevel="0" collapsed="false">
      <c r="A72" s="49" t="s">
        <v>52</v>
      </c>
      <c r="B72" s="49" t="n">
        <f aca="false">COUNTIFS('Game Log Season 3'!$C$3:$C$1000,"Michelle",'Game Log Season 3'!$D$3:$D$1000,A72)</f>
        <v>3</v>
      </c>
      <c r="C72" s="49" t="n">
        <f aca="false">COUNTIFS('Game Log Season 3'!$C$3:$C$1000,"Michelle",'Game Log Season 3'!$D$3:$D$1000,A72,'Game Log Season 3'!$F$3:$F$1000,1)</f>
        <v>0</v>
      </c>
      <c r="D72" s="49" t="n">
        <f aca="false">IFERROR(C72/B72,0)</f>
        <v>0</v>
      </c>
    </row>
    <row r="73" customFormat="false" ht="14.25" hidden="false" customHeight="false" outlineLevel="0" collapsed="false">
      <c r="A73" s="49" t="s">
        <v>86</v>
      </c>
      <c r="B73" s="49" t="n">
        <f aca="false">COUNTIFS('Game Log Season 3'!$C$3:$C$1000,"Michelle",'Game Log Season 3'!$D$3:$D$1000,A73)</f>
        <v>0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96</v>
      </c>
      <c r="B74" s="49" t="n">
        <f aca="false">COUNTIFS('Game Log Season 3'!$C$3:$C$1000,"Michelle",'Game Log Season 3'!$D$3:$D$1000,A74)</f>
        <v>1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  <row r="75" customFormat="false" ht="14.25" hidden="false" customHeight="false" outlineLevel="0" collapsed="false">
      <c r="A75" s="47" t="s">
        <v>165</v>
      </c>
      <c r="B75" s="48" t="n">
        <f aca="false">COUNTIFS('Game Log Season 3'!$C$3:$C$1000,A75)</f>
        <v>0</v>
      </c>
      <c r="C75" s="48" t="n">
        <f aca="false">COUNTIFS('Game Log Season 3'!$C$3:$C$1000,A75,'Game Log Season 3'!$F$3:$F$1000,1)</f>
        <v>0</v>
      </c>
      <c r="D75" s="48" t="n">
        <f aca="false">IFERROR(C75/B75,0)</f>
        <v>0</v>
      </c>
    </row>
    <row r="76" customFormat="false" ht="14.25" hidden="false" customHeight="false" outlineLevel="0" collapsed="false">
      <c r="A76" s="49" t="s">
        <v>37</v>
      </c>
      <c r="B76" s="49" t="n">
        <f aca="false">COUNTIFS('Game Log Season 3'!$C$3:$C$1000,"Hiccup_The_Hero",'Game Log Season 3'!$D$3:$D$1000,A76)</f>
        <v>0</v>
      </c>
      <c r="C76" s="49" t="n">
        <f aca="false">COUNTIFS('Game Log Season 3'!$C$3:$C$1000,"Hiccup_The_Hero",'Game Log Season 3'!$D$3:$D$1000,A76,'Game Log Season 3'!$F$3:$F$1000,1)</f>
        <v>0</v>
      </c>
      <c r="D76" s="49" t="n">
        <f aca="false">IFERROR(C76/B76,0)</f>
        <v>0</v>
      </c>
    </row>
    <row r="77" customFormat="false" ht="14.25" hidden="false" customHeight="false" outlineLevel="0" collapsed="false">
      <c r="A77" s="49" t="s">
        <v>48</v>
      </c>
      <c r="B77" s="49" t="n">
        <f aca="false">COUNTIFS('Game Log Season 3'!$C$3:$C$1000,"Hiccup_The_Hero",'Game Log Season 3'!$D$3:$D$1000,A77)</f>
        <v>0</v>
      </c>
      <c r="C77" s="49" t="n">
        <f aca="false">COUNTIFS('Game Log Season 3'!$C$3:$C$1000,"Hiccup_The_Hero",'Game Log Season 3'!$D$3:$D$1000,A77,'Game Log Season 3'!$F$3:$F$1000,1)</f>
        <v>0</v>
      </c>
      <c r="D77" s="49" t="n">
        <f aca="false">IFERROR(C77/B77,0)</f>
        <v>0</v>
      </c>
    </row>
    <row r="78" customFormat="false" ht="14.25" hidden="false" customHeight="false" outlineLevel="0" collapsed="false">
      <c r="A78" s="49" t="s">
        <v>168</v>
      </c>
      <c r="B78" s="49" t="n">
        <f aca="false">COUNTIFS('Game Log Season 3'!$C$3:$C$1000,"Hiccup_The_Hero",'Game Log Season 3'!$D$3:$D$1000,A78)</f>
        <v>0</v>
      </c>
      <c r="C78" s="49" t="n">
        <f aca="false">COUNTIFS('Game Log Season 3'!$C$3:$C$1000,"Hiccup_The_Hero",'Game Log Season 3'!$D$3:$D$1000,A78,'Game Log Season 3'!$F$3:$F$1000,1)</f>
        <v>0</v>
      </c>
      <c r="D78" s="49" t="n">
        <f aca="false">IFERROR(C78/B78,0)</f>
        <v>0</v>
      </c>
    </row>
    <row r="79" customFormat="false" ht="14.25" hidden="false" customHeight="false" outlineLevel="0" collapsed="false">
      <c r="A79" s="49" t="s">
        <v>119</v>
      </c>
      <c r="B79" s="49" t="n">
        <f aca="false">COUNTIFS('Game Log Season 3'!$C$3:$C$1000,"Hiccup_The_Hero",'Game Log Season 3'!$D$3:$D$1000,A79)</f>
        <v>0</v>
      </c>
      <c r="C79" s="49" t="n">
        <f aca="false">COUNTIFS('Game Log Season 3'!$C$3:$C$1000,"Hiccup_The_Hero",'Game Log Season 3'!$D$3:$D$1000,A79,'Game Log Season 3'!$F$3:$F$1000,1)</f>
        <v>0</v>
      </c>
      <c r="D79" s="49" t="n">
        <f aca="false">IFERROR(C79/B79,0)</f>
        <v>0</v>
      </c>
    </row>
    <row r="80" customFormat="false" ht="14.25" hidden="false" customHeight="false" outlineLevel="0" collapsed="false">
      <c r="A80" s="49" t="s">
        <v>68</v>
      </c>
      <c r="B80" s="49" t="n">
        <f aca="false">COUNTIFS('Game Log Season 3'!$C$3:$C$1000,"Hiccup_The_Hero",'Game Log Season 3'!$D$3:$D$1000,A80)</f>
        <v>0</v>
      </c>
      <c r="C80" s="49" t="n">
        <f aca="false">COUNTIFS('Game Log Season 3'!$C$3:$C$1000,"Hiccup_The_Hero",'Game Log Season 3'!$D$3:$D$1000,A80,'Game Log Season 3'!$F$3:$F$1000,1)</f>
        <v>0</v>
      </c>
      <c r="D80" s="49" t="n">
        <f aca="false">IFERROR(C80/B80,0)</f>
        <v>0</v>
      </c>
    </row>
    <row r="81" customFormat="false" ht="14.25" hidden="false" customHeight="false" outlineLevel="0" collapsed="false">
      <c r="A81" s="49" t="s">
        <v>91</v>
      </c>
      <c r="B81" s="49" t="n">
        <f aca="false">COUNTIFS('Game Log Season 3'!$C$3:$C$1000,"Hiccup_The_Hero",'Game Log Season 3'!$D$3:$D$1000,A81)</f>
        <v>0</v>
      </c>
      <c r="C81" s="49" t="n">
        <f aca="false">COUNTIFS('Game Log Season 3'!$C$3:$C$1000,"Hiccup_The_Hero",'Game Log Season 3'!$D$3:$D$1000,A81,'Game Log Season 3'!$F$3:$F$1000,1)</f>
        <v>0</v>
      </c>
      <c r="D81" s="49" t="n">
        <f aca="false">IFERROR(C81/B81,0)</f>
        <v>0</v>
      </c>
    </row>
    <row r="82" customFormat="false" ht="14.25" hidden="false" customHeight="false" outlineLevel="0" collapsed="false">
      <c r="A82" s="49" t="s">
        <v>82</v>
      </c>
      <c r="B82" s="49" t="n">
        <f aca="false">COUNTIFS('Game Log Season 3'!$C$3:$C$1000,"Hiccup_The_Hero",'Game Log Season 3'!$D$3:$D$1000,A82)</f>
        <v>0</v>
      </c>
      <c r="C82" s="49" t="n">
        <f aca="false">COUNTIFS('Game Log Season 3'!$C$3:$C$1000,"Hiccup_The_Hero",'Game Log Season 3'!$D$3:$D$1000,A82,'Game Log Season 3'!$F$3:$F$1000,1)</f>
        <v>0</v>
      </c>
      <c r="D82" s="49" t="n">
        <f aca="false">IFERROR(C82/B82,0)</f>
        <v>0</v>
      </c>
    </row>
    <row r="83" customFormat="false" ht="14.25" hidden="false" customHeight="false" outlineLevel="0" collapsed="false">
      <c r="A83" s="49" t="s">
        <v>121</v>
      </c>
      <c r="B83" s="49" t="n">
        <f aca="false">COUNTIFS('Game Log Season 3'!$C$3:$C$1000,"Hiccup_The_Hero",'Game Log Season 3'!$D$3:$D$1000,A83)</f>
        <v>0</v>
      </c>
      <c r="C83" s="49" t="n">
        <f aca="false">COUNTIFS('Game Log Season 3'!$C$3:$C$1000,"Hiccup_The_Hero",'Game Log Season 3'!$D$3:$D$1000,A83,'Game Log Season 3'!$F$3:$F$1000,1)</f>
        <v>0</v>
      </c>
      <c r="D83" s="49" t="n">
        <f aca="false">IFERROR(C83/B83,0)</f>
        <v>0</v>
      </c>
    </row>
    <row r="84" customFormat="false" ht="14.25" hidden="false" customHeight="false" outlineLevel="0" collapsed="false">
      <c r="A84" s="49" t="s">
        <v>175</v>
      </c>
      <c r="B84" s="49" t="n">
        <f aca="false">COUNTIFS('Game Log Season 3'!$C$3:$C$1000,"Hiccup_The_Hero",'Game Log Season 3'!$D$3:$D$1000,A84)</f>
        <v>0</v>
      </c>
      <c r="C84" s="49" t="n">
        <f aca="false">COUNTIFS('Game Log Season 3'!$C$3:$C$1000,"Hiccup_The_Hero",'Game Log Season 3'!$D$3:$D$1000,A84,'Game Log Season 3'!$F$3:$F$1000,1)</f>
        <v>0</v>
      </c>
      <c r="D84" s="49" t="n">
        <f aca="false">IFERROR(C84/B84,0)</f>
        <v>0</v>
      </c>
    </row>
    <row r="85" customFormat="false" ht="14.25" hidden="false" customHeight="false" outlineLevel="0" collapsed="false">
      <c r="A85" s="49" t="s">
        <v>123</v>
      </c>
      <c r="B85" s="49" t="n">
        <f aca="false">COUNTIFS('Game Log Season 3'!$C$3:$C$1000,"Hiccup_The_Hero",'Game Log Season 3'!$D$3:$D$1000,A85)</f>
        <v>0</v>
      </c>
      <c r="C85" s="49" t="n">
        <f aca="false">COUNTIFS('Game Log Season 3'!$C$3:$C$1000,"Hiccup_The_Hero",'Game Log Season 3'!$D$3:$D$1000,A85,'Game Log Season 3'!$F$3:$F$1000,1)</f>
        <v>0</v>
      </c>
      <c r="D85" s="49" t="n">
        <f aca="false">IFERROR(C85/B85,0)</f>
        <v>0</v>
      </c>
    </row>
    <row r="86" customFormat="false" ht="14.25" hidden="false" customHeight="false" outlineLevel="0" collapsed="false">
      <c r="A86" s="49" t="s">
        <v>156</v>
      </c>
      <c r="B86" s="49" t="n">
        <f aca="false">COUNTIFS('Game Log Season 3'!$C$3:$C$1000,"Hiccup_The_Hero",'Game Log Season 3'!$D$3:$D$1000,A86)</f>
        <v>0</v>
      </c>
      <c r="C86" s="49" t="n">
        <f aca="false">COUNTIFS('Game Log Season 3'!$C$3:$C$1000,"Hiccup_The_Hero",'Game Log Season 3'!$D$3:$D$1000,A86,'Game Log Season 3'!$F$3:$F$1000,1)</f>
        <v>0</v>
      </c>
      <c r="D86" s="49" t="n">
        <f aca="false">IFERROR(C86/B86,0)</f>
        <v>0</v>
      </c>
    </row>
    <row r="87" customFormat="false" ht="14.25" hidden="false" customHeight="false" outlineLevel="0" collapsed="false">
      <c r="A87" s="49" t="s">
        <v>88</v>
      </c>
      <c r="B87" s="49" t="n">
        <f aca="false">COUNTIFS('Game Log Season 3'!$C$3:$C$1000,"Hiccup_The_Hero",'Game Log Season 3'!$D$3:$D$1000,A87)</f>
        <v>0</v>
      </c>
      <c r="C87" s="49" t="n">
        <f aca="false">COUNTIFS('Game Log Season 3'!$C$3:$C$1000,"Hiccup_The_Hero",'Game Log Season 3'!$D$3:$D$1000,A87,'Game Log Season 3'!$F$3:$F$1000,1)</f>
        <v>0</v>
      </c>
      <c r="D87" s="49" t="n">
        <f aca="false">IFERROR(C87/B87,0)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184</v>
      </c>
      <c r="B1" s="51" t="s">
        <v>185</v>
      </c>
      <c r="C1" s="51" t="s">
        <v>186</v>
      </c>
      <c r="D1" s="51" t="s">
        <v>187</v>
      </c>
      <c r="E1" s="51" t="s">
        <v>183</v>
      </c>
      <c r="F1" s="51" t="s">
        <v>188</v>
      </c>
      <c r="G1" s="51" t="s">
        <v>189</v>
      </c>
      <c r="H1" s="51" t="s">
        <v>190</v>
      </c>
      <c r="I1" s="51" t="s">
        <v>191</v>
      </c>
      <c r="J1" s="51" t="s">
        <v>192</v>
      </c>
      <c r="K1" s="51" t="s">
        <v>193</v>
      </c>
      <c r="L1" s="51" t="s">
        <v>194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