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<sst xmlns="http://schemas.openxmlformats.org/spreadsheetml/2006/main" count="905" uniqueCount="180">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</sst>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2.57830555555556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2</v>
      </c>
      <c r="C7" s="46" t="s">
        <v>107</v>
      </c>
      <c r="D7" s="49" t="n">
        <v>2</v>
      </c>
      <c r="E7" s="47" t="s">
        <v>108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3.34139957264957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109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110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111</v>
      </c>
      <c r="D11" s="49" t="n">
        <v>3.4</v>
      </c>
      <c r="E11" s="47" t="s">
        <v>112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113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114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115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116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117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118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119</v>
      </c>
    </row>
    <row r="19" customFormat="false" ht="14.25" hidden="false" customHeight="false" outlineLevel="0" collapsed="false">
      <c r="A19" s="49" t="s">
        <v>120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121</v>
      </c>
    </row>
    <row r="20" customFormat="false" ht="14.25" hidden="false" customHeight="false" outlineLevel="0" collapsed="false">
      <c r="A20" s="49" t="s">
        <v>122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123</v>
      </c>
    </row>
    <row r="21" customFormat="false" ht="14.25" hidden="false" customHeight="false" outlineLevel="0" collapsed="false">
      <c r="A21" s="49" t="s">
        <v>124</v>
      </c>
      <c r="B21" s="49" t="n">
        <f aca="false">IFERROR(LOOKUP(2,1/(('Game Log Season 3'!$C$3:$C$1000="Manny")*('Game Log Season 3'!$D$3:$D$1000=A21)*('Game Log Season 3'!$X$3:$X$1000&lt;&gt;"")),'Game Log Season 3'!$X$3:$X$1000), D21)</f>
        <v>3</v>
      </c>
      <c r="C21" s="46" t="s">
        <v>125</v>
      </c>
      <c r="D21" s="49" t="n">
        <v>3</v>
      </c>
      <c r="E21" s="47" t="s">
        <v>126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3.25323529411765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127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128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129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130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131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132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125</v>
      </c>
      <c r="D30" s="49" t="n">
        <v>3.6</v>
      </c>
      <c r="E30" s="47" t="s">
        <v>133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134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135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136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137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138</v>
      </c>
      <c r="D35" s="50" t="n">
        <v>3.9</v>
      </c>
      <c r="E35" s="47" t="s">
        <v>139</v>
      </c>
    </row>
    <row r="36" customFormat="false" ht="14.25" hidden="false" customHeight="false" outlineLevel="0" collapsed="false">
      <c r="A36" s="49" t="s">
        <v>140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141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142</v>
      </c>
    </row>
    <row r="38" customFormat="false" ht="14.25" hidden="false" customHeight="false" outlineLevel="0" collapsed="false">
      <c r="A38" s="49" t="s">
        <v>143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144</v>
      </c>
    </row>
    <row r="39" customFormat="false" ht="14.25" hidden="false" customHeight="false" outlineLevel="0" collapsed="false">
      <c r="A39" s="49" t="s">
        <v>66</v>
      </c>
      <c r="B39" s="49" t="n">
        <f aca="false">IFERROR(LOOKUP(2,1/(('Game Log Season 3'!$C$3:$C$1000="Mateo")*('Game Log Season 3'!$D$3:$D$1000=A39)*('Game Log Season 3'!$X$3:$X$1000&lt;&gt;"")),'Game Log Season 3'!$X$3:$X$1000), D39)</f>
        <v>2.6</v>
      </c>
      <c r="C39" s="46"/>
      <c r="D39" s="49" t="n">
        <v>2.6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125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125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138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165</v>
      </c>
      <c r="B1" s="45" t="s">
        <v>166</v>
      </c>
      <c r="C1" s="45" t="s">
        <v>167</v>
      </c>
      <c r="D1" s="45" t="s">
        <v>168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120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122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124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140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66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169</v>
      </c>
      <c r="B1" s="51" t="s">
        <v>170</v>
      </c>
      <c r="C1" s="51" t="s">
        <v>171</v>
      </c>
      <c r="D1" s="51" t="s">
        <v>172</v>
      </c>
      <c r="E1" s="51" t="s">
        <v>168</v>
      </c>
      <c r="F1" s="51" t="s">
        <v>173</v>
      </c>
      <c r="G1" s="51" t="s">
        <v>174</v>
      </c>
      <c r="H1" s="51" t="s">
        <v>175</v>
      </c>
      <c r="I1" s="51" t="s">
        <v>176</v>
      </c>
      <c r="J1" s="51" t="s">
        <v>177</v>
      </c>
      <c r="K1" s="51" t="s">
        <v>178</v>
      </c>
      <c r="L1" s="51" t="s">
        <v>179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