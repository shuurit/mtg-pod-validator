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<sst xmlns="http://schemas.openxmlformats.org/spreadsheetml/2006/main" count="903" uniqueCount="180">
  <si>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</si>
  <si>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</si>
  <si>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</si>
  <si>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</si>
  <si>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</si>
  <si>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</si>
  <si>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</si>
  <si>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</si>
  <si>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</si>
  <si>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</si>
  <si>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</si>
  <si>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</si>
  <si>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</si>
  <si>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</si>
  <si>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</si>
  <si>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</si>
  <si>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</si>
  <si>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</si>
  <si>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</si>
  <si>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</si>
  <si>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</si>
  <si>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</si>
  <si>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</si>
  <si>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</si>
  <si>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</si>
  <si>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</si>
  <si>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</si>
  <si>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</si>
  <si>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</si>
  <si>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</si>
  <si>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</si>
  <si>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</si>
  <si>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</si>
  <si>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</si>
  <si>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</si>
  <si>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</si>
  <si>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</si>
  <si>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</si>
  <si>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</si>
  <si>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</si>
  <si>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</si>
  <si>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</si>
  <si>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</si>
  <si>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</si>
  <si>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</si>
  <si>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</si>
  <si>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</si>
  <si>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</si>
  <si>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</si>
  <si>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</si>
  <si>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</si>
  <si>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</si>
  <si>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</si>
  <si>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</si>
  <si>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</si>
  <si>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</si>
  <si>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</si>
  <si>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</si>
  <si>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</si>
  <si>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</si>
  <si>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</si>
  <si>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</si>
  <si>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</si>
  <si>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</si>
  <si>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</si>
  <si>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</si>
  <si>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</si>
  <si>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</si>
  <si>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</si>
  <si>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</si>
  <si>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</si>
  <si>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</si>
  <si>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</si>
  <si>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</si>
  <si>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</si>
  <si>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</si>
  <si>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</si>
  <si>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</si>
  <si>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</si>
  <si>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</si>
  <si>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</si>
  <si>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</si>
  <si>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</si>
  <si>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</si>
  <si>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</si>
  <si>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</si>
  <si>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</si>
  <si>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</si>
  <si>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</si>
  <si>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</si>
  <si>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</si>
  <si>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</si>
  <si>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</si>
  <si>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</si>
  <si>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</si>
  <si>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</si>
  <si>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</si>
  <si>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</si>
  <si>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</si>
  <si>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</si>
  <si>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</si>
  <si>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</si>
  <si>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</si>
  <si>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</si>
  <si>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</si>
  <si>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</si>
  <si>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</si>
  <si>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</si>
  <si>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</si>
  <si>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</si>
  <si>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</si>
  <si>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</si>
  <si>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</si>
  <si>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</si>
  <si>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</si>
  <si>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</si>
  <si>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</si>
  <si>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</si>
  <si>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</si>
  <si>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</si>
  <si>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</si>
  <si>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</si>
  <si>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</si>
  <si>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</si>
  <si>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</si>
  <si>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</si>
  <si>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</si>
  <si>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</si>
  <si>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</si>
  <si>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</si>
  <si>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</si>
  <si>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</si>
  <si>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</si>
  <si>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</si>
  <si>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</si>
  <si>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</si>
  <si>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</si>
  <si>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</si>
  <si>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</si>
  <si>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</si>
  <si>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</si>
  <si>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</si>
  <si>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</si>
  <si>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</si>
  <si>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Leonardo, the Balance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</si>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</sst>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2.95830555555556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3.9</v>
      </c>
      <c r="C7" s="46" t="inlineStr">
        <is>
          <t>*Bracket 2</t>
        </is>
      </c>
      <c r="D7" s="49" t="n">
        <v>2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3.42601495726496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9" t="s">
        <v>119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120</v>
      </c>
    </row>
    <row r="20" customFormat="false" ht="14.25" hidden="false" customHeight="false" outlineLevel="0" collapsed="false">
      <c r="A20" s="49" t="s">
        <v>121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122</v>
      </c>
    </row>
    <row r="21" customFormat="false" ht="14.25" hidden="false" customHeight="false" outlineLevel="0" collapsed="false">
      <c r="A21" s="49" t="s">
        <v>123</v>
      </c>
      <c r="B21" s="49" t="n">
        <f aca="false">IFERROR(LOOKUP(2,1/(('Game Log Season 3'!$C$3:$C$1000="Manny")*('Game Log Season 3'!$D$3:$D$1000=A21)*('Game Log Season 3'!$X$3:$X$1000&lt;&gt;"")),'Game Log Season 3'!$X$3:$X$1000), D21)</f>
        <v>4.1</v>
      </c>
      <c r="C21" s="46" t="inlineStr">
        <is>
          <t>*Bracket 3</t>
        </is>
      </c>
      <c r="D21" s="49" t="n">
        <v>3</v>
      </c>
      <c r="E21" s="47" t="s">
        <v>124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3.30029411764706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125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126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127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128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129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130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131</v>
      </c>
      <c r="D30" s="49" t="n">
        <v>3.6</v>
      </c>
      <c r="E30" s="47" t="s">
        <v>132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133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134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135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136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137</v>
      </c>
      <c r="D35" s="50" t="n">
        <v>3.9</v>
      </c>
      <c r="E35" s="47" t="s">
        <v>138</v>
      </c>
    </row>
    <row r="36" customFormat="false" ht="14.25" hidden="false" customHeight="false" outlineLevel="0" collapsed="false">
      <c r="A36" s="49" t="s">
        <v>139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140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141</v>
      </c>
    </row>
    <row r="38" customFormat="false" ht="14.25" hidden="false" customHeight="false" outlineLevel="0" collapsed="false">
      <c r="A38" s="49" t="s">
        <v>142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143</v>
      </c>
    </row>
    <row r="39" customFormat="false" ht="14.25" hidden="false" customHeight="false" outlineLevel="0" collapsed="false">
      <c r="A39" s="49" t="inlineStr">
        <is>
          <t>Leonardo, the Balance/Michelangelo, the Heart</t>
        </is>
      </c>
      <c r="B39" s="49" t="n">
        <f aca="false">IFERROR(LOOKUP(2,1/(('Game Log Season 3'!$C$3:$C$1000="Mateo")*('Game Log Season 3'!$D$3:$D$1000=A39)*('Game Log Season 3'!$X$3:$X$1000&lt;&gt;"")),'Game Log Season 3'!$X$3:$X$1000), D39)</f>
        <v>3.4</v>
      </c>
      <c r="C39" s="46"/>
      <c r="D39" s="49" t="n">
        <v>2.6</v>
      </c>
      <c r="E39" s="47" t="s">
        <v>145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146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147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148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149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/>
      <c r="D45" s="49" t="n">
        <v>3.8</v>
      </c>
      <c r="E45" s="47" t="s">
        <v>150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151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152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153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154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155</v>
      </c>
    </row>
    <row r="52" customFormat="false" ht="14.25" hidden="false" customHeight="false" outlineLevel="0" collapsed="false">
      <c r="A52" s="49" t="s">
        <v>156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157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158</v>
      </c>
    </row>
    <row r="54" customFormat="false" ht="14.25" hidden="false" customHeight="false" outlineLevel="0" collapsed="false">
      <c r="A54" s="49" t="s">
        <v>159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160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131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131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137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161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162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163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164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165</v>
      </c>
      <c r="B1" s="45" t="s">
        <v>166</v>
      </c>
      <c r="C1" s="45" t="s">
        <v>167</v>
      </c>
      <c r="D1" s="45" t="s">
        <v>168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119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121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123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139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142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inlineStr">
        <is>
          <t>Leonardo, the Balance/Michelangelo, the Heart</t>
        </is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156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159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169</v>
      </c>
      <c r="B1" s="51" t="s">
        <v>170</v>
      </c>
      <c r="C1" s="51" t="s">
        <v>171</v>
      </c>
      <c r="D1" s="51" t="s">
        <v>172</v>
      </c>
      <c r="E1" s="51" t="s">
        <v>168</v>
      </c>
      <c r="F1" s="51" t="s">
        <v>173</v>
      </c>
      <c r="G1" s="51" t="s">
        <v>174</v>
      </c>
      <c r="H1" s="51" t="s">
        <v>175</v>
      </c>
      <c r="I1" s="51" t="s">
        <v>176</v>
      </c>
      <c r="J1" s="51" t="s">
        <v>177</v>
      </c>
      <c r="K1" s="51" t="s">
        <v>178</v>
      </c>
      <c r="L1" s="51" t="s">
        <v>179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