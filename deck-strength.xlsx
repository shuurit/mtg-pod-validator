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<sst xmlns="http://schemas.openxmlformats.org/spreadsheetml/2006/main" count="944" uniqueCount="196">
  <si>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</si>
  <si>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</si>
  <si>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</si>
  <si>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</si>
  <si>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</si>
  <si>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</si>
  <si>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</si>
  <si>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</si>
  <si>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</si>
  <si>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</si>
  <si>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</si>
  <si>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</si>
  <si>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</si>
  <si>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</si>
  <si>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</si>
  <si>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</si>
  <si>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</si>
  <si>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</si>
  <si>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</si>
  <si>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</si>
  <si>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</si>
  <si>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</si>
  <si>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</si>
  <si>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</si>
  <si>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</si>
  <si>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</si>
  <si>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</si>
  <si>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</si>
  <si>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</si>
  <si>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</si>
  <si>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</si>
  <si>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</si>
  <si>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</si>
  <si>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</si>
  <si>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</si>
  <si>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</si>
  <si>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</si>
  <si>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</si>
  <si>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</si>
  <si>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</si>
  <si>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</si>
  <si>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</si>
  <si>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</si>
  <si>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</si>
  <si>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</si>
  <si>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</si>
  <si>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</si>
  <si>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</si>
  <si>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</si>
  <si>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</si>
  <si>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</si>
  <si>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</si>
  <si>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</si>
  <si>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</si>
  <si>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</si>
  <si>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</si>
  <si>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</si>
  <si>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</si>
  <si>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</si>
  <si>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</si>
  <si>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</si>
  <si>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</si>
  <si>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</si>
  <si>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</si>
  <si>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</si>
  <si>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</si>
  <si>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</si>
  <si>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</si>
  <si>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</si>
  <si>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</si>
  <si>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</si>
  <si>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</si>
  <si>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</si>
  <si>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</si>
  <si>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</si>
  <si>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</si>
  <si>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</si>
  <si>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</si>
  <si>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</si>
  <si>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</si>
  <si>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</si>
  <si>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</si>
  <si>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</si>
  <si>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</si>
  <si>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</si>
  <si>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</si>
  <si>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</si>
  <si>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</si>
  <si>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</si>
  <si>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</si>
  <si>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</si>
  <si>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</si>
  <si>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</si>
  <si>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</si>
  <si>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</si>
  <si>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</si>
  <si>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</si>
  <si>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</si>
  <si>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</si>
  <si>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</si>
  <si>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</si>
  <si>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</si>
  <si>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</si>
  <si>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</si>
  <si>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</si>
  <si>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</si>
  <si>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Katara, the Fearless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</si>
  <si>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</si>
  <si>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</si>
  <si>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</si>
  <si>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</si>
  <si>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</si>
  <si>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</si>
  <si>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</si>
  <si>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</si>
  <si>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</si>
  <si>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</si>
  <si>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</si>
  <si>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</si>
  <si>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</si>
  <si>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</si>
  <si>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</si>
  <si>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</si>
  <si>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Sokka, Tenacious Tactician</t>
  </si>
  <si>
    <t xml:space="preserve">741945</t>
  </si>
  <si>
    <t xml:space="preserve">639396</t>
  </si>
  <si>
    <t xml:space="preserve">614175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</si>
  <si>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</si>
  <si>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</si>
  <si>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</si>
  <si>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</si>
  <si>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</si>
  <si>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*Bracket 3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</si>
  <si>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</si>
  <si>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</si>
  <si>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</si>
  <si>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</si>
  <si>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</si>
  <si>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</si>
  <si>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</si>
  <si>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</si>
  <si>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</si>
  <si>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</si>
  <si>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</si>
  <si>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</si>
  <si>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Michelangelo, the Heart</t>
  </si>
  <si>
    <t xml:space="preserve">743883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</si>
  <si>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</si>
  <si>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</si>
  <si>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</si>
  <si>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</si>
  <si>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</si>
  <si>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</si>
  <si>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</si>
  <si>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</si>
  <si>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</si>
  <si>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</si>
  <si>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</si>
  <si>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</si>
  <si>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</si>
  <si>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</si>
  <si>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</si>
  <si>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</si>
  <si>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</si>
  <si>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</si>
  <si>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</si>
  <si>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Hiccup_The_Hero</t>
  </si>
  <si>
    <t xml:space="preserve">763457</t>
  </si>
  <si>
    <t xml:space="preserve">763448</t>
  </si>
  <si>
    <t xml:space="preserve">Sam, Loyal Attendant</t>
  </si>
  <si>
    <t xml:space="preserve">763442</t>
  </si>
  <si>
    <t xml:space="preserve">763443</t>
  </si>
  <si>
    <t xml:space="preserve">763445</t>
  </si>
  <si>
    <t xml:space="preserve">763449</t>
  </si>
  <si>
    <t xml:space="preserve">763451</t>
  </si>
  <si>
    <t xml:space="preserve">763450</t>
  </si>
  <si>
    <t xml:space="preserve">Avatar Aang // Aang, Master of Elements</t>
  </si>
  <si>
    <t xml:space="preserve">763453</t>
  </si>
  <si>
    <t xml:space="preserve">763459</t>
  </si>
  <si>
    <t xml:space="preserve">763454</t>
  </si>
  <si>
    <t xml:space="preserve">763460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</si>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</sst>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false" outlineLevel="0" collapsed="false">
      <c r="A3" s="14" t="n">
        <v>46023</v>
      </c>
      <c r="B3" s="1" t="n">
        <v>1</v>
      </c>
      <c r="C3" s="15" t="s">
        <v>26</v>
      </c>
      <c r="D3" s="15" t="s">
        <v>27</v>
      </c>
      <c r="E3" s="16" t="n">
        <v>4</v>
      </c>
      <c r="F3" s="17" t="n">
        <v>0</v>
      </c>
      <c r="G3" s="1" t="n">
        <v>2</v>
      </c>
      <c r="H3" s="1" t="n">
        <v>4</v>
      </c>
      <c r="I3" s="1" t="n">
        <v>0</v>
      </c>
      <c r="J3" s="15" t="n">
        <f aca="false">F3-(1/H3)</f>
        <v>-0.25</v>
      </c>
      <c r="K3" s="15" t="n">
        <f aca="false">((I3-((H3-1)/H3))-(-5/6))/((5-(5/6))-(-5/6))</f>
        <v>0.0166666666666667</v>
      </c>
      <c r="L3" s="15" t="n">
        <f aca="false">E3-((E4+E5+E6)/3)</f>
        <v>1.66666666666667</v>
      </c>
      <c r="M3" s="18" t="n">
        <f aca="false">0.5 + (L3 * 0.09)</f>
        <v>0.65</v>
      </c>
      <c r="N3" s="15" t="n">
        <f aca="false">((H3-(G3-1))/H3)*(IF(I3&lt;&gt;0,(I3+H3)/H3,1))</f>
        <v>0.75</v>
      </c>
      <c r="O3" s="19" t="n">
        <f aca="false">(N3-(1/6))/(10/6)</f>
        <v>0.35</v>
      </c>
      <c r="P3" s="17" t="n">
        <v>8</v>
      </c>
      <c r="Q3" s="19" t="n">
        <f aca="false">IF(F3=1,(((1-((P3-3)/12))*0.5)+0.5),((P3/15)*0.5))</f>
        <v>0.266666666666667</v>
      </c>
      <c r="R3" s="20" t="n">
        <v>0</v>
      </c>
      <c r="S3" s="17" t="n">
        <v>0</v>
      </c>
      <c r="T3" s="1" t="n">
        <v>0</v>
      </c>
      <c r="U3" s="19" t="n">
        <f aca="false">IFERROR(T3/S3, 1)</f>
        <v>1</v>
      </c>
      <c r="V3" s="20" t="n">
        <v>0</v>
      </c>
      <c r="W3" s="21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4" t="n">
        <v>46023</v>
      </c>
      <c r="B4" s="1" t="n">
        <v>1</v>
      </c>
      <c r="C4" s="15" t="s">
        <v>28</v>
      </c>
      <c r="D4" s="15" t="s">
        <v>29</v>
      </c>
      <c r="E4" s="16" t="n">
        <v>3</v>
      </c>
      <c r="F4" s="17" t="n">
        <v>0</v>
      </c>
      <c r="G4" s="1" t="n">
        <v>3</v>
      </c>
      <c r="H4" s="1" t="n">
        <v>4</v>
      </c>
      <c r="I4" s="1" t="n">
        <v>0</v>
      </c>
      <c r="J4" s="15" t="n">
        <f aca="false">F4-(1/H4)</f>
        <v>-0.25</v>
      </c>
      <c r="K4" s="15" t="n">
        <f aca="false">((I4-((H4-1)/H4))-(-5/6))/((5-(5/6))-(-5/6))</f>
        <v>0.0166666666666667</v>
      </c>
      <c r="L4" s="15" t="n">
        <f aca="false">E4-((E3+E5+E6)/3)</f>
        <v>0.333333333333334</v>
      </c>
      <c r="M4" s="18" t="n">
        <f aca="false">0.5 + (L4 * 0.09)</f>
        <v>0.53</v>
      </c>
      <c r="N4" s="15" t="n">
        <f aca="false">((H4-(G4-1))/H4)*(IF(I4&lt;&gt;0,(I4+H4)/H4,1))</f>
        <v>0.5</v>
      </c>
      <c r="O4" s="19" t="n">
        <f aca="false">(N4-(1/6))/(10/6)</f>
        <v>0.2</v>
      </c>
      <c r="P4" s="17" t="n">
        <v>7</v>
      </c>
      <c r="Q4" s="19" t="n">
        <f aca="false">IF(F4=1,(((1-((P4-3)/12))*0.5)+0.5),((P4/15)*0.5))</f>
        <v>0.233333333333333</v>
      </c>
      <c r="R4" s="20" t="n">
        <v>0</v>
      </c>
      <c r="S4" s="17" t="n">
        <v>0</v>
      </c>
      <c r="T4" s="1" t="n">
        <v>0</v>
      </c>
      <c r="U4" s="19" t="n">
        <f aca="false">IFERROR(T4/S4, 1)</f>
        <v>1</v>
      </c>
      <c r="V4" s="20" t="n">
        <v>0</v>
      </c>
      <c r="W4" s="21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4" t="n">
        <v>46023</v>
      </c>
      <c r="B5" s="1" t="n">
        <v>1</v>
      </c>
      <c r="C5" s="15" t="s">
        <v>30</v>
      </c>
      <c r="D5" s="15" t="s">
        <v>31</v>
      </c>
      <c r="E5" s="16" t="n">
        <v>2</v>
      </c>
      <c r="F5" s="17" t="n">
        <v>1</v>
      </c>
      <c r="G5" s="1" t="n">
        <v>1</v>
      </c>
      <c r="H5" s="1" t="n">
        <v>4</v>
      </c>
      <c r="I5" s="1" t="n">
        <v>3</v>
      </c>
      <c r="J5" s="15" t="n">
        <f aca="false">F5-(1/H5)</f>
        <v>0.75</v>
      </c>
      <c r="K5" s="15" t="n">
        <f aca="false">((I5-((H5-1)/H5))-(-5/6))/((5-(5/6))-(-5/6))</f>
        <v>0.616666666666667</v>
      </c>
      <c r="L5" s="15" t="n">
        <f aca="false">E5-((E3+E4+E6)/3)</f>
        <v>-1</v>
      </c>
      <c r="M5" s="18" t="n">
        <f aca="false">0.5 + (L5 * 0.09)</f>
        <v>0.41</v>
      </c>
      <c r="N5" s="15" t="n">
        <f aca="false">((H5-(G5-1))/H5)*(IF(I5&lt;&gt;0,(I5+H5)/H5,1))</f>
        <v>1.75</v>
      </c>
      <c r="O5" s="19" t="n">
        <f aca="false">(N5-(1/6))/(10/6)</f>
        <v>0.95</v>
      </c>
      <c r="P5" s="17" t="n">
        <v>8</v>
      </c>
      <c r="Q5" s="19" t="n">
        <f aca="false">IF(F5=1,(((1-((P5-3)/12))*0.5)+0.5),((P5/15)*0.5))</f>
        <v>0.791666666666667</v>
      </c>
      <c r="R5" s="20" t="n">
        <v>1</v>
      </c>
      <c r="S5" s="17" t="n">
        <v>1</v>
      </c>
      <c r="T5" s="1" t="n">
        <v>1</v>
      </c>
      <c r="U5" s="19" t="n">
        <f aca="false">IFERROR(T5/S5, 1)</f>
        <v>1</v>
      </c>
      <c r="V5" s="20" t="n">
        <v>0</v>
      </c>
      <c r="W5" s="21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2" t="n">
        <v>46023</v>
      </c>
      <c r="B6" s="23" t="n">
        <v>1</v>
      </c>
      <c r="C6" s="23" t="s">
        <v>32</v>
      </c>
      <c r="D6" s="23" t="s">
        <v>33</v>
      </c>
      <c r="E6" s="24" t="n">
        <v>2</v>
      </c>
      <c r="F6" s="25" t="n">
        <v>0</v>
      </c>
      <c r="G6" s="23" t="n">
        <v>4</v>
      </c>
      <c r="H6" s="23" t="n">
        <v>4</v>
      </c>
      <c r="I6" s="23" t="n">
        <v>0</v>
      </c>
      <c r="J6" s="23" t="n">
        <f aca="false">F6-(1/H6)</f>
        <v>-0.25</v>
      </c>
      <c r="K6" s="23" t="n">
        <f aca="false">((I6-((H6-1)/H6))-(-5/6))/((5-(5/6))-(-5/6))</f>
        <v>0.0166666666666667</v>
      </c>
      <c r="L6" s="23" t="n">
        <f aca="false">E6-((E3+E4+E5)/3)</f>
        <v>-1</v>
      </c>
      <c r="M6" s="26" t="n">
        <f aca="false">0.5 + (L6 * 0.09)</f>
        <v>0.41</v>
      </c>
      <c r="N6" s="23" t="n">
        <f aca="false">((H6-(G6-1))/H6)*(IF(I6&lt;&gt;0,(I6+H6)/H6,1))</f>
        <v>0.25</v>
      </c>
      <c r="O6" s="27" t="n">
        <f aca="false">(N6-(1/6))/(10/6)</f>
        <v>0.05</v>
      </c>
      <c r="P6" s="25" t="n">
        <v>7</v>
      </c>
      <c r="Q6" s="27" t="n">
        <f aca="false">IF(F6=1,(((1-((P6-3)/12))*0.5)+0.5),((P6/15)*0.5))</f>
        <v>0.233333333333333</v>
      </c>
      <c r="R6" s="28" t="n">
        <v>1</v>
      </c>
      <c r="S6" s="25" t="n">
        <v>0</v>
      </c>
      <c r="T6" s="23" t="n">
        <v>0</v>
      </c>
      <c r="U6" s="27" t="n">
        <f aca="false">IFERROR(T6/S6, 1)</f>
        <v>1</v>
      </c>
      <c r="V6" s="28" t="n">
        <v>0</v>
      </c>
      <c r="W6" s="29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4" t="n">
        <v>46023</v>
      </c>
      <c r="B7" s="1" t="n">
        <v>2</v>
      </c>
      <c r="C7" s="15" t="s">
        <v>26</v>
      </c>
      <c r="D7" s="15" t="s">
        <v>27</v>
      </c>
      <c r="E7" s="30" t="n">
        <v>4</v>
      </c>
      <c r="F7" s="17" t="n">
        <v>0</v>
      </c>
      <c r="G7" s="1" t="n">
        <v>2</v>
      </c>
      <c r="H7" s="1" t="n">
        <v>4</v>
      </c>
      <c r="I7" s="1" t="n">
        <v>0</v>
      </c>
      <c r="J7" s="15" t="n">
        <f aca="false">F7-(1/H7)</f>
        <v>-0.25</v>
      </c>
      <c r="K7" s="15" t="n">
        <f aca="false">((I7-((H7-1)/H7))-(-5/6))/((5-(5/6))-(-5/6))</f>
        <v>0.0166666666666667</v>
      </c>
      <c r="L7" s="15" t="n">
        <f aca="false">E7-((E8+E9+E10)/3)</f>
        <v>1.66666666666667</v>
      </c>
      <c r="M7" s="18" t="n">
        <f aca="false">0.5 + (L7 * 0.09)</f>
        <v>0.65</v>
      </c>
      <c r="N7" s="15" t="n">
        <f aca="false">((H7-(G7-1))/H7)*(IF(I7&lt;&gt;0,(I7+H7)/H7,1))</f>
        <v>0.75</v>
      </c>
      <c r="O7" s="19" t="n">
        <f aca="false">(N7-(1/6))/(10/6)</f>
        <v>0.35</v>
      </c>
      <c r="P7" s="31" t="n">
        <v>8</v>
      </c>
      <c r="Q7" s="19" t="n">
        <f aca="false">IF(F7=1,(((1-((P7-3)/12))*0.5)+0.5),((P7/15)*0.5))</f>
        <v>0.266666666666667</v>
      </c>
      <c r="R7" s="20" t="n">
        <v>0</v>
      </c>
      <c r="S7" s="17" t="n">
        <v>0</v>
      </c>
      <c r="T7" s="1" t="n">
        <v>0</v>
      </c>
      <c r="U7" s="19" t="n">
        <f aca="false">IFERROR(T7/S7, 1)</f>
        <v>1</v>
      </c>
      <c r="V7" s="20" t="n">
        <v>0</v>
      </c>
      <c r="W7" s="32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4" t="n">
        <v>46023</v>
      </c>
      <c r="B8" s="1" t="n">
        <v>2</v>
      </c>
      <c r="C8" s="15" t="s">
        <v>28</v>
      </c>
      <c r="D8" s="15" t="s">
        <v>34</v>
      </c>
      <c r="E8" s="30" t="n">
        <v>3</v>
      </c>
      <c r="F8" s="17" t="n">
        <v>0</v>
      </c>
      <c r="G8" s="1" t="n">
        <v>2</v>
      </c>
      <c r="H8" s="1" t="n">
        <v>4</v>
      </c>
      <c r="I8" s="1" t="n">
        <v>0</v>
      </c>
      <c r="J8" s="15" t="n">
        <f aca="false">F8-(1/H8)</f>
        <v>-0.25</v>
      </c>
      <c r="K8" s="15" t="n">
        <f aca="false">((I8-((H8-1)/H8))-(-5/6))/((5-(5/6))-(-5/6))</f>
        <v>0.0166666666666667</v>
      </c>
      <c r="L8" s="15" t="n">
        <f aca="false">E8-((E7+E9+E10)/3)</f>
        <v>0.333333333333334</v>
      </c>
      <c r="M8" s="18" t="n">
        <f aca="false">0.5 + (L8 * 0.09)</f>
        <v>0.53</v>
      </c>
      <c r="N8" s="15" t="n">
        <f aca="false">((H8-(G8-1))/H8)*(IF(I8&lt;&gt;0,(I8+H8)/H8,1))</f>
        <v>0.75</v>
      </c>
      <c r="O8" s="19" t="n">
        <f aca="false">(N8-(1/6))/(10/6)</f>
        <v>0.35</v>
      </c>
      <c r="P8" s="17" t="n">
        <v>8</v>
      </c>
      <c r="Q8" s="19" t="n">
        <f aca="false">IF(F8=1,(((1-((P8-3)/12))*0.5)+0.5),((P8/15)*0.5))</f>
        <v>0.266666666666667</v>
      </c>
      <c r="R8" s="20" t="n">
        <v>1</v>
      </c>
      <c r="S8" s="17" t="n">
        <v>0</v>
      </c>
      <c r="T8" s="1" t="n">
        <v>0</v>
      </c>
      <c r="U8" s="19" t="n">
        <f aca="false">IFERROR(T8/S8, 1)</f>
        <v>1</v>
      </c>
      <c r="V8" s="20" t="n">
        <v>0</v>
      </c>
      <c r="W8" s="21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4" t="n">
        <v>46023</v>
      </c>
      <c r="B9" s="1" t="n">
        <v>2</v>
      </c>
      <c r="C9" s="15" t="s">
        <v>30</v>
      </c>
      <c r="D9" s="15" t="s">
        <v>35</v>
      </c>
      <c r="E9" s="30" t="n">
        <v>2</v>
      </c>
      <c r="F9" s="17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E9-((E7+E8+E10)/3)</f>
        <v>-1</v>
      </c>
      <c r="M9" s="18" t="n">
        <f aca="false">0.5 + (L9 * 0.09)</f>
        <v>0.41</v>
      </c>
      <c r="N9" s="15" t="n">
        <f aca="false">((H9-(G9-1))/H9)*(IF(I9&lt;&gt;0,(I9+H9)/H9,1))</f>
        <v>0.75</v>
      </c>
      <c r="O9" s="19" t="n">
        <f aca="false">(N9-(1/6))/(10/6)</f>
        <v>0.35</v>
      </c>
      <c r="P9" s="17" t="n">
        <v>8</v>
      </c>
      <c r="Q9" s="19" t="n">
        <f aca="false">IF(F9=1,(((1-((P9-3)/12))*0.5)+0.5),((P9/15)*0.5))</f>
        <v>0.266666666666667</v>
      </c>
      <c r="R9" s="20" t="n">
        <v>0</v>
      </c>
      <c r="S9" s="17" t="n">
        <v>0</v>
      </c>
      <c r="T9" s="1" t="n">
        <v>0</v>
      </c>
      <c r="U9" s="19" t="n">
        <f aca="false">IFERROR(T9/S9, 1)</f>
        <v>1</v>
      </c>
      <c r="V9" s="20" t="n">
        <v>0</v>
      </c>
      <c r="W9" s="21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2" t="n">
        <v>46023</v>
      </c>
      <c r="B10" s="23" t="n">
        <v>2</v>
      </c>
      <c r="C10" s="23" t="s">
        <v>32</v>
      </c>
      <c r="D10" s="23" t="s">
        <v>36</v>
      </c>
      <c r="E10" s="33" t="n">
        <v>2</v>
      </c>
      <c r="F10" s="17" t="n">
        <v>1</v>
      </c>
      <c r="G10" s="1" t="n">
        <v>1</v>
      </c>
      <c r="H10" s="1" t="n">
        <v>4</v>
      </c>
      <c r="I10" s="1" t="n">
        <v>3</v>
      </c>
      <c r="J10" s="23" t="n">
        <f aca="false">F10-(1/H10)</f>
        <v>0.75</v>
      </c>
      <c r="K10" s="23" t="n">
        <f aca="false">((I10-((H10-1)/H10))-(-5/6))/((5-(5/6))-(-5/6))</f>
        <v>0.616666666666667</v>
      </c>
      <c r="L10" s="23" t="n">
        <f aca="false">E10-((E7+E8+E9)/3)</f>
        <v>-1</v>
      </c>
      <c r="M10" s="26" t="n">
        <f aca="false">0.5 + (L10 * 0.09)</f>
        <v>0.41</v>
      </c>
      <c r="N10" s="15" t="n">
        <f aca="false">((H10-(G10-1))/H10)*(IF(I10&lt;&gt;0,(I10+H10)/H10,1))</f>
        <v>1.75</v>
      </c>
      <c r="O10" s="19" t="n">
        <f aca="false">(N10-(1/6))/(10/6)</f>
        <v>0.95</v>
      </c>
      <c r="P10" s="25" t="n">
        <v>8</v>
      </c>
      <c r="Q10" s="27" t="n">
        <f aca="false">IF(F10=1,(((1-((P10-3)/12))*0.5)+0.5),((P10/15)*0.5))</f>
        <v>0.791666666666667</v>
      </c>
      <c r="R10" s="28" t="n">
        <v>1</v>
      </c>
      <c r="S10" s="25" t="n">
        <v>0</v>
      </c>
      <c r="T10" s="23" t="n">
        <v>0</v>
      </c>
      <c r="U10" s="27" t="n">
        <f aca="false">IFERROR(T10/S10, 1)</f>
        <v>1</v>
      </c>
      <c r="V10" s="28" t="n">
        <v>0</v>
      </c>
      <c r="W10" s="29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4" t="n">
        <v>46029</v>
      </c>
      <c r="B11" s="35" t="n">
        <v>3</v>
      </c>
      <c r="C11" s="35" t="s">
        <v>28</v>
      </c>
      <c r="D11" s="35" t="s">
        <v>37</v>
      </c>
      <c r="E11" s="16" t="n">
        <v>3</v>
      </c>
      <c r="F11" s="31" t="n">
        <v>1</v>
      </c>
      <c r="G11" s="35" t="n">
        <v>1</v>
      </c>
      <c r="H11" s="35" t="n">
        <v>4</v>
      </c>
      <c r="I11" s="35" t="n">
        <v>3</v>
      </c>
      <c r="J11" s="15" t="n">
        <f aca="false">F11-(1/H11)</f>
        <v>0.75</v>
      </c>
      <c r="K11" s="15" t="n">
        <f aca="false">((I11-((H11-1)/H11))-(-5/6))/((5-(5/6))-(-5/6))</f>
        <v>0.616666666666667</v>
      </c>
      <c r="L11" s="15" t="n">
        <f aca="false">E11-((E12+E13+E14)/3)</f>
        <v>0.666666666666667</v>
      </c>
      <c r="M11" s="18" t="n">
        <f aca="false">0.5 + (L11 * 0.09)</f>
        <v>0.56</v>
      </c>
      <c r="N11" s="35" t="n">
        <f aca="false">((H11-(G11-1))/H11)*(IF(I11&lt;&gt;0,(I11+H11)/H11,1))</f>
        <v>1.75</v>
      </c>
      <c r="O11" s="36" t="n">
        <f aca="false">(N11-(1/6))/(10/6)</f>
        <v>0.95</v>
      </c>
      <c r="P11" s="31" t="n">
        <v>12</v>
      </c>
      <c r="Q11" s="19" t="n">
        <f aca="false">IF(F11=1,(((1-((P11-3)/12))*0.5)+0.5),((P11/15)*0.5))</f>
        <v>0.625</v>
      </c>
      <c r="R11" s="37" t="n">
        <v>1</v>
      </c>
      <c r="S11" s="31" t="n">
        <v>1</v>
      </c>
      <c r="T11" s="35" t="n">
        <v>1</v>
      </c>
      <c r="U11" s="36" t="n">
        <f aca="false">IFERROR(T11/S11, 1)</f>
        <v>1</v>
      </c>
      <c r="V11" s="37" t="n">
        <v>0</v>
      </c>
      <c r="W11" s="32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4" t="n">
        <v>46029</v>
      </c>
      <c r="B12" s="1" t="n">
        <v>3</v>
      </c>
      <c r="C12" s="15" t="s">
        <v>38</v>
      </c>
      <c r="D12" s="15" t="s">
        <v>39</v>
      </c>
      <c r="E12" s="16" t="n">
        <v>2</v>
      </c>
      <c r="F12" s="17" t="n">
        <v>0</v>
      </c>
      <c r="G12" s="1" t="n">
        <v>2</v>
      </c>
      <c r="H12" s="1" t="n">
        <v>4</v>
      </c>
      <c r="I12" s="1" t="n">
        <v>0</v>
      </c>
      <c r="J12" s="15" t="n">
        <f aca="false">F12-(1/H12)</f>
        <v>-0.25</v>
      </c>
      <c r="K12" s="15" t="n">
        <f aca="false">((I12-((H12-1)/H12))-(-5/6))/((5-(5/6))-(-5/6))</f>
        <v>0.0166666666666667</v>
      </c>
      <c r="L12" s="15" t="n">
        <f aca="false">E12-((E11+E13+E14)/3)</f>
        <v>-0.666666666666667</v>
      </c>
      <c r="M12" s="18" t="n">
        <f aca="false">0.5 + (L12 * 0.09)</f>
        <v>0.44</v>
      </c>
      <c r="N12" s="15" t="n">
        <f aca="false">((H12-(G12-1))/H12)*(IF(I12&lt;&gt;0,(I12+H12)/H12,1))</f>
        <v>0.75</v>
      </c>
      <c r="O12" s="19" t="n">
        <f aca="false">(N12-(1/6))/(10/6)</f>
        <v>0.35</v>
      </c>
      <c r="P12" s="17" t="n">
        <v>12</v>
      </c>
      <c r="Q12" s="19" t="n">
        <f aca="false">IF(F12=1,(((1-((P12-3)/12))*0.5)+0.5),((P12/15)*0.5))</f>
        <v>0.4</v>
      </c>
      <c r="R12" s="20" t="n">
        <v>0</v>
      </c>
      <c r="S12" s="17" t="n">
        <v>2</v>
      </c>
      <c r="T12" s="1" t="n">
        <v>0</v>
      </c>
      <c r="U12" s="19" t="n">
        <f aca="false">IFERROR(T12/S12, 1)</f>
        <v>0</v>
      </c>
      <c r="V12" s="20" t="n">
        <v>1</v>
      </c>
      <c r="W12" s="21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4" t="n">
        <v>46029</v>
      </c>
      <c r="B13" s="1" t="n">
        <v>3</v>
      </c>
      <c r="C13" s="15" t="s">
        <v>30</v>
      </c>
      <c r="D13" s="15" t="s">
        <v>40</v>
      </c>
      <c r="E13" s="16" t="n">
        <v>2</v>
      </c>
      <c r="F13" s="17" t="n">
        <v>0</v>
      </c>
      <c r="G13" s="1" t="n">
        <v>4</v>
      </c>
      <c r="H13" s="1" t="n">
        <v>4</v>
      </c>
      <c r="I13" s="1" t="n">
        <v>0</v>
      </c>
      <c r="J13" s="15" t="n">
        <f aca="false">F13-(1/H13)</f>
        <v>-0.25</v>
      </c>
      <c r="K13" s="15" t="n">
        <f aca="false">((I13-((H13-1)/H13))-(-5/6))/((5-(5/6))-(-5/6))</f>
        <v>0.0166666666666667</v>
      </c>
      <c r="L13" s="15" t="n">
        <f aca="false">E13-((E11+E12+E14)/3)</f>
        <v>-0.666666666666667</v>
      </c>
      <c r="M13" s="18" t="n">
        <f aca="false">0.5 + (L13 * 0.09)</f>
        <v>0.44</v>
      </c>
      <c r="N13" s="15" t="n">
        <f aca="false">((H13-(G13-1))/H13)*(IF(I13&lt;&gt;0,(I13+H13)/H13,1))</f>
        <v>0.25</v>
      </c>
      <c r="O13" s="19" t="n">
        <f aca="false">(N13-(1/6))/(10/6)</f>
        <v>0.05</v>
      </c>
      <c r="P13" s="17" t="n">
        <v>7</v>
      </c>
      <c r="Q13" s="19" t="n">
        <f aca="false">IF(F13=1,(((1-((P13-3)/12))*0.5)+0.5),((P13/15)*0.5))</f>
        <v>0.233333333333333</v>
      </c>
      <c r="R13" s="20" t="n">
        <v>1</v>
      </c>
      <c r="S13" s="17" t="n">
        <v>1</v>
      </c>
      <c r="T13" s="1" t="n">
        <v>0</v>
      </c>
      <c r="U13" s="19" t="n">
        <f aca="false">IFERROR(T13/S13, 1)</f>
        <v>0</v>
      </c>
      <c r="V13" s="20" t="n">
        <v>0</v>
      </c>
      <c r="W13" s="21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2" t="n">
        <v>46029</v>
      </c>
      <c r="B14" s="23" t="n">
        <v>3</v>
      </c>
      <c r="C14" s="23" t="s">
        <v>32</v>
      </c>
      <c r="D14" s="23" t="s">
        <v>41</v>
      </c>
      <c r="E14" s="24" t="n">
        <v>3</v>
      </c>
      <c r="F14" s="25" t="n">
        <v>0</v>
      </c>
      <c r="G14" s="23" t="n">
        <v>3</v>
      </c>
      <c r="H14" s="23" t="n">
        <v>4</v>
      </c>
      <c r="I14" s="23" t="n">
        <v>0</v>
      </c>
      <c r="J14" s="23" t="n">
        <f aca="false">F14-(1/H14)</f>
        <v>-0.25</v>
      </c>
      <c r="K14" s="23" t="n">
        <f aca="false">((I14-((H14-1)/H14))-(-5/6))/((5-(5/6))-(-5/6))</f>
        <v>0.0166666666666667</v>
      </c>
      <c r="L14" s="23" t="n">
        <f aca="false">E14-((E11+E12+E13)/3)</f>
        <v>0.666666666666667</v>
      </c>
      <c r="M14" s="26" t="n">
        <f aca="false">0.5 + (L14 * 0.09)</f>
        <v>0.56</v>
      </c>
      <c r="N14" s="23" t="n">
        <f aca="false">((H14-(G14-1))/H14)*(IF(I14&lt;&gt;0,(I14+H14)/H14,1))</f>
        <v>0.5</v>
      </c>
      <c r="O14" s="27" t="n">
        <f aca="false">(N14-(1/6))/(10/6)</f>
        <v>0.2</v>
      </c>
      <c r="P14" s="25" t="n">
        <v>8</v>
      </c>
      <c r="Q14" s="27" t="n">
        <f aca="false">IF(F14=1,(((1-((P14-3)/12))*0.5)+0.5),((P14/15)*0.5))</f>
        <v>0.266666666666667</v>
      </c>
      <c r="R14" s="28" t="n">
        <v>0</v>
      </c>
      <c r="S14" s="25" t="n">
        <v>0</v>
      </c>
      <c r="T14" s="23" t="n">
        <v>0</v>
      </c>
      <c r="U14" s="27" t="n">
        <f aca="false">IFERROR(T14/S14, 1)</f>
        <v>1</v>
      </c>
      <c r="V14" s="28" t="n">
        <v>0</v>
      </c>
      <c r="W14" s="29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8" t="n">
        <v>46032</v>
      </c>
      <c r="B15" s="35" t="n">
        <v>4</v>
      </c>
      <c r="C15" s="35" t="s">
        <v>32</v>
      </c>
      <c r="D15" s="35" t="s">
        <v>42</v>
      </c>
      <c r="E15" s="39" t="n">
        <v>4</v>
      </c>
      <c r="F15" s="31" t="n">
        <v>1</v>
      </c>
      <c r="G15" s="35" t="n">
        <v>1</v>
      </c>
      <c r="H15" s="35" t="n">
        <v>2</v>
      </c>
      <c r="I15" s="35" t="n">
        <v>1</v>
      </c>
      <c r="J15" s="15" t="n">
        <f aca="false">F15-(1/H15)</f>
        <v>0.5</v>
      </c>
      <c r="K15" s="15" t="n">
        <f aca="false">((I15-((H15-1)/H15))-(-5/6))/((5-(5/6))-(-5/6))</f>
        <v>0.266666666666667</v>
      </c>
      <c r="L15" s="16" t="n">
        <f aca="false">E15-E16</f>
        <v>1</v>
      </c>
      <c r="M15" s="18" t="n">
        <f aca="false">0.5 + (L15 * 0.09)</f>
        <v>0.59</v>
      </c>
      <c r="N15" s="35" t="n">
        <f aca="false">((H15-(G15-1))/H15)*(IF(I15&lt;&gt;0,(I15+H15)/H15,1))</f>
        <v>1.5</v>
      </c>
      <c r="O15" s="36" t="n">
        <f aca="false">(N15-(1/6))/(10/6)</f>
        <v>0.8</v>
      </c>
      <c r="P15" s="31" t="n">
        <v>10</v>
      </c>
      <c r="Q15" s="19" t="n">
        <f aca="false">IF(F15=1,(((1-((P15-3)/12))*0.5)+0.5),((P15/15)*0.5))</f>
        <v>0.708333333333333</v>
      </c>
      <c r="R15" s="37" t="n">
        <v>1</v>
      </c>
      <c r="S15" s="31" t="n">
        <v>1</v>
      </c>
      <c r="T15" s="35" t="n">
        <v>1</v>
      </c>
      <c r="U15" s="36" t="n">
        <f aca="false">IFERROR(T15/S15, 1)</f>
        <v>1</v>
      </c>
      <c r="V15" s="37" t="n">
        <v>0</v>
      </c>
      <c r="W15" s="32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40" t="n">
        <v>46032</v>
      </c>
      <c r="B16" s="23" t="n">
        <v>4</v>
      </c>
      <c r="C16" s="23" t="s">
        <v>28</v>
      </c>
      <c r="D16" s="23" t="s">
        <v>29</v>
      </c>
      <c r="E16" s="24" t="n">
        <v>3</v>
      </c>
      <c r="F16" s="25" t="n">
        <v>0</v>
      </c>
      <c r="G16" s="23" t="n">
        <v>2</v>
      </c>
      <c r="H16" s="23" t="n">
        <v>2</v>
      </c>
      <c r="I16" s="23" t="n">
        <v>0</v>
      </c>
      <c r="J16" s="23" t="n">
        <f aca="false">F16-(1/H16)</f>
        <v>-0.5</v>
      </c>
      <c r="K16" s="23" t="n">
        <f aca="false">((I16-((H16-1)/H16))-(-5/6))/((5-(5/6))-(-5/6))</f>
        <v>0.0666666666666667</v>
      </c>
      <c r="L16" s="24" t="n">
        <f aca="false">E16-E15</f>
        <v>-1</v>
      </c>
      <c r="M16" s="26" t="n">
        <f aca="false">0.5 + (L16 * 0.09)</f>
        <v>0.41</v>
      </c>
      <c r="N16" s="23" t="n">
        <f aca="false">((H16-(G16-1))/H16)*(IF(I16&lt;&gt;0,(I16+H16)/H16,1))</f>
        <v>0.5</v>
      </c>
      <c r="O16" s="27" t="n">
        <f aca="false">(N16-(1/6))/(10/6)</f>
        <v>0.2</v>
      </c>
      <c r="P16" s="25" t="n">
        <v>10</v>
      </c>
      <c r="Q16" s="27" t="n">
        <f aca="false">IF(F16=1,(((1-((P16-3)/12))*0.5)+0.5),((P16/15)*0.5))</f>
        <v>0.333333333333333</v>
      </c>
      <c r="R16" s="28" t="n">
        <v>1</v>
      </c>
      <c r="S16" s="25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9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1" t="n">
        <v>46032</v>
      </c>
      <c r="B17" s="1" t="n">
        <v>5</v>
      </c>
      <c r="C17" s="15" t="s">
        <v>32</v>
      </c>
      <c r="D17" s="15" t="s">
        <v>43</v>
      </c>
      <c r="E17" s="16" t="n">
        <v>2</v>
      </c>
      <c r="F17" s="17" t="n">
        <v>0</v>
      </c>
      <c r="G17" s="1" t="n">
        <v>3</v>
      </c>
      <c r="H17" s="1" t="n">
        <v>4</v>
      </c>
      <c r="I17" s="1" t="n">
        <v>0</v>
      </c>
      <c r="J17" s="15" t="n">
        <f aca="false">F17-(1/H17)</f>
        <v>-0.25</v>
      </c>
      <c r="K17" s="15" t="n">
        <f aca="false">((I17-((H17-1)/H17))-(-5/6))/((5-(5/6))-(-5/6))</f>
        <v>0.0166666666666667</v>
      </c>
      <c r="L17" s="15" t="n">
        <f aca="false">E17-((E18+E19+E20)/3)</f>
        <v>-0.666666666666667</v>
      </c>
      <c r="M17" s="18" t="n">
        <f aca="false">0.5 + (L17 * 0.09)</f>
        <v>0.44</v>
      </c>
      <c r="N17" s="15" t="n">
        <f aca="false">((H17-(G17-1))/H17)*(IF(I17&lt;&gt;0,(I17+H17)/H17,1))</f>
        <v>0.5</v>
      </c>
      <c r="O17" s="19" t="n">
        <f aca="false">(N17-(1/6))/(10/6)</f>
        <v>0.2</v>
      </c>
      <c r="P17" s="17" t="n">
        <v>12</v>
      </c>
      <c r="Q17" s="19" t="n">
        <f aca="false">IF(F17=1,(((1-((P17-3)/12))*0.5)+0.5),((P17/15)*0.5))</f>
        <v>0.4</v>
      </c>
      <c r="R17" s="20" t="n">
        <v>1</v>
      </c>
      <c r="S17" s="17" t="n">
        <v>1</v>
      </c>
      <c r="T17" s="1" t="n">
        <v>1</v>
      </c>
      <c r="U17" s="19" t="n">
        <f aca="false">IFERROR(T17/S17, 1)</f>
        <v>1</v>
      </c>
      <c r="V17" s="20" t="n">
        <v>0</v>
      </c>
      <c r="W17" s="21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1" t="n">
        <v>46032</v>
      </c>
      <c r="B18" s="1" t="n">
        <v>5</v>
      </c>
      <c r="C18" s="15" t="s">
        <v>28</v>
      </c>
      <c r="D18" s="15" t="s">
        <v>44</v>
      </c>
      <c r="E18" s="16" t="n">
        <v>4</v>
      </c>
      <c r="F18" s="17" t="n">
        <v>0</v>
      </c>
      <c r="G18" s="1" t="n">
        <v>2</v>
      </c>
      <c r="H18" s="1" t="n">
        <v>4</v>
      </c>
      <c r="I18" s="1" t="n">
        <v>2</v>
      </c>
      <c r="J18" s="15" t="n">
        <f aca="false">F18-(1/H18)</f>
        <v>-0.25</v>
      </c>
      <c r="K18" s="15" t="n">
        <f aca="false">((I18-((H18-1)/H18))-(-5/6))/((5-(5/6))-(-5/6))</f>
        <v>0.416666666666667</v>
      </c>
      <c r="L18" s="15" t="n">
        <f aca="false">E18-((E17+E19+E20)/3)</f>
        <v>2</v>
      </c>
      <c r="M18" s="18" t="n">
        <f aca="false">0.5 + (L18 * 0.09)</f>
        <v>0.68</v>
      </c>
      <c r="N18" s="15" t="n">
        <f aca="false">((H18-(G18-1))/H18)*(IF(I18&lt;&gt;0,(I18+H18)/H18,1))</f>
        <v>1.125</v>
      </c>
      <c r="O18" s="19" t="n">
        <f aca="false">(N18-(1/6))/(10/6)</f>
        <v>0.575</v>
      </c>
      <c r="P18" s="17" t="n">
        <v>12</v>
      </c>
      <c r="Q18" s="19" t="n">
        <f aca="false">IF(F18=1,(((1-((P18-3)/12))*0.5)+0.5),((P18/15)*0.5))</f>
        <v>0.4</v>
      </c>
      <c r="R18" s="20" t="n">
        <v>1</v>
      </c>
      <c r="S18" s="17" t="n">
        <v>1</v>
      </c>
      <c r="T18" s="1" t="n">
        <v>1</v>
      </c>
      <c r="U18" s="19" t="n">
        <f aca="false">IFERROR(T18/S18, 1)</f>
        <v>1</v>
      </c>
      <c r="V18" s="20" t="n">
        <v>0</v>
      </c>
      <c r="W18" s="21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1" t="n">
        <v>46032</v>
      </c>
      <c r="B19" s="1" t="n">
        <v>5</v>
      </c>
      <c r="C19" s="15" t="s">
        <v>26</v>
      </c>
      <c r="D19" s="15" t="s">
        <v>45</v>
      </c>
      <c r="E19" s="16" t="n">
        <v>2</v>
      </c>
      <c r="F19" s="17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E19-((E17+E18+E20)/3)</f>
        <v>-0.666666666666667</v>
      </c>
      <c r="M19" s="18" t="n">
        <f aca="false">0.5 + (L19 * 0.09)</f>
        <v>0.44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7" t="n">
        <v>12</v>
      </c>
      <c r="Q19" s="19" t="n">
        <f aca="false">IF(F19=1,(((1-((P19-3)/12))*0.5)+0.5),((P19/15)*0.5))</f>
        <v>0.625</v>
      </c>
      <c r="R19" s="20" t="n">
        <v>1</v>
      </c>
      <c r="S19" s="17" t="n">
        <v>2</v>
      </c>
      <c r="T19" s="1" t="n">
        <v>2</v>
      </c>
      <c r="U19" s="19" t="n">
        <f aca="false">IFERROR(T19/S19, 1)</f>
        <v>1</v>
      </c>
      <c r="V19" s="20" t="n">
        <v>0</v>
      </c>
      <c r="W19" s="21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40" t="n">
        <v>46032</v>
      </c>
      <c r="B20" s="23" t="n">
        <v>5</v>
      </c>
      <c r="C20" s="23" t="s">
        <v>30</v>
      </c>
      <c r="D20" s="23" t="s">
        <v>46</v>
      </c>
      <c r="E20" s="24" t="n">
        <v>2</v>
      </c>
      <c r="F20" s="25" t="n">
        <v>0</v>
      </c>
      <c r="G20" s="23" t="n">
        <v>4</v>
      </c>
      <c r="H20" s="23" t="n">
        <v>4</v>
      </c>
      <c r="I20" s="23" t="n">
        <v>0</v>
      </c>
      <c r="J20" s="23" t="n">
        <f aca="false">F20-(1/H20)</f>
        <v>-0.25</v>
      </c>
      <c r="K20" s="23" t="n">
        <f aca="false">((I20-((H20-1)/H20))-(-5/6))/((5-(5/6))-(-5/6))</f>
        <v>0.0166666666666667</v>
      </c>
      <c r="L20" s="23" t="n">
        <f aca="false">E20-((E17+E18+E19)/3)</f>
        <v>-0.666666666666667</v>
      </c>
      <c r="M20" s="26" t="n">
        <f aca="false">0.5 + (L20 * 0.09)</f>
        <v>0.44</v>
      </c>
      <c r="N20" s="23" t="n">
        <f aca="false">((H20-(G20-1))/H20)*(IF(I20&lt;&gt;0,(I20+H20)/H20,1))</f>
        <v>0.25</v>
      </c>
      <c r="O20" s="27" t="n">
        <f aca="false">(N20-(1/6))/(10/6)</f>
        <v>0.05</v>
      </c>
      <c r="P20" s="25" t="n">
        <v>11</v>
      </c>
      <c r="Q20" s="27" t="n">
        <f aca="false">IF(F20=1,(((1-((P20-3)/12))*0.5)+0.5),((P20/15)*0.5))</f>
        <v>0.366666666666667</v>
      </c>
      <c r="R20" s="28" t="n">
        <v>1</v>
      </c>
      <c r="S20" s="25" t="n">
        <v>1</v>
      </c>
      <c r="T20" s="23" t="n">
        <v>1</v>
      </c>
      <c r="U20" s="27" t="n">
        <f aca="false">IFERROR(T20/S20, 1)</f>
        <v>1</v>
      </c>
      <c r="V20" s="28" t="n">
        <v>0</v>
      </c>
      <c r="W20" s="29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1" t="n">
        <v>46032</v>
      </c>
      <c r="B21" s="1" t="n">
        <v>6</v>
      </c>
      <c r="C21" s="15" t="s">
        <v>26</v>
      </c>
      <c r="D21" s="15" t="s">
        <v>27</v>
      </c>
      <c r="E21" s="16" t="n">
        <v>4</v>
      </c>
      <c r="F21" s="17" t="n">
        <v>0</v>
      </c>
      <c r="G21" s="1" t="n">
        <v>4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E21-((E22+E23+E24)/3)</f>
        <v>1.33333333333333</v>
      </c>
      <c r="M21" s="18" t="n">
        <f aca="false">0.5 + (L21 * 0.09)</f>
        <v>0.62</v>
      </c>
      <c r="N21" s="15" t="n">
        <f aca="false">((H21-(G21-1))/H21)*(IF(I21&lt;&gt;0,(I21+H21)/H21,1))</f>
        <v>0.25</v>
      </c>
      <c r="O21" s="19" t="n">
        <f aca="false">(N21-(1/6))/(10/6)</f>
        <v>0.05</v>
      </c>
      <c r="P21" s="17" t="n">
        <v>8</v>
      </c>
      <c r="Q21" s="19" t="n">
        <f aca="false">IF(F21=1,(((1-((P21-3)/12))*0.5)+0.5),((P21/15)*0.5))</f>
        <v>0.266666666666667</v>
      </c>
      <c r="R21" s="20" t="n">
        <v>0</v>
      </c>
      <c r="S21" s="17" t="n">
        <v>0</v>
      </c>
      <c r="T21" s="1" t="n">
        <v>0</v>
      </c>
      <c r="U21" s="19" t="n">
        <f aca="false">IFERROR(T21/S21, 1)</f>
        <v>1</v>
      </c>
      <c r="V21" s="20" t="n">
        <v>0</v>
      </c>
      <c r="W21" s="21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1" t="n">
        <v>46032</v>
      </c>
      <c r="B22" s="1" t="n">
        <v>6</v>
      </c>
      <c r="C22" s="15" t="s">
        <v>32</v>
      </c>
      <c r="D22" s="15" t="s">
        <v>33</v>
      </c>
      <c r="E22" s="16" t="n">
        <v>2</v>
      </c>
      <c r="F22" s="17" t="n">
        <v>0</v>
      </c>
      <c r="G22" s="1" t="n">
        <v>3</v>
      </c>
      <c r="H22" s="1" t="n">
        <v>4</v>
      </c>
      <c r="I22" s="1" t="n">
        <v>1</v>
      </c>
      <c r="J22" s="15" t="n">
        <f aca="false">F22-(1/H22)</f>
        <v>-0.25</v>
      </c>
      <c r="K22" s="15" t="n">
        <f aca="false">((I22-((H22-1)/H22))-(-5/6))/((5-(5/6))-(-5/6))</f>
        <v>0.216666666666667</v>
      </c>
      <c r="L22" s="15" t="n">
        <f aca="false">E22-((E21+E23+E24)/3)</f>
        <v>-1.33333333333333</v>
      </c>
      <c r="M22" s="18" t="n">
        <f aca="false">0.5 + (L22 * 0.09)</f>
        <v>0.38</v>
      </c>
      <c r="N22" s="15" t="n">
        <f aca="false">((H22-(G22-1))/H22)*(IF(I22&lt;&gt;0,(I22+H22)/H22,1))</f>
        <v>0.625</v>
      </c>
      <c r="O22" s="19" t="n">
        <f aca="false">(N22-(1/6))/(10/6)</f>
        <v>0.275</v>
      </c>
      <c r="P22" s="17" t="n">
        <v>9</v>
      </c>
      <c r="Q22" s="19" t="n">
        <f aca="false">IF(F22=1,(((1-((P22-3)/12))*0.5)+0.5),((P22/15)*0.5))</f>
        <v>0.3</v>
      </c>
      <c r="R22" s="20" t="n">
        <v>1</v>
      </c>
      <c r="S22" s="17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21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1" t="n">
        <v>46032</v>
      </c>
      <c r="B23" s="1" t="n">
        <v>6</v>
      </c>
      <c r="C23" s="15" t="s">
        <v>28</v>
      </c>
      <c r="D23" s="15" t="s">
        <v>47</v>
      </c>
      <c r="E23" s="16" t="n">
        <v>3</v>
      </c>
      <c r="F23" s="17" t="n">
        <v>0</v>
      </c>
      <c r="G23" s="1" t="n">
        <v>2</v>
      </c>
      <c r="H23" s="1" t="n">
        <v>4</v>
      </c>
      <c r="I23" s="1" t="n">
        <v>0</v>
      </c>
      <c r="J23" s="15" t="n">
        <f aca="false">F23-(1/H23)</f>
        <v>-0.25</v>
      </c>
      <c r="K23" s="15" t="n">
        <f aca="false">((I23-((H23-1)/H23))-(-5/6))/((5-(5/6))-(-5/6))</f>
        <v>0.0166666666666667</v>
      </c>
      <c r="L23" s="15" t="n">
        <f aca="false">E23-((E21+E22+E24)/3)</f>
        <v>0</v>
      </c>
      <c r="M23" s="18" t="n">
        <f aca="false">0.5 + (L23 * 0.09)</f>
        <v>0.5</v>
      </c>
      <c r="N23" s="15" t="n">
        <f aca="false">((H23-(G23-1))/H23)*(IF(I23&lt;&gt;0,(I23+H23)/H23,1))</f>
        <v>0.75</v>
      </c>
      <c r="O23" s="19" t="n">
        <f aca="false">(N23-(1/6))/(10/6)</f>
        <v>0.35</v>
      </c>
      <c r="P23" s="17" t="n">
        <v>9</v>
      </c>
      <c r="Q23" s="19" t="n">
        <f aca="false">IF(F23=1,(((1-((P23-3)/12))*0.5)+0.5),((P23/15)*0.5))</f>
        <v>0.3</v>
      </c>
      <c r="R23" s="20" t="n">
        <v>0</v>
      </c>
      <c r="S23" s="17" t="n">
        <v>1</v>
      </c>
      <c r="T23" s="1" t="n">
        <v>0</v>
      </c>
      <c r="U23" s="19" t="n">
        <f aca="false">IFERROR(T23/S23, 1)</f>
        <v>0</v>
      </c>
      <c r="V23" s="20" t="n">
        <v>0</v>
      </c>
      <c r="W23" s="21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40" t="n">
        <v>46032</v>
      </c>
      <c r="B24" s="23" t="n">
        <v>6</v>
      </c>
      <c r="C24" s="23" t="s">
        <v>30</v>
      </c>
      <c r="D24" s="23" t="s">
        <v>48</v>
      </c>
      <c r="E24" s="24" t="n">
        <v>3</v>
      </c>
      <c r="F24" s="25" t="n">
        <v>1</v>
      </c>
      <c r="G24" s="23" t="n">
        <v>1</v>
      </c>
      <c r="H24" s="23" t="n">
        <v>4</v>
      </c>
      <c r="I24" s="23" t="n">
        <v>2</v>
      </c>
      <c r="J24" s="23" t="n">
        <f aca="false">F24-(1/H24)</f>
        <v>0.75</v>
      </c>
      <c r="K24" s="23" t="n">
        <f aca="false">((I24-((H24-1)/H24))-(-5/6))/((5-(5/6))-(-5/6))</f>
        <v>0.416666666666667</v>
      </c>
      <c r="L24" s="23" t="n">
        <f aca="false">E24-((E21+E22+E23)/3)</f>
        <v>0</v>
      </c>
      <c r="M24" s="26" t="n">
        <f aca="false">0.5 + (L24 * 0.09)</f>
        <v>0.5</v>
      </c>
      <c r="N24" s="23" t="n">
        <f aca="false">((H24-(G24-1))/H24)*(IF(I24&lt;&gt;0,(I24+H24)/H24,1))</f>
        <v>1.5</v>
      </c>
      <c r="O24" s="27" t="n">
        <f aca="false">(N24-(1/6))/(10/6)</f>
        <v>0.8</v>
      </c>
      <c r="P24" s="25" t="n">
        <v>9</v>
      </c>
      <c r="Q24" s="27" t="n">
        <f aca="false">IF(F24=1,(((1-((P24-3)/12))*0.5)+0.5),((P24/15)*0.5))</f>
        <v>0.75</v>
      </c>
      <c r="R24" s="28" t="n">
        <v>1</v>
      </c>
      <c r="S24" s="25" t="n">
        <v>0</v>
      </c>
      <c r="T24" s="23" t="n">
        <v>0</v>
      </c>
      <c r="U24" s="27" t="n">
        <f aca="false">IFERROR(T24/S24, 1)</f>
        <v>1</v>
      </c>
      <c r="V24" s="28" t="n">
        <v>0</v>
      </c>
      <c r="W24" s="29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1" t="n">
        <v>46036</v>
      </c>
      <c r="B25" s="1" t="n">
        <v>7</v>
      </c>
      <c r="C25" s="15" t="s">
        <v>38</v>
      </c>
      <c r="D25" s="15" t="s">
        <v>49</v>
      </c>
      <c r="E25" s="16" t="n">
        <v>3</v>
      </c>
      <c r="F25" s="17" t="n">
        <v>0</v>
      </c>
      <c r="G25" s="1" t="n">
        <v>2</v>
      </c>
      <c r="H25" s="1" t="n">
        <v>4</v>
      </c>
      <c r="I25" s="1" t="n">
        <v>1</v>
      </c>
      <c r="J25" s="15" t="n">
        <f aca="false">F25-(1/H25)</f>
        <v>-0.25</v>
      </c>
      <c r="K25" s="15" t="n">
        <f aca="false">((I25-((H25-1)/H25))-(-5/6))/((5-(5/6))-(-5/6))</f>
        <v>0.216666666666667</v>
      </c>
      <c r="L25" s="15" t="n">
        <f aca="false">E25-((E26+E27+E28)/3)</f>
        <v>0.666666666666667</v>
      </c>
      <c r="M25" s="18" t="n">
        <f aca="false">0.5 + (L25 * 0.09)</f>
        <v>0.56</v>
      </c>
      <c r="N25" s="15" t="n">
        <f aca="false">((H25-(G25-1))/H25)*(IF(I25&lt;&gt;0,(I25+H25)/H25,1))</f>
        <v>0.9375</v>
      </c>
      <c r="O25" s="19" t="n">
        <f aca="false">(N25-(1/6))/(10/6)</f>
        <v>0.4625</v>
      </c>
      <c r="P25" s="17" t="n">
        <v>10</v>
      </c>
      <c r="Q25" s="19" t="n">
        <f aca="false">IF(F25=1,(((1-((P25-3)/12))*0.5)+0.5),((P25/15)*0.5))</f>
        <v>0.333333333333333</v>
      </c>
      <c r="R25" s="20" t="n">
        <v>0</v>
      </c>
      <c r="S25" s="17" t="n">
        <v>1</v>
      </c>
      <c r="T25" s="1" t="n">
        <v>0</v>
      </c>
      <c r="U25" s="19" t="n">
        <f aca="false">IFERROR(T25/S25, 1)</f>
        <v>0</v>
      </c>
      <c r="V25" s="20" t="n">
        <v>0</v>
      </c>
      <c r="W25" s="21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1" t="n">
        <v>46036</v>
      </c>
      <c r="B26" s="1" t="n">
        <v>7</v>
      </c>
      <c r="C26" s="15" t="s">
        <v>28</v>
      </c>
      <c r="D26" s="15" t="s">
        <v>47</v>
      </c>
      <c r="E26" s="16" t="n">
        <v>3</v>
      </c>
      <c r="F26" s="17" t="n">
        <v>0</v>
      </c>
      <c r="G26" s="1" t="n">
        <v>2</v>
      </c>
      <c r="H26" s="1" t="n">
        <v>4</v>
      </c>
      <c r="I26" s="1" t="n">
        <v>0</v>
      </c>
      <c r="J26" s="15" t="n">
        <f aca="false">F26-(1/H26)</f>
        <v>-0.25</v>
      </c>
      <c r="K26" s="15" t="n">
        <f aca="false">((I26-((H26-1)/H26))-(-5/6))/((5-(5/6))-(-5/6))</f>
        <v>0.0166666666666667</v>
      </c>
      <c r="L26" s="15" t="n">
        <f aca="false">E26-((E25+E27+E28)/3)</f>
        <v>0.666666666666667</v>
      </c>
      <c r="M26" s="18" t="n">
        <f aca="false">0.5 + (L26 * 0.09)</f>
        <v>0.56</v>
      </c>
      <c r="N26" s="15" t="n">
        <f aca="false">((H26-(G26-1))/H26)*(IF(I26&lt;&gt;0,(I26+H26)/H26,1))</f>
        <v>0.75</v>
      </c>
      <c r="O26" s="19" t="n">
        <f aca="false">(N26-(1/6))/(10/6)</f>
        <v>0.35</v>
      </c>
      <c r="P26" s="17" t="n">
        <v>10</v>
      </c>
      <c r="Q26" s="19" t="n">
        <f aca="false">IF(F26=1,(((1-((P26-3)/12))*0.5)+0.5),((P26/15)*0.5))</f>
        <v>0.333333333333333</v>
      </c>
      <c r="R26" s="20" t="n">
        <v>0</v>
      </c>
      <c r="S26" s="17" t="n">
        <v>1</v>
      </c>
      <c r="T26" s="1" t="n">
        <v>0</v>
      </c>
      <c r="U26" s="19" t="n">
        <f aca="false">IFERROR(T26/S26, 1)</f>
        <v>0</v>
      </c>
      <c r="V26" s="20" t="n">
        <v>0</v>
      </c>
      <c r="W26" s="21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1" t="n">
        <v>46036</v>
      </c>
      <c r="B27" s="1" t="n">
        <v>7</v>
      </c>
      <c r="C27" s="15" t="s">
        <v>32</v>
      </c>
      <c r="D27" s="15" t="s">
        <v>36</v>
      </c>
      <c r="E27" s="16" t="n">
        <v>2</v>
      </c>
      <c r="F27" s="17" t="n">
        <v>1</v>
      </c>
      <c r="G27" s="1" t="n">
        <v>1</v>
      </c>
      <c r="H27" s="1" t="n">
        <v>4</v>
      </c>
      <c r="I27" s="1" t="n">
        <v>2</v>
      </c>
      <c r="J27" s="15" t="n">
        <f aca="false">F27-(1/H27)</f>
        <v>0.75</v>
      </c>
      <c r="K27" s="15" t="n">
        <f aca="false">((I27-((H27-1)/H27))-(-5/6))/((5-(5/6))-(-5/6))</f>
        <v>0.416666666666667</v>
      </c>
      <c r="L27" s="15" t="n">
        <f aca="false">E27-((E25+E26+E28)/3)</f>
        <v>-0.666666666666667</v>
      </c>
      <c r="M27" s="18" t="n">
        <f aca="false">0.5 + (L27 * 0.09)</f>
        <v>0.44</v>
      </c>
      <c r="N27" s="15" t="n">
        <f aca="false">((H27-(G27-1))/H27)*(IF(I27&lt;&gt;0,(I27+H27)/H27,1))</f>
        <v>1.5</v>
      </c>
      <c r="O27" s="19" t="n">
        <f aca="false">(N27-(1/6))/(10/6)</f>
        <v>0.8</v>
      </c>
      <c r="P27" s="17" t="n">
        <v>10</v>
      </c>
      <c r="Q27" s="19" t="n">
        <f aca="false">IF(F27=1,(((1-((P27-3)/12))*0.5)+0.5),((P27/15)*0.5))</f>
        <v>0.708333333333333</v>
      </c>
      <c r="R27" s="1" t="n">
        <v>1</v>
      </c>
      <c r="S27" s="17" t="n">
        <v>2</v>
      </c>
      <c r="T27" s="1" t="n">
        <v>1</v>
      </c>
      <c r="U27" s="19" t="n">
        <f aca="false">IFERROR(T27/S27, 1)</f>
        <v>0.5</v>
      </c>
      <c r="V27" s="20" t="n">
        <v>0</v>
      </c>
      <c r="W27" s="21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40" t="n">
        <v>46036</v>
      </c>
      <c r="B28" s="23" t="n">
        <v>7</v>
      </c>
      <c r="C28" s="23" t="s">
        <v>30</v>
      </c>
      <c r="D28" s="23" t="s">
        <v>46</v>
      </c>
      <c r="E28" s="24" t="n">
        <v>2</v>
      </c>
      <c r="F28" s="25" t="n">
        <v>0</v>
      </c>
      <c r="G28" s="23" t="n">
        <v>4</v>
      </c>
      <c r="H28" s="23" t="n">
        <v>4</v>
      </c>
      <c r="I28" s="23" t="n">
        <v>0</v>
      </c>
      <c r="J28" s="23" t="n">
        <f aca="false">F28-(1/H28)</f>
        <v>-0.25</v>
      </c>
      <c r="K28" s="23" t="n">
        <f aca="false">((I28-((H28-1)/H28))-(-5/6))/((5-(5/6))-(-5/6))</f>
        <v>0.0166666666666667</v>
      </c>
      <c r="L28" s="23" t="n">
        <f aca="false">E28-((E25+E26+E27)/3)</f>
        <v>-0.666666666666667</v>
      </c>
      <c r="M28" s="26" t="n">
        <f aca="false">0.5 + (L28 * 0.09)</f>
        <v>0.44</v>
      </c>
      <c r="N28" s="23" t="n">
        <f aca="false">((H28-(G28-1))/H28)*(IF(I28&lt;&gt;0,(I28+H28)/H28,1))</f>
        <v>0.25</v>
      </c>
      <c r="O28" s="27" t="n">
        <f aca="false">(N28-(1/6))/(10/6)</f>
        <v>0.05</v>
      </c>
      <c r="P28" s="25" t="n">
        <v>9</v>
      </c>
      <c r="Q28" s="27" t="n">
        <f aca="false">IF(F28=1,(((1-((P28-3)/12))*0.5)+0.5),((P28/15)*0.5))</f>
        <v>0.3</v>
      </c>
      <c r="R28" s="23" t="n">
        <v>1</v>
      </c>
      <c r="S28" s="25" t="n">
        <v>1</v>
      </c>
      <c r="T28" s="23" t="n">
        <v>1</v>
      </c>
      <c r="U28" s="27" t="n">
        <f aca="false">IFERROR(T28/S28, 1)</f>
        <v>1</v>
      </c>
      <c r="V28" s="28" t="n">
        <v>0</v>
      </c>
      <c r="W28" s="29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1" t="n">
        <v>46038</v>
      </c>
      <c r="B29" s="1" t="n">
        <v>8</v>
      </c>
      <c r="C29" s="15" t="s">
        <v>30</v>
      </c>
      <c r="D29" s="15" t="s">
        <v>50</v>
      </c>
      <c r="E29" s="16" t="n">
        <v>3</v>
      </c>
      <c r="F29" s="17" t="n">
        <v>1</v>
      </c>
      <c r="G29" s="1" t="n">
        <v>1</v>
      </c>
      <c r="H29" s="1" t="n">
        <v>4</v>
      </c>
      <c r="I29" s="1" t="n">
        <v>3</v>
      </c>
      <c r="J29" s="15" t="n">
        <f aca="false">F29-(1/H29)</f>
        <v>0.75</v>
      </c>
      <c r="K29" s="15" t="n">
        <f aca="false">((I29-((H29-1)/H29))-(-5/6))/((5-(5/6))-(-5/6))</f>
        <v>0.616666666666667</v>
      </c>
      <c r="L29" s="15" t="n">
        <f aca="false">E29-((E30+E31+E32)/3)</f>
        <v>-0.333333333333334</v>
      </c>
      <c r="M29" s="18" t="n">
        <f aca="false">0.5 + (L29 * 0.09)</f>
        <v>0.47</v>
      </c>
      <c r="N29" s="15" t="n">
        <f aca="false">((H29-(G29-1))/H29)*(IF(I29&lt;&gt;0,(I29+H29)/H29,1))</f>
        <v>1.75</v>
      </c>
      <c r="O29" s="19" t="n">
        <f aca="false">(N29-(1/6))/(10/6)</f>
        <v>0.95</v>
      </c>
      <c r="P29" s="17" t="n">
        <v>9</v>
      </c>
      <c r="Q29" s="19" t="n">
        <f aca="false">IF(F29=1,(((1-((P29-3)/12))*0.5)+0.5),((P29/15)*0.5))</f>
        <v>0.75</v>
      </c>
      <c r="R29" s="1" t="n">
        <v>1</v>
      </c>
      <c r="S29" s="17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21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1" t="n">
        <v>46038</v>
      </c>
      <c r="B30" s="1" t="n">
        <v>8</v>
      </c>
      <c r="C30" s="15" t="s">
        <v>32</v>
      </c>
      <c r="D30" s="15" t="s">
        <v>41</v>
      </c>
      <c r="E30" s="16" t="n">
        <v>3</v>
      </c>
      <c r="F30" s="17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E30-((E29+E31+E32)/3)</f>
        <v>-0.333333333333334</v>
      </c>
      <c r="M30" s="18" t="n">
        <f aca="false">0.5 + (L30 * 0.09)</f>
        <v>0.47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7" t="n">
        <v>9</v>
      </c>
      <c r="Q30" s="19" t="n">
        <f aca="false">IF(F30=1,(((1-((P30-3)/12))*0.5)+0.5),((P30/15)*0.5))</f>
        <v>0.3</v>
      </c>
      <c r="R30" s="1" t="n">
        <v>0</v>
      </c>
      <c r="S30" s="17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21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1" t="n">
        <v>46038</v>
      </c>
      <c r="B31" s="1" t="n">
        <v>8</v>
      </c>
      <c r="C31" s="15" t="s">
        <v>26</v>
      </c>
      <c r="D31" s="15" t="s">
        <v>27</v>
      </c>
      <c r="E31" s="16" t="n">
        <v>4</v>
      </c>
      <c r="F31" s="17" t="n">
        <v>0</v>
      </c>
      <c r="G31" s="1" t="n">
        <v>3</v>
      </c>
      <c r="H31" s="1" t="n">
        <v>4</v>
      </c>
      <c r="I31" s="1" t="n">
        <v>0</v>
      </c>
      <c r="J31" s="15" t="n">
        <f aca="false">F31-(1/H31)</f>
        <v>-0.25</v>
      </c>
      <c r="K31" s="15" t="n">
        <f aca="false">((I31-((H31-1)/H31))-(-5/6))/((5-(5/6))-(-5/6))</f>
        <v>0.0166666666666667</v>
      </c>
      <c r="L31" s="15" t="n">
        <f aca="false">E31-((E29+E30+E32)/3)</f>
        <v>1</v>
      </c>
      <c r="M31" s="18" t="n">
        <f aca="false">0.5 + (L31 * 0.09)</f>
        <v>0.59</v>
      </c>
      <c r="N31" s="15" t="n">
        <f aca="false">((H31-(G31-1))/H31)*(IF(I31&lt;&gt;0,(I31+H31)/H31,1))</f>
        <v>0.5</v>
      </c>
      <c r="O31" s="19" t="n">
        <f aca="false">(N31-(1/6))/(10/6)</f>
        <v>0.2</v>
      </c>
      <c r="P31" s="17" t="n">
        <v>9</v>
      </c>
      <c r="Q31" s="19" t="n">
        <f aca="false">IF(F31=1,(((1-((P31-3)/12))*0.5)+0.5),((P31/15)*0.5))</f>
        <v>0.3</v>
      </c>
      <c r="R31" s="1" t="n">
        <v>0</v>
      </c>
      <c r="S31" s="17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21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40" t="n">
        <v>46038</v>
      </c>
      <c r="B32" s="23" t="n">
        <v>8</v>
      </c>
      <c r="C32" s="23" t="s">
        <v>28</v>
      </c>
      <c r="D32" s="23" t="s">
        <v>29</v>
      </c>
      <c r="E32" s="24" t="n">
        <v>3</v>
      </c>
      <c r="F32" s="25" t="n">
        <v>0</v>
      </c>
      <c r="G32" s="23" t="n">
        <v>4</v>
      </c>
      <c r="H32" s="23" t="n">
        <v>4</v>
      </c>
      <c r="I32" s="23" t="n">
        <v>0</v>
      </c>
      <c r="J32" s="23" t="n">
        <f aca="false">F32-(1/H32)</f>
        <v>-0.25</v>
      </c>
      <c r="K32" s="23" t="n">
        <f aca="false">((I32-((H32-1)/H32))-(-5/6))/((5-(5/6))-(-5/6))</f>
        <v>0.0166666666666667</v>
      </c>
      <c r="L32" s="23" t="n">
        <f aca="false">E32-((E29+E30+E31)/3)</f>
        <v>-0.333333333333334</v>
      </c>
      <c r="M32" s="26" t="n">
        <f aca="false">0.5 + (L32 * 0.09)</f>
        <v>0.47</v>
      </c>
      <c r="N32" s="23" t="n">
        <f aca="false">((H32-(G32-1))/H32)*(IF(I32&lt;&gt;0,(I32+H32)/H32,1))</f>
        <v>0.25</v>
      </c>
      <c r="O32" s="27" t="n">
        <f aca="false">(N32-(1/6))/(10/6)</f>
        <v>0.05</v>
      </c>
      <c r="P32" s="25" t="n">
        <v>9</v>
      </c>
      <c r="Q32" s="27" t="n">
        <f aca="false">IF(F32=1,(((1-((P32-3)/12))*0.5)+0.5),((P32/15)*0.5))</f>
        <v>0.3</v>
      </c>
      <c r="R32" s="23" t="n">
        <v>0</v>
      </c>
      <c r="S32" s="25" t="n">
        <v>0</v>
      </c>
      <c r="T32" s="23" t="n">
        <v>0</v>
      </c>
      <c r="U32" s="27" t="n">
        <f aca="false">IFERROR(T32/S32, 1)</f>
        <v>1</v>
      </c>
      <c r="V32" s="28" t="n">
        <v>0</v>
      </c>
      <c r="W32" s="29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1" t="n">
        <v>46038</v>
      </c>
      <c r="B33" s="1" t="n">
        <v>9</v>
      </c>
      <c r="C33" s="15" t="s">
        <v>28</v>
      </c>
      <c r="D33" s="15" t="s">
        <v>29</v>
      </c>
      <c r="E33" s="16" t="n">
        <v>3</v>
      </c>
      <c r="F33" s="17" t="n">
        <v>1</v>
      </c>
      <c r="G33" s="1" t="n">
        <v>1</v>
      </c>
      <c r="H33" s="1" t="n">
        <v>3</v>
      </c>
      <c r="I33" s="1" t="n">
        <v>1</v>
      </c>
      <c r="J33" s="15" t="n">
        <f aca="false">F33-(1/H33)</f>
        <v>0.666666666666667</v>
      </c>
      <c r="K33" s="15" t="n">
        <f aca="false">((I33-((H33-1)/H33))-(-5/6))/((5-(5/6))-(-5/6))</f>
        <v>0.233333333333333</v>
      </c>
      <c r="L33" s="16" t="n">
        <f aca="false">E33-((E34+E35)/2)</f>
        <v>0</v>
      </c>
      <c r="M33" s="18" t="n">
        <f aca="false">0.5 + (L33 * 0.09)</f>
        <v>0.5</v>
      </c>
      <c r="N33" s="15" t="n">
        <f aca="false">((H33-(G33-1))/H33)*(IF(I33&lt;&gt;0,(I33+H33)/H33,1))</f>
        <v>1.33333333333333</v>
      </c>
      <c r="O33" s="19" t="n">
        <f aca="false">(N33-(1/6))/(10/6)</f>
        <v>0.7</v>
      </c>
      <c r="P33" s="17" t="n">
        <v>12</v>
      </c>
      <c r="Q33" s="19" t="n">
        <f aca="false">IF(F33=1,(((1-((P33-3)/12))*0.5)+0.5),((P33/15)*0.5))</f>
        <v>0.625</v>
      </c>
      <c r="R33" s="1" t="n">
        <v>1</v>
      </c>
      <c r="S33" s="17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21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1" t="n">
        <v>46038</v>
      </c>
      <c r="B34" s="1" t="n">
        <v>9</v>
      </c>
      <c r="C34" s="15" t="s">
        <v>32</v>
      </c>
      <c r="D34" s="15" t="s">
        <v>42</v>
      </c>
      <c r="E34" s="16" t="n">
        <v>4</v>
      </c>
      <c r="F34" s="17" t="n">
        <v>0</v>
      </c>
      <c r="G34" s="1" t="n">
        <v>2</v>
      </c>
      <c r="H34" s="1" t="n">
        <v>3</v>
      </c>
      <c r="I34" s="1" t="n">
        <v>1</v>
      </c>
      <c r="J34" s="15" t="n">
        <f aca="false">F34-(1/H34)</f>
        <v>-0.333333333333333</v>
      </c>
      <c r="K34" s="15" t="n">
        <f aca="false">((I34-((H34-1)/H34))-(-5/6))/((5-(5/6))-(-5/6))</f>
        <v>0.233333333333333</v>
      </c>
      <c r="L34" s="15" t="n">
        <f aca="false">E34-((E33+E35)/2)</f>
        <v>1.5</v>
      </c>
      <c r="M34" s="18" t="n">
        <f aca="false">0.5 + (L34 * 0.09)</f>
        <v>0.635</v>
      </c>
      <c r="N34" s="15" t="n">
        <f aca="false">((H34-(G34-1))/H34)*(IF(I34&lt;&gt;0,(I34+H34)/H34,1))</f>
        <v>0.888888888888889</v>
      </c>
      <c r="O34" s="19" t="n">
        <f aca="false">(N34-(1/6))/(10/6)</f>
        <v>0.433333333333333</v>
      </c>
      <c r="P34" s="17" t="n">
        <v>12</v>
      </c>
      <c r="Q34" s="19" t="n">
        <f aca="false">IF(F34=1,(((1-((P34-3)/12))*0.5)+0.5),((P34/15)*0.5))</f>
        <v>0.4</v>
      </c>
      <c r="R34" s="1" t="n">
        <v>1</v>
      </c>
      <c r="S34" s="17" t="n">
        <v>2</v>
      </c>
      <c r="T34" s="1" t="n">
        <v>0</v>
      </c>
      <c r="U34" s="19" t="n">
        <f aca="false">IFERROR(T34/S34, 1)</f>
        <v>0</v>
      </c>
      <c r="V34" s="20" t="n">
        <v>0</v>
      </c>
      <c r="W34" s="21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40" t="n">
        <v>46038</v>
      </c>
      <c r="B35" s="23" t="n">
        <v>9</v>
      </c>
      <c r="C35" s="23" t="s">
        <v>30</v>
      </c>
      <c r="D35" s="23" t="s">
        <v>31</v>
      </c>
      <c r="E35" s="24" t="n">
        <v>2</v>
      </c>
      <c r="F35" s="25" t="n">
        <v>0</v>
      </c>
      <c r="G35" s="23" t="n">
        <v>3</v>
      </c>
      <c r="H35" s="23" t="n">
        <v>3</v>
      </c>
      <c r="I35" s="23" t="n">
        <v>0</v>
      </c>
      <c r="J35" s="23" t="n">
        <f aca="false">F35-(1/H35)</f>
        <v>-0.333333333333333</v>
      </c>
      <c r="K35" s="23" t="n">
        <f aca="false">((I35-((H35-1)/H35))-(-5/6))/((5-(5/6))-(-5/6))</f>
        <v>0.0333333333333334</v>
      </c>
      <c r="L35" s="23" t="n">
        <f aca="false">E35-((E33+E34)/2)</f>
        <v>-1.5</v>
      </c>
      <c r="M35" s="26" t="n">
        <f aca="false">0.5 + (L35 * 0.09)</f>
        <v>0.365</v>
      </c>
      <c r="N35" s="23" t="n">
        <f aca="false">((H35-(G35-1))/H35)*(IF(I35&lt;&gt;0,(I35+H35)/H35,1))</f>
        <v>0.333333333333333</v>
      </c>
      <c r="O35" s="27" t="n">
        <f aca="false">(N35-(1/6))/(10/6)</f>
        <v>0.1</v>
      </c>
      <c r="P35" s="25" t="n">
        <v>9</v>
      </c>
      <c r="Q35" s="27" t="n">
        <f aca="false">IF(F35=1,(((1-((P35-3)/12))*0.5)+0.5),((P35/15)*0.5))</f>
        <v>0.3</v>
      </c>
      <c r="R35" s="23" t="n">
        <v>1</v>
      </c>
      <c r="S35" s="25" t="n">
        <v>1</v>
      </c>
      <c r="T35" s="23" t="n">
        <v>0</v>
      </c>
      <c r="U35" s="27" t="n">
        <f aca="false">IFERROR(T35/S35, 1)</f>
        <v>0</v>
      </c>
      <c r="V35" s="28" t="n">
        <v>0</v>
      </c>
      <c r="W35" s="29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1" t="n">
        <v>46039</v>
      </c>
      <c r="B36" s="1" t="n">
        <v>10</v>
      </c>
      <c r="C36" s="15" t="s">
        <v>32</v>
      </c>
      <c r="D36" s="15" t="s">
        <v>41</v>
      </c>
      <c r="E36" s="16" t="n">
        <v>3</v>
      </c>
      <c r="F36" s="17" t="n">
        <v>1</v>
      </c>
      <c r="G36" s="1" t="n">
        <v>1</v>
      </c>
      <c r="H36" s="1" t="n">
        <v>3</v>
      </c>
      <c r="I36" s="1" t="n">
        <v>2</v>
      </c>
      <c r="J36" s="15" t="n">
        <f aca="false">F36-(1/H36)</f>
        <v>0.666666666666667</v>
      </c>
      <c r="K36" s="15" t="n">
        <f aca="false">((I36-((H36-1)/H36))-(-5/6))/((5-(5/6))-(-5/6))</f>
        <v>0.433333333333333</v>
      </c>
      <c r="L36" s="16" t="n">
        <f aca="false">E36-((E37+E38)/2)</f>
        <v>1</v>
      </c>
      <c r="M36" s="18" t="n">
        <f aca="false">0.5 + (L36 * 0.09)</f>
        <v>0.59</v>
      </c>
      <c r="N36" s="15" t="n">
        <f aca="false">((H36-(G36-1))/H36)*(IF(I36&lt;&gt;0,(I36+H36)/H36,1))</f>
        <v>1.66666666666667</v>
      </c>
      <c r="O36" s="19" t="n">
        <f aca="false">(N36-(1/6))/(10/6)</f>
        <v>0.9</v>
      </c>
      <c r="P36" s="17" t="n">
        <v>7</v>
      </c>
      <c r="Q36" s="19" t="n">
        <f aca="false">IF(F36=1,(((1-((P36-3)/12))*0.5)+0.5),((P36/15)*0.5))</f>
        <v>0.833333333333333</v>
      </c>
      <c r="R36" s="1" t="n">
        <v>1</v>
      </c>
      <c r="S36" s="17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21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1" t="n">
        <v>46039</v>
      </c>
      <c r="B37" s="1" t="n">
        <v>10</v>
      </c>
      <c r="C37" s="15" t="s">
        <v>51</v>
      </c>
      <c r="D37" s="15" t="s">
        <v>52</v>
      </c>
      <c r="E37" s="16" t="n">
        <v>2</v>
      </c>
      <c r="F37" s="17" t="n">
        <v>0</v>
      </c>
      <c r="G37" s="1" t="n">
        <v>2</v>
      </c>
      <c r="H37" s="1" t="n">
        <v>3</v>
      </c>
      <c r="I37" s="1" t="n">
        <v>0</v>
      </c>
      <c r="J37" s="15" t="n">
        <f aca="false">F37-(1/H37)</f>
        <v>-0.333333333333333</v>
      </c>
      <c r="K37" s="15" t="n">
        <f aca="false">((I37-((H37-1)/H37))-(-5/6))/((5-(5/6))-(-5/6))</f>
        <v>0.0333333333333334</v>
      </c>
      <c r="L37" s="15" t="n">
        <f aca="false">E37-((E36+E38)/2)</f>
        <v>-0.5</v>
      </c>
      <c r="M37" s="18" t="n">
        <f aca="false">0.5 + (L37 * 0.09)</f>
        <v>0.455</v>
      </c>
      <c r="N37" s="15" t="n">
        <f aca="false">((H37-(G37-1))/H37)*(IF(I37&lt;&gt;0,(I37+H37)/H37,1))</f>
        <v>0.666666666666667</v>
      </c>
      <c r="O37" s="19" t="n">
        <f aca="false">(N37-(1/6))/(10/6)</f>
        <v>0.3</v>
      </c>
      <c r="P37" s="17" t="n">
        <v>7</v>
      </c>
      <c r="Q37" s="19" t="n">
        <f aca="false">IF(F37=1,(((1-((P37-3)/12))*0.5)+0.5),((P37/15)*0.5))</f>
        <v>0.233333333333333</v>
      </c>
      <c r="R37" s="1" t="n">
        <v>0</v>
      </c>
      <c r="S37" s="17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21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40" t="n">
        <v>46039</v>
      </c>
      <c r="B38" s="23" t="n">
        <v>10</v>
      </c>
      <c r="C38" s="23" t="s">
        <v>30</v>
      </c>
      <c r="D38" s="23" t="s">
        <v>46</v>
      </c>
      <c r="E38" s="24" t="n">
        <v>2</v>
      </c>
      <c r="F38" s="25" t="n">
        <v>0</v>
      </c>
      <c r="G38" s="23" t="n">
        <v>2</v>
      </c>
      <c r="H38" s="23" t="n">
        <v>3</v>
      </c>
      <c r="I38" s="23" t="n">
        <v>0</v>
      </c>
      <c r="J38" s="23" t="n">
        <f aca="false">F38-(1/H38)</f>
        <v>-0.333333333333333</v>
      </c>
      <c r="K38" s="23" t="n">
        <f aca="false">((I38-((H38-1)/H38))-(-5/6))/((5-(5/6))-(-5/6))</f>
        <v>0.0333333333333334</v>
      </c>
      <c r="L38" s="23" t="n">
        <f aca="false">E38-((E36+E37)/2)</f>
        <v>-0.5</v>
      </c>
      <c r="M38" s="26" t="n">
        <f aca="false">0.5 + (L38 * 0.09)</f>
        <v>0.455</v>
      </c>
      <c r="N38" s="23" t="n">
        <f aca="false">((H38-(G38-1))/H38)*(IF(I38&lt;&gt;0,(I38+H38)/H38,1))</f>
        <v>0.666666666666667</v>
      </c>
      <c r="O38" s="27" t="n">
        <f aca="false">(N38-(1/6))/(10/6)</f>
        <v>0.3</v>
      </c>
      <c r="P38" s="25" t="n">
        <v>7</v>
      </c>
      <c r="Q38" s="27" t="n">
        <f aca="false">IF(F38=1,(((1-((P38-3)/12))*0.5)+0.5),((P38/15)*0.5))</f>
        <v>0.233333333333333</v>
      </c>
      <c r="R38" s="23" t="n">
        <v>0</v>
      </c>
      <c r="S38" s="25" t="n">
        <v>0</v>
      </c>
      <c r="T38" s="23" t="n">
        <v>0</v>
      </c>
      <c r="U38" s="27" t="n">
        <f aca="false">IFERROR(T38/S38, 1)</f>
        <v>1</v>
      </c>
      <c r="V38" s="28" t="n">
        <v>0</v>
      </c>
      <c r="W38" s="29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1" t="n">
        <v>46041</v>
      </c>
      <c r="B39" s="1" t="n">
        <v>11</v>
      </c>
      <c r="C39" s="15" t="s">
        <v>26</v>
      </c>
      <c r="D39" s="15" t="s">
        <v>45</v>
      </c>
      <c r="E39" s="16" t="n">
        <v>2</v>
      </c>
      <c r="F39" s="17" t="n">
        <v>1</v>
      </c>
      <c r="G39" s="1" t="n">
        <v>1</v>
      </c>
      <c r="H39" s="1" t="n">
        <v>4</v>
      </c>
      <c r="I39" s="1" t="n">
        <v>1</v>
      </c>
      <c r="J39" s="15" t="n">
        <f aca="false">F39-(1/H39)</f>
        <v>0.75</v>
      </c>
      <c r="K39" s="15" t="n">
        <f aca="false">((I39-((H39-1)/H39))-(-5/6))/((5-(5/6))-(-5/6))</f>
        <v>0.216666666666667</v>
      </c>
      <c r="L39" s="15" t="n">
        <f aca="false">E39-((E40+E41+E42)/3)</f>
        <v>-0.666666666666667</v>
      </c>
      <c r="M39" s="18" t="n">
        <f aca="false">0.5 + (L39 * 0.09)</f>
        <v>0.44</v>
      </c>
      <c r="N39" s="15" t="n">
        <f aca="false">((H39-(G39-1))/H39)*(IF(I39&lt;&gt;0,(I39+H39)/H39,1))</f>
        <v>1.25</v>
      </c>
      <c r="O39" s="19" t="n">
        <f aca="false">(N39-(1/6))/(10/6)</f>
        <v>0.65</v>
      </c>
      <c r="P39" s="17" t="n">
        <v>11</v>
      </c>
      <c r="Q39" s="19" t="n">
        <f aca="false">IF(F39=1,(((1-((P39-3)/12))*0.5)+0.5),((P39/15)*0.5))</f>
        <v>0.666666666666667</v>
      </c>
      <c r="R39" s="1" t="n">
        <v>1</v>
      </c>
      <c r="S39" s="17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21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1" t="n">
        <v>46041</v>
      </c>
      <c r="B40" s="1" t="n">
        <v>11</v>
      </c>
      <c r="C40" s="15" t="s">
        <v>32</v>
      </c>
      <c r="D40" s="15" t="s">
        <v>43</v>
      </c>
      <c r="E40" s="16" t="n">
        <v>2</v>
      </c>
      <c r="F40" s="17" t="n">
        <v>0</v>
      </c>
      <c r="G40" s="1" t="n">
        <v>2</v>
      </c>
      <c r="H40" s="1" t="n">
        <v>4</v>
      </c>
      <c r="I40" s="1" t="n">
        <v>1</v>
      </c>
      <c r="J40" s="15" t="n">
        <f aca="false">F40-(1/H40)</f>
        <v>-0.25</v>
      </c>
      <c r="K40" s="15" t="n">
        <f aca="false">((I40-((H40-1)/H40))-(-5/6))/((5-(5/6))-(-5/6))</f>
        <v>0.216666666666667</v>
      </c>
      <c r="L40" s="15" t="n">
        <f aca="false">E40-((E39+E41+E42)/3)</f>
        <v>-0.666666666666667</v>
      </c>
      <c r="M40" s="18" t="n">
        <f aca="false">0.5 + (L40 * 0.09)</f>
        <v>0.44</v>
      </c>
      <c r="N40" s="15" t="n">
        <f aca="false">((H40-(G40-1))/H40)*(IF(I40&lt;&gt;0,(I40+H40)/H40,1))</f>
        <v>0.9375</v>
      </c>
      <c r="O40" s="19" t="n">
        <f aca="false">(N40-(1/6))/(10/6)</f>
        <v>0.4625</v>
      </c>
      <c r="P40" s="17" t="n">
        <v>11</v>
      </c>
      <c r="Q40" s="19" t="n">
        <f aca="false">IF(F40=1,(((1-((P40-3)/12))*0.5)+0.5),((P40/15)*0.5))</f>
        <v>0.366666666666667</v>
      </c>
      <c r="R40" s="1" t="n">
        <v>1</v>
      </c>
      <c r="S40" s="17" t="n">
        <v>1</v>
      </c>
      <c r="T40" s="1" t="n">
        <v>1</v>
      </c>
      <c r="U40" s="19" t="n">
        <f aca="false">IFERROR(T40/S40, 1)</f>
        <v>1</v>
      </c>
      <c r="V40" s="20" t="n">
        <v>0</v>
      </c>
      <c r="W40" s="21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1" t="n">
        <v>46041</v>
      </c>
      <c r="B41" s="1" t="n">
        <v>11</v>
      </c>
      <c r="C41" s="15" t="s">
        <v>30</v>
      </c>
      <c r="D41" s="15" t="s">
        <v>50</v>
      </c>
      <c r="E41" s="16" t="n">
        <v>3</v>
      </c>
      <c r="F41" s="17" t="n">
        <v>0</v>
      </c>
      <c r="G41" s="1" t="n">
        <v>3</v>
      </c>
      <c r="H41" s="1" t="n">
        <v>4</v>
      </c>
      <c r="I41" s="1" t="n">
        <v>1</v>
      </c>
      <c r="J41" s="15" t="n">
        <f aca="false">F41-(1/H41)</f>
        <v>-0.25</v>
      </c>
      <c r="K41" s="15" t="n">
        <f aca="false">((I41-((H41-1)/H41))-(-5/6))/((5-(5/6))-(-5/6))</f>
        <v>0.216666666666667</v>
      </c>
      <c r="L41" s="15" t="n">
        <f aca="false">E41-((E39+E40+E42)/3)</f>
        <v>0.666666666666667</v>
      </c>
      <c r="M41" s="18" t="n">
        <f aca="false">0.5 + (L41 * 0.09)</f>
        <v>0.56</v>
      </c>
      <c r="N41" s="15" t="n">
        <f aca="false">((H41-(G41-1))/H41)*(IF(I41&lt;&gt;0,(I41+H41)/H41,1))</f>
        <v>0.625</v>
      </c>
      <c r="O41" s="19" t="n">
        <f aca="false">(N41-(1/6))/(10/6)</f>
        <v>0.275</v>
      </c>
      <c r="P41" s="17" t="n">
        <v>10</v>
      </c>
      <c r="Q41" s="19" t="n">
        <f aca="false">IF(F41=1,(((1-((P41-3)/12))*0.5)+0.5),((P41/15)*0.5))</f>
        <v>0.333333333333333</v>
      </c>
      <c r="R41" s="1" t="n">
        <v>1</v>
      </c>
      <c r="S41" s="17" t="n">
        <v>1</v>
      </c>
      <c r="T41" s="1" t="n">
        <v>1</v>
      </c>
      <c r="U41" s="19" t="n">
        <f aca="false">IFERROR(T41/S41, 1)</f>
        <v>1</v>
      </c>
      <c r="V41" s="20" t="n">
        <v>0</v>
      </c>
      <c r="W41" s="21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40" t="n">
        <v>46041</v>
      </c>
      <c r="B42" s="23" t="n">
        <v>11</v>
      </c>
      <c r="C42" s="23" t="s">
        <v>28</v>
      </c>
      <c r="D42" s="23" t="s">
        <v>29</v>
      </c>
      <c r="E42" s="24" t="n">
        <v>3</v>
      </c>
      <c r="F42" s="25" t="n">
        <v>0</v>
      </c>
      <c r="G42" s="23" t="n">
        <v>4</v>
      </c>
      <c r="H42" s="23" t="n">
        <v>4</v>
      </c>
      <c r="I42" s="23" t="n">
        <v>0</v>
      </c>
      <c r="J42" s="23" t="n">
        <f aca="false">F42-(1/H42)</f>
        <v>-0.25</v>
      </c>
      <c r="K42" s="23" t="n">
        <f aca="false">((I42-((H42-1)/H42))-(-5/6))/((5-(5/6))-(-5/6))</f>
        <v>0.0166666666666667</v>
      </c>
      <c r="L42" s="23" t="n">
        <f aca="false">E42-((E39+E40+E41)/3)</f>
        <v>0.666666666666667</v>
      </c>
      <c r="M42" s="26" t="n">
        <f aca="false">0.5 + (L42 * 0.09)</f>
        <v>0.56</v>
      </c>
      <c r="N42" s="23" t="n">
        <f aca="false">((H42-(G42-1))/H42)*(IF(I42&lt;&gt;0,(I42+H42)/H42,1))</f>
        <v>0.25</v>
      </c>
      <c r="O42" s="27" t="n">
        <f aca="false">(N42-(1/6))/(10/6)</f>
        <v>0.05</v>
      </c>
      <c r="P42" s="25" t="n">
        <v>9</v>
      </c>
      <c r="Q42" s="27" t="n">
        <f aca="false">IF(F42=1,(((1-((P42-3)/12))*0.5)+0.5),((P42/15)*0.5))</f>
        <v>0.3</v>
      </c>
      <c r="R42" s="23" t="n">
        <v>1</v>
      </c>
      <c r="S42" s="25" t="n">
        <v>0</v>
      </c>
      <c r="T42" s="23" t="n">
        <v>0</v>
      </c>
      <c r="U42" s="27" t="n">
        <f aca="false">IFERROR(T42/S42, 1)</f>
        <v>1</v>
      </c>
      <c r="V42" s="28" t="n">
        <v>0</v>
      </c>
      <c r="W42" s="29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1" t="n">
        <v>46045</v>
      </c>
      <c r="B43" s="1" t="n">
        <v>12</v>
      </c>
      <c r="C43" s="15" t="s">
        <v>32</v>
      </c>
      <c r="D43" s="15" t="s">
        <v>33</v>
      </c>
      <c r="E43" s="16" t="n">
        <v>2</v>
      </c>
      <c r="F43" s="17" t="n">
        <v>1</v>
      </c>
      <c r="G43" s="1" t="n">
        <v>1</v>
      </c>
      <c r="H43" s="1" t="n">
        <v>3</v>
      </c>
      <c r="I43" s="1" t="n">
        <v>2</v>
      </c>
      <c r="J43" s="15" t="n">
        <f aca="false">F43-(1/H43)</f>
        <v>0.666666666666667</v>
      </c>
      <c r="K43" s="15" t="n">
        <f aca="false">((I43-((H43-1)/H43))-(-5/6))/((5-(5/6))-(-5/6))</f>
        <v>0.433333333333333</v>
      </c>
      <c r="L43" s="16" t="n">
        <f aca="false">E43-((E44+E45)/2)</f>
        <v>-1</v>
      </c>
      <c r="M43" s="18" t="n">
        <f aca="false">0.5 + (L43 * 0.09)</f>
        <v>0.41</v>
      </c>
      <c r="N43" s="15" t="n">
        <f aca="false">((H43-(G43-1))/H43)*(IF(I43&lt;&gt;0,(I43+H43)/H43,1))</f>
        <v>1.66666666666667</v>
      </c>
      <c r="O43" s="19" t="n">
        <f aca="false">(N43-(1/6))/(10/6)</f>
        <v>0.9</v>
      </c>
      <c r="P43" s="17" t="n">
        <v>10</v>
      </c>
      <c r="Q43" s="19" t="n">
        <f aca="false">IF(F43=1,(((1-((P43-3)/12))*0.5)+0.5),((P43/15)*0.5))</f>
        <v>0.708333333333333</v>
      </c>
      <c r="R43" s="1" t="n">
        <v>1</v>
      </c>
      <c r="S43" s="17" t="n">
        <v>1</v>
      </c>
      <c r="T43" s="1" t="n">
        <v>1</v>
      </c>
      <c r="U43" s="19" t="n">
        <f aca="false">IFERROR(T43/S43, 1)</f>
        <v>1</v>
      </c>
      <c r="V43" s="20" t="n">
        <v>0</v>
      </c>
      <c r="W43" s="21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1" t="n">
        <v>46045</v>
      </c>
      <c r="B44" s="1" t="n">
        <v>12</v>
      </c>
      <c r="C44" s="15" t="s">
        <v>38</v>
      </c>
      <c r="D44" s="15" t="s">
        <v>53</v>
      </c>
      <c r="E44" s="16" t="n">
        <v>2</v>
      </c>
      <c r="F44" s="17" t="n">
        <v>0</v>
      </c>
      <c r="G44" s="1" t="n">
        <v>2</v>
      </c>
      <c r="H44" s="1" t="n">
        <v>3</v>
      </c>
      <c r="I44" s="1" t="n">
        <v>0</v>
      </c>
      <c r="J44" s="15" t="n">
        <f aca="false">F44-(1/H44)</f>
        <v>-0.333333333333333</v>
      </c>
      <c r="K44" s="15" t="n">
        <f aca="false">((I44-((H44-1)/H44))-(-5/6))/((5-(5/6))-(-5/6))</f>
        <v>0.0333333333333334</v>
      </c>
      <c r="L44" s="15" t="n">
        <f aca="false">E44-((E43+E45)/2)</f>
        <v>-1</v>
      </c>
      <c r="M44" s="18" t="n">
        <f aca="false">0.5 + (L44 * 0.09)</f>
        <v>0.41</v>
      </c>
      <c r="N44" s="15" t="n">
        <f aca="false">((H44-(G44-1))/H44)*(IF(I44&lt;&gt;0,(I44+H44)/H44,1))</f>
        <v>0.666666666666667</v>
      </c>
      <c r="O44" s="19" t="n">
        <f aca="false">(N44-(1/6))/(10/6)</f>
        <v>0.3</v>
      </c>
      <c r="P44" s="17" t="n">
        <v>10</v>
      </c>
      <c r="Q44" s="19" t="n">
        <f aca="false">IF(F44=1,(((1-((P44-3)/12))*0.5)+0.5),((P44/15)*0.5))</f>
        <v>0.333333333333333</v>
      </c>
      <c r="R44" s="1" t="n">
        <v>1</v>
      </c>
      <c r="S44" s="17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21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40" t="n">
        <v>46045</v>
      </c>
      <c r="B45" s="23" t="n">
        <v>12</v>
      </c>
      <c r="C45" s="23" t="s">
        <v>28</v>
      </c>
      <c r="D45" s="23" t="s">
        <v>44</v>
      </c>
      <c r="E45" s="24" t="n">
        <v>4</v>
      </c>
      <c r="F45" s="25" t="n">
        <v>0</v>
      </c>
      <c r="G45" s="23" t="n">
        <v>3</v>
      </c>
      <c r="H45" s="23" t="n">
        <v>3</v>
      </c>
      <c r="I45" s="23" t="n">
        <v>0</v>
      </c>
      <c r="J45" s="23" t="n">
        <f aca="false">F45-(1/H45)</f>
        <v>-0.333333333333333</v>
      </c>
      <c r="K45" s="23" t="n">
        <f aca="false">((I45-((H45-1)/H45))-(-5/6))/((5-(5/6))-(-5/6))</f>
        <v>0.0333333333333334</v>
      </c>
      <c r="L45" s="23" t="n">
        <f aca="false">E45-((E43+E44)/2)</f>
        <v>2</v>
      </c>
      <c r="M45" s="26" t="n">
        <f aca="false">0.5 + (L45 * 0.09)</f>
        <v>0.68</v>
      </c>
      <c r="N45" s="23" t="n">
        <f aca="false">((H45-(G45-1))/H45)*(IF(I45&lt;&gt;0,(I45+H45)/H45,1))</f>
        <v>0.333333333333333</v>
      </c>
      <c r="O45" s="27" t="n">
        <f aca="false">(N45-(1/6))/(10/6)</f>
        <v>0.1</v>
      </c>
      <c r="P45" s="25" t="n">
        <v>9</v>
      </c>
      <c r="Q45" s="27" t="n">
        <f aca="false">IF(F45=1,(((1-((P45-3)/12))*0.5)+0.5),((P45/15)*0.5))</f>
        <v>0.3</v>
      </c>
      <c r="R45" s="23" t="n">
        <v>1</v>
      </c>
      <c r="S45" s="25" t="n">
        <v>0</v>
      </c>
      <c r="T45" s="23" t="n">
        <v>0</v>
      </c>
      <c r="U45" s="27" t="n">
        <f aca="false">IFERROR(T45/S45, 1)</f>
        <v>1</v>
      </c>
      <c r="V45" s="28" t="n">
        <v>0</v>
      </c>
      <c r="W45" s="29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1" t="n">
        <v>46045</v>
      </c>
      <c r="B46" s="1" t="n">
        <v>13</v>
      </c>
      <c r="C46" s="15" t="s">
        <v>30</v>
      </c>
      <c r="D46" s="15" t="s">
        <v>50</v>
      </c>
      <c r="E46" s="16" t="n">
        <v>3</v>
      </c>
      <c r="F46" s="17" t="n">
        <v>1</v>
      </c>
      <c r="G46" s="1" t="n">
        <v>1</v>
      </c>
      <c r="H46" s="1" t="n">
        <v>4</v>
      </c>
      <c r="I46" s="1" t="n">
        <v>2</v>
      </c>
      <c r="J46" s="15" t="n">
        <f aca="false">F46-(1/H46)</f>
        <v>0.75</v>
      </c>
      <c r="K46" s="15" t="n">
        <f aca="false">((I46-((H46-1)/H46))-(-5/6))/((5-(5/6))-(-5/6))</f>
        <v>0.416666666666667</v>
      </c>
      <c r="L46" s="15" t="n">
        <f aca="false">E46-((E47+E48+E49)/3)</f>
        <v>0</v>
      </c>
      <c r="M46" s="18" t="n">
        <f aca="false">0.5 + (L46 * 0.09)</f>
        <v>0.5</v>
      </c>
      <c r="N46" s="15" t="n">
        <f aca="false">((H46-(G46-1))/H46)*(IF(I46&lt;&gt;0,(I46+H46)/H46,1))</f>
        <v>1.5</v>
      </c>
      <c r="O46" s="19" t="n">
        <f aca="false">(N46-(1/6))/(10/6)</f>
        <v>0.8</v>
      </c>
      <c r="P46" s="17" t="n">
        <v>13</v>
      </c>
      <c r="Q46" s="19" t="n">
        <f aca="false">IF(F46=1,(((1-((P46-3)/12))*0.5)+0.5),((P46/15)*0.5))</f>
        <v>0.583333333333333</v>
      </c>
      <c r="R46" s="1" t="n">
        <v>1</v>
      </c>
      <c r="S46" s="17" t="n">
        <v>0</v>
      </c>
      <c r="T46" s="1" t="n">
        <v>0</v>
      </c>
      <c r="U46" s="19" t="n">
        <f aca="false">IFERROR(T46/S46, 1)</f>
        <v>1</v>
      </c>
      <c r="V46" s="20" t="n">
        <v>0</v>
      </c>
      <c r="W46" s="21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1" t="n">
        <v>46045</v>
      </c>
      <c r="B47" s="1" t="n">
        <v>13</v>
      </c>
      <c r="C47" s="15" t="s">
        <v>32</v>
      </c>
      <c r="D47" s="15" t="s">
        <v>54</v>
      </c>
      <c r="E47" s="16" t="n">
        <v>2</v>
      </c>
      <c r="F47" s="17" t="n">
        <v>0</v>
      </c>
      <c r="G47" s="1" t="n">
        <v>2</v>
      </c>
      <c r="H47" s="1" t="n">
        <v>4</v>
      </c>
      <c r="I47" s="1" t="n">
        <v>0</v>
      </c>
      <c r="J47" s="15" t="n">
        <f aca="false">F47-(1/H47)</f>
        <v>-0.25</v>
      </c>
      <c r="K47" s="15" t="n">
        <f aca="false">((I47-((H47-1)/H47))-(-5/6))/((5-(5/6))-(-5/6))</f>
        <v>0.0166666666666667</v>
      </c>
      <c r="L47" s="15" t="n">
        <f aca="false">E47-((E46+E48+E49)/3)</f>
        <v>-1.33333333333333</v>
      </c>
      <c r="M47" s="18" t="n">
        <f aca="false">0.5 + (L47 * 0.09)</f>
        <v>0.38</v>
      </c>
      <c r="N47" s="15" t="n">
        <f aca="false">((H47-(G47-1))/H47)*(IF(I47&lt;&gt;0,(I47+H47)/H47,1))</f>
        <v>0.75</v>
      </c>
      <c r="O47" s="19" t="n">
        <f aca="false">(N47-(1/6))/(10/6)</f>
        <v>0.35</v>
      </c>
      <c r="P47" s="17" t="n">
        <v>13</v>
      </c>
      <c r="Q47" s="19" t="n">
        <f aca="false">IF(F47=1,(((1-((P47-3)/12))*0.5)+0.5),((P47/15)*0.5))</f>
        <v>0.433333333333333</v>
      </c>
      <c r="R47" s="1" t="n">
        <v>0</v>
      </c>
      <c r="S47" s="17" t="n">
        <v>2</v>
      </c>
      <c r="T47" s="1" t="n">
        <v>1</v>
      </c>
      <c r="U47" s="19" t="n">
        <f aca="false">IFERROR(T47/S47, 1)</f>
        <v>0.5</v>
      </c>
      <c r="V47" s="20" t="n">
        <v>0</v>
      </c>
      <c r="W47" s="21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1" t="n">
        <v>46045</v>
      </c>
      <c r="B48" s="1" t="n">
        <v>13</v>
      </c>
      <c r="C48" s="15" t="s">
        <v>28</v>
      </c>
      <c r="D48" s="15" t="s">
        <v>37</v>
      </c>
      <c r="E48" s="16" t="n">
        <v>3</v>
      </c>
      <c r="F48" s="17" t="n">
        <v>0</v>
      </c>
      <c r="G48" s="1" t="n">
        <v>3</v>
      </c>
      <c r="H48" s="1" t="n">
        <v>4</v>
      </c>
      <c r="I48" s="1" t="n">
        <v>1</v>
      </c>
      <c r="J48" s="15" t="n">
        <f aca="false">F48-(1/H48)</f>
        <v>-0.25</v>
      </c>
      <c r="K48" s="15" t="n">
        <f aca="false">((I48-((H48-1)/H48))-(-5/6))/((5-(5/6))-(-5/6))</f>
        <v>0.216666666666667</v>
      </c>
      <c r="L48" s="15" t="n">
        <f aca="false">E48-((E46+E47+E49)/3)</f>
        <v>0</v>
      </c>
      <c r="M48" s="18" t="n">
        <f aca="false">0.5 + (L48 * 0.09)</f>
        <v>0.5</v>
      </c>
      <c r="N48" s="15" t="n">
        <f aca="false">((H48-(G48-1))/H48)*(IF(I48&lt;&gt;0,(I48+H48)/H48,1))</f>
        <v>0.625</v>
      </c>
      <c r="O48" s="19" t="n">
        <f aca="false">(N48-(1/6))/(10/6)</f>
        <v>0.275</v>
      </c>
      <c r="P48" s="17" t="n">
        <v>13</v>
      </c>
      <c r="Q48" s="19" t="n">
        <f aca="false">IF(F48=1,(((1-((P48-3)/12))*0.5)+0.5),((P48/15)*0.5))</f>
        <v>0.433333333333333</v>
      </c>
      <c r="R48" s="1" t="n">
        <v>1</v>
      </c>
      <c r="S48" s="17" t="n">
        <v>1</v>
      </c>
      <c r="T48" s="1" t="n">
        <v>1</v>
      </c>
      <c r="U48" s="19" t="n">
        <f aca="false">IFERROR(T48/S48, 1)</f>
        <v>1</v>
      </c>
      <c r="V48" s="20" t="n">
        <v>0</v>
      </c>
      <c r="W48" s="21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40" t="n">
        <v>46045</v>
      </c>
      <c r="B49" s="23" t="n">
        <v>13</v>
      </c>
      <c r="C49" s="23" t="s">
        <v>26</v>
      </c>
      <c r="D49" s="23" t="s">
        <v>27</v>
      </c>
      <c r="E49" s="24" t="n">
        <v>4</v>
      </c>
      <c r="F49" s="25" t="n">
        <v>0</v>
      </c>
      <c r="G49" s="23" t="n">
        <v>4</v>
      </c>
      <c r="H49" s="23" t="n">
        <v>4</v>
      </c>
      <c r="I49" s="23" t="n">
        <v>0</v>
      </c>
      <c r="J49" s="23" t="n">
        <f aca="false">F49-(1/H49)</f>
        <v>-0.25</v>
      </c>
      <c r="K49" s="23" t="n">
        <f aca="false">((I49-((H49-1)/H49))-(-5/6))/((5-(5/6))-(-5/6))</f>
        <v>0.0166666666666667</v>
      </c>
      <c r="L49" s="23" t="n">
        <f aca="false">E49-((E46+E47+E48)/3)</f>
        <v>1.33333333333333</v>
      </c>
      <c r="M49" s="26" t="n">
        <f aca="false">0.5 + (L49 * 0.09)</f>
        <v>0.62</v>
      </c>
      <c r="N49" s="23" t="n">
        <f aca="false">((H49-(G49-1))/H49)*(IF(I49&lt;&gt;0,(I49+H49)/H49,1))</f>
        <v>0.25</v>
      </c>
      <c r="O49" s="27" t="n">
        <f aca="false">(N49-(1/6))/(10/6)</f>
        <v>0.05</v>
      </c>
      <c r="P49" s="25" t="n">
        <v>8</v>
      </c>
      <c r="Q49" s="27" t="n">
        <f aca="false">IF(F49=1,(((1-((P49-3)/12))*0.5)+0.5),((P49/15)*0.5))</f>
        <v>0.266666666666667</v>
      </c>
      <c r="R49" s="23" t="n">
        <v>0</v>
      </c>
      <c r="S49" s="25" t="n">
        <v>1</v>
      </c>
      <c r="T49" s="23" t="n">
        <v>0</v>
      </c>
      <c r="U49" s="27" t="n">
        <f aca="false">IFERROR(T49/S49, 1)</f>
        <v>0</v>
      </c>
      <c r="V49" s="28" t="n">
        <v>0</v>
      </c>
      <c r="W49" s="29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1" t="n">
        <v>46045</v>
      </c>
      <c r="B50" s="1" t="n">
        <v>14</v>
      </c>
      <c r="C50" s="15" t="s">
        <v>32</v>
      </c>
      <c r="D50" s="15" t="s">
        <v>36</v>
      </c>
      <c r="E50" s="16" t="n">
        <v>2</v>
      </c>
      <c r="F50" s="17" t="n">
        <v>1</v>
      </c>
      <c r="G50" s="1" t="n">
        <v>1</v>
      </c>
      <c r="H50" s="1" t="n">
        <v>3</v>
      </c>
      <c r="I50" s="1" t="n">
        <v>1</v>
      </c>
      <c r="J50" s="15" t="n">
        <f aca="false">F50-(1/H50)</f>
        <v>0.666666666666667</v>
      </c>
      <c r="K50" s="15" t="n">
        <f aca="false">((I50-((H50-1)/H50))-(-5/6))/((5-(5/6))-(-5/6))</f>
        <v>0.233333333333333</v>
      </c>
      <c r="L50" s="16" t="n">
        <f aca="false">E50-((E51+E52)/2)</f>
        <v>-1.5</v>
      </c>
      <c r="M50" s="18" t="n">
        <f aca="false">0.5 + (L50 * 0.09)</f>
        <v>0.365</v>
      </c>
      <c r="N50" s="15" t="n">
        <f aca="false">((H50-(G50-1))/H50)*(IF(I50&lt;&gt;0,(I50+H50)/H50,1))</f>
        <v>1.33333333333333</v>
      </c>
      <c r="O50" s="19" t="n">
        <f aca="false">(N50-(1/6))/(10/6)</f>
        <v>0.7</v>
      </c>
      <c r="P50" s="17" t="n">
        <v>10</v>
      </c>
      <c r="Q50" s="19" t="n">
        <f aca="false">IF(F50=1,(((1-((P50-3)/12))*0.5)+0.5),((P50/15)*0.5))</f>
        <v>0.708333333333333</v>
      </c>
      <c r="R50" s="1" t="n">
        <v>1</v>
      </c>
      <c r="S50" s="17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21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1" t="n">
        <v>46045</v>
      </c>
      <c r="B51" s="1" t="n">
        <v>14</v>
      </c>
      <c r="C51" s="15" t="s">
        <v>28</v>
      </c>
      <c r="D51" s="15" t="s">
        <v>44</v>
      </c>
      <c r="E51" s="16" t="n">
        <v>4</v>
      </c>
      <c r="F51" s="17" t="n">
        <v>0</v>
      </c>
      <c r="G51" s="1" t="n">
        <v>2</v>
      </c>
      <c r="H51" s="1" t="n">
        <v>3</v>
      </c>
      <c r="I51" s="1" t="n">
        <v>1</v>
      </c>
      <c r="J51" s="15" t="n">
        <f aca="false">F51-(1/H51)</f>
        <v>-0.333333333333333</v>
      </c>
      <c r="K51" s="15" t="n">
        <f aca="false">((I51-((H51-1)/H51))-(-5/6))/((5-(5/6))-(-5/6))</f>
        <v>0.233333333333333</v>
      </c>
      <c r="L51" s="15" t="n">
        <f aca="false">E51-((E50+E52)/2)</f>
        <v>1.5</v>
      </c>
      <c r="M51" s="18" t="n">
        <f aca="false">0.5 + (L51 * 0.09)</f>
        <v>0.635</v>
      </c>
      <c r="N51" s="15" t="n">
        <f aca="false">((H51-(G51-1))/H51)*(IF(I51&lt;&gt;0,(I51+H51)/H51,1))</f>
        <v>0.888888888888889</v>
      </c>
      <c r="O51" s="19" t="n">
        <f aca="false">(N51-(1/6))/(10/6)</f>
        <v>0.433333333333333</v>
      </c>
      <c r="P51" s="17" t="n">
        <v>10</v>
      </c>
      <c r="Q51" s="19" t="n">
        <f aca="false">IF(F51=1,(((1-((P51-3)/12))*0.5)+0.5),((P51/15)*0.5))</f>
        <v>0.333333333333333</v>
      </c>
      <c r="R51" s="1" t="n">
        <v>1</v>
      </c>
      <c r="S51" s="17" t="n">
        <v>0</v>
      </c>
      <c r="T51" s="1" t="n">
        <v>0</v>
      </c>
      <c r="U51" s="19" t="n">
        <f aca="false">IFERROR(T51/S51, 1)</f>
        <v>1</v>
      </c>
      <c r="V51" s="20" t="n">
        <v>0</v>
      </c>
      <c r="W51" s="21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40" t="n">
        <v>46045</v>
      </c>
      <c r="B52" s="23" t="n">
        <v>14</v>
      </c>
      <c r="C52" s="23" t="s">
        <v>30</v>
      </c>
      <c r="D52" s="23" t="s">
        <v>55</v>
      </c>
      <c r="E52" s="24" t="n">
        <v>3</v>
      </c>
      <c r="F52" s="25" t="n">
        <v>0</v>
      </c>
      <c r="G52" s="23" t="n">
        <v>3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E52-((E50+E51)/2)</f>
        <v>0</v>
      </c>
      <c r="M52" s="26" t="n">
        <f aca="false">0.5 + (L52 * 0.09)</f>
        <v>0.5</v>
      </c>
      <c r="N52" s="23" t="n">
        <f aca="false">((H52-(G52-1))/H52)*(IF(I52&lt;&gt;0,(I52+H52)/H52,1))</f>
        <v>0.333333333333333</v>
      </c>
      <c r="O52" s="27" t="n">
        <f aca="false">(N52-(1/6))/(10/6)</f>
        <v>0.1</v>
      </c>
      <c r="P52" s="25" t="n">
        <v>9</v>
      </c>
      <c r="Q52" s="27" t="n">
        <f aca="false">IF(F52=1,(((1-((P52-3)/12))*0.5)+0.5),((P52/15)*0.5))</f>
        <v>0.3</v>
      </c>
      <c r="R52" s="23" t="n">
        <v>1</v>
      </c>
      <c r="S52" s="25" t="n">
        <v>0</v>
      </c>
      <c r="T52" s="23" t="n">
        <v>0</v>
      </c>
      <c r="U52" s="27" t="n">
        <f aca="false">IFERROR(T52/S52, 1)</f>
        <v>1</v>
      </c>
      <c r="V52" s="28" t="n">
        <v>1</v>
      </c>
      <c r="W52" s="29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1" t="n">
        <v>46050</v>
      </c>
      <c r="B53" s="1" t="n">
        <v>15</v>
      </c>
      <c r="C53" s="15" t="s">
        <v>30</v>
      </c>
      <c r="D53" s="15" t="s">
        <v>31</v>
      </c>
      <c r="E53" s="16" t="n">
        <v>2</v>
      </c>
      <c r="F53" s="17" t="n">
        <v>1</v>
      </c>
      <c r="G53" s="1" t="n">
        <v>1</v>
      </c>
      <c r="H53" s="1" t="n">
        <v>4</v>
      </c>
      <c r="I53" s="1" t="n">
        <v>1</v>
      </c>
      <c r="J53" s="15" t="n">
        <f aca="false">F53-(1/H53)</f>
        <v>0.75</v>
      </c>
      <c r="K53" s="15" t="n">
        <f aca="false">((I53-((H53-1)/H53))-(-5/6))/((5-(5/6))-(-5/6))</f>
        <v>0.216666666666667</v>
      </c>
      <c r="L53" s="15" t="n">
        <f aca="false">E53-((E54+E55+E56)/3)</f>
        <v>-0.666666666666667</v>
      </c>
      <c r="M53" s="18" t="n">
        <f aca="false">0.5 + (L53 * 0.09)</f>
        <v>0.44</v>
      </c>
      <c r="N53" s="15" t="n">
        <f aca="false">((H53-(G53-1))/H53)*(IF(I53&lt;&gt;0,(I53+H53)/H53,1))</f>
        <v>1.25</v>
      </c>
      <c r="O53" s="19" t="n">
        <f aca="false">(N53-(1/6))/(10/6)</f>
        <v>0.65</v>
      </c>
      <c r="P53" s="17" t="n">
        <v>12</v>
      </c>
      <c r="Q53" s="19" t="n">
        <f aca="false">IF(F53=1,(((1-((P53-3)/12))*0.5)+0.5),((P53/15)*0.5))</f>
        <v>0.625</v>
      </c>
      <c r="R53" s="1" t="n">
        <v>1</v>
      </c>
      <c r="S53" s="17" t="n">
        <v>2</v>
      </c>
      <c r="T53" s="1" t="n">
        <v>2</v>
      </c>
      <c r="U53" s="19" t="n">
        <f aca="false">IFERROR(T53/S53, 1)</f>
        <v>1</v>
      </c>
      <c r="V53" s="20" t="n">
        <v>0</v>
      </c>
      <c r="W53" s="21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1" t="n">
        <v>46050</v>
      </c>
      <c r="B54" s="1" t="n">
        <v>15</v>
      </c>
      <c r="C54" s="15" t="s">
        <v>32</v>
      </c>
      <c r="D54" s="15" t="s">
        <v>54</v>
      </c>
      <c r="E54" s="16" t="n">
        <v>2</v>
      </c>
      <c r="F54" s="17" t="n">
        <v>0</v>
      </c>
      <c r="G54" s="1" t="n">
        <v>2</v>
      </c>
      <c r="H54" s="1" t="n">
        <v>4</v>
      </c>
      <c r="I54" s="1" t="n">
        <v>2</v>
      </c>
      <c r="J54" s="15" t="n">
        <f aca="false">F54-(1/H54)</f>
        <v>-0.25</v>
      </c>
      <c r="K54" s="15" t="n">
        <f aca="false">((I54-((H54-1)/H54))-(-5/6))/((5-(5/6))-(-5/6))</f>
        <v>0.416666666666667</v>
      </c>
      <c r="L54" s="15" t="n">
        <f aca="false">E54-((E53+E55+E56)/3)</f>
        <v>-0.666666666666667</v>
      </c>
      <c r="M54" s="18" t="n">
        <f aca="false">0.5 + (L54 * 0.09)</f>
        <v>0.44</v>
      </c>
      <c r="N54" s="15" t="n">
        <f aca="false">((H54-(G54-1))/H54)*(IF(I54&lt;&gt;0,(I54+H54)/H54,1))</f>
        <v>1.125</v>
      </c>
      <c r="O54" s="19" t="n">
        <f aca="false">(N54-(1/6))/(10/6)</f>
        <v>0.575</v>
      </c>
      <c r="P54" s="17" t="n">
        <v>12</v>
      </c>
      <c r="Q54" s="19" t="n">
        <f aca="false">IF(F54=1,(((1-((P54-3)/12))*0.5)+0.5),((P54/15)*0.5))</f>
        <v>0.4</v>
      </c>
      <c r="R54" s="1" t="n">
        <v>0</v>
      </c>
      <c r="S54" s="17" t="n">
        <v>2</v>
      </c>
      <c r="T54" s="1" t="n">
        <v>1</v>
      </c>
      <c r="U54" s="19" t="n">
        <f aca="false">IFERROR(T54/S54, 1)</f>
        <v>0.5</v>
      </c>
      <c r="V54" s="20" t="n">
        <v>0</v>
      </c>
      <c r="W54" s="21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1" t="n">
        <v>46050</v>
      </c>
      <c r="B55" s="1" t="n">
        <v>15</v>
      </c>
      <c r="C55" s="15" t="s">
        <v>38</v>
      </c>
      <c r="D55" s="15" t="s">
        <v>56</v>
      </c>
      <c r="E55" s="16" t="n">
        <v>3</v>
      </c>
      <c r="F55" s="17" t="n">
        <v>0</v>
      </c>
      <c r="G55" s="1" t="n">
        <v>3</v>
      </c>
      <c r="H55" s="1" t="n">
        <v>4</v>
      </c>
      <c r="I55" s="1" t="n">
        <v>0</v>
      </c>
      <c r="J55" s="15" t="n">
        <f aca="false">F55-(1/H55)</f>
        <v>-0.25</v>
      </c>
      <c r="K55" s="15" t="n">
        <f aca="false">((I55-((H55-1)/H55))-(-5/6))/((5-(5/6))-(-5/6))</f>
        <v>0.0166666666666667</v>
      </c>
      <c r="L55" s="15" t="n">
        <f aca="false">E55-((E53+E54+E56)/3)</f>
        <v>0.666666666666667</v>
      </c>
      <c r="M55" s="18" t="n">
        <f aca="false">0.5 + (L55 * 0.09)</f>
        <v>0.56</v>
      </c>
      <c r="N55" s="15" t="n">
        <f aca="false">((H55-(G55-1))/H55)*(IF(I55&lt;&gt;0,(I55+H55)/H55,1))</f>
        <v>0.5</v>
      </c>
      <c r="O55" s="19" t="n">
        <f aca="false">(N55-(1/6))/(10/6)</f>
        <v>0.2</v>
      </c>
      <c r="P55" s="17" t="n">
        <v>11</v>
      </c>
      <c r="Q55" s="19" t="n">
        <f aca="false">IF(F55=1,(((1-((P55-3)/12))*0.5)+0.5),((P55/15)*0.5))</f>
        <v>0.366666666666667</v>
      </c>
      <c r="R55" s="1" t="n">
        <v>1</v>
      </c>
      <c r="S55" s="17" t="n">
        <v>1</v>
      </c>
      <c r="T55" s="1" t="n">
        <v>0</v>
      </c>
      <c r="U55" s="19" t="n">
        <f aca="false">IFERROR(T55/S55, 1)</f>
        <v>0</v>
      </c>
      <c r="V55" s="20" t="n">
        <v>0</v>
      </c>
      <c r="W55" s="21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40" t="n">
        <v>46050</v>
      </c>
      <c r="B56" s="23" t="n">
        <v>15</v>
      </c>
      <c r="C56" s="23" t="s">
        <v>28</v>
      </c>
      <c r="D56" s="23" t="s">
        <v>34</v>
      </c>
      <c r="E56" s="24" t="n">
        <v>3</v>
      </c>
      <c r="F56" s="25" t="n">
        <v>0</v>
      </c>
      <c r="G56" s="23" t="n">
        <v>3</v>
      </c>
      <c r="H56" s="23" t="n">
        <v>4</v>
      </c>
      <c r="I56" s="23" t="n">
        <v>0</v>
      </c>
      <c r="J56" s="23" t="n">
        <f aca="false">F56-(1/H56)</f>
        <v>-0.25</v>
      </c>
      <c r="K56" s="23" t="n">
        <f aca="false">((I56-((H56-1)/H56))-(-5/6))/((5-(5/6))-(-5/6))</f>
        <v>0.0166666666666667</v>
      </c>
      <c r="L56" s="23" t="n">
        <f aca="false">E56-((E53+E54+E55)/3)</f>
        <v>0.666666666666667</v>
      </c>
      <c r="M56" s="26" t="n">
        <f aca="false">0.5 + (L56 * 0.09)</f>
        <v>0.56</v>
      </c>
      <c r="N56" s="23" t="n">
        <f aca="false">((H56-(G56-1))/H56)*(IF(I56&lt;&gt;0,(I56+H56)/H56,1))</f>
        <v>0.5</v>
      </c>
      <c r="O56" s="27" t="n">
        <f aca="false">(N56-(1/6))/(10/6)</f>
        <v>0.2</v>
      </c>
      <c r="P56" s="25" t="n">
        <v>11</v>
      </c>
      <c r="Q56" s="27" t="n">
        <f aca="false">IF(F56=1,(((1-((P56-3)/12))*0.5)+0.5),((P56/15)*0.5))</f>
        <v>0.366666666666667</v>
      </c>
      <c r="R56" s="23" t="n">
        <v>0</v>
      </c>
      <c r="S56" s="25" t="n">
        <v>3</v>
      </c>
      <c r="T56" s="23" t="n">
        <v>3</v>
      </c>
      <c r="U56" s="27" t="n">
        <f aca="false">IFERROR(T56/S56, 1)</f>
        <v>1</v>
      </c>
      <c r="V56" s="28" t="n">
        <v>1</v>
      </c>
      <c r="W56" s="29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1" t="n">
        <v>46052</v>
      </c>
      <c r="B57" s="1" t="n">
        <v>16</v>
      </c>
      <c r="C57" s="15" t="s">
        <v>38</v>
      </c>
      <c r="D57" s="15" t="s">
        <v>49</v>
      </c>
      <c r="E57" s="16" t="n">
        <v>3</v>
      </c>
      <c r="F57" s="17" t="n">
        <v>1</v>
      </c>
      <c r="G57" s="1" t="n">
        <v>1</v>
      </c>
      <c r="H57" s="1" t="n">
        <v>4</v>
      </c>
      <c r="I57" s="1" t="n">
        <v>1</v>
      </c>
      <c r="J57" s="15" t="n">
        <f aca="false">F57-(1/H57)</f>
        <v>0.75</v>
      </c>
      <c r="K57" s="15" t="n">
        <f aca="false">((I57-((H57-1)/H57))-(-5/6))/((5-(5/6))-(-5/6))</f>
        <v>0.216666666666667</v>
      </c>
      <c r="L57" s="15" t="n">
        <f aca="false">E57-((E58+E59+E60)/3)</f>
        <v>0</v>
      </c>
      <c r="M57" s="18" t="n">
        <f aca="false">0.5 + (L57 * 0.09)</f>
        <v>0.5</v>
      </c>
      <c r="N57" s="15" t="n">
        <f aca="false">((H57-(G57-1))/H57)*(IF(I57&lt;&gt;0,(I57+H57)/H57,1))</f>
        <v>1.25</v>
      </c>
      <c r="O57" s="19" t="n">
        <f aca="false">(N57-(1/6))/(10/6)</f>
        <v>0.65</v>
      </c>
      <c r="P57" s="17" t="n">
        <v>11</v>
      </c>
      <c r="Q57" s="19" t="n">
        <f aca="false">IF(F57=1,(((1-((P57-3)/12))*0.5)+0.5),((P57/15)*0.5))</f>
        <v>0.666666666666667</v>
      </c>
      <c r="R57" s="1" t="n">
        <v>1</v>
      </c>
      <c r="S57" s="17" t="n">
        <v>2</v>
      </c>
      <c r="T57" s="1" t="n">
        <v>1</v>
      </c>
      <c r="U57" s="19" t="n">
        <f aca="false">IFERROR(T57/S57, 1)</f>
        <v>0.5</v>
      </c>
      <c r="V57" s="20" t="n">
        <v>0</v>
      </c>
      <c r="W57" s="21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1" t="n">
        <v>46052</v>
      </c>
      <c r="B58" s="1" t="n">
        <v>16</v>
      </c>
      <c r="C58" s="15" t="s">
        <v>32</v>
      </c>
      <c r="D58" s="15" t="s">
        <v>43</v>
      </c>
      <c r="E58" s="16" t="n">
        <v>2</v>
      </c>
      <c r="F58" s="17" t="n">
        <v>0</v>
      </c>
      <c r="G58" s="1" t="n">
        <v>2</v>
      </c>
      <c r="H58" s="1" t="n">
        <v>4</v>
      </c>
      <c r="I58" s="1" t="n">
        <v>2</v>
      </c>
      <c r="J58" s="15" t="n">
        <f aca="false">F58-(1/H58)</f>
        <v>-0.25</v>
      </c>
      <c r="K58" s="15" t="n">
        <f aca="false">((I58-((H58-1)/H58))-(-5/6))/((5-(5/6))-(-5/6))</f>
        <v>0.416666666666667</v>
      </c>
      <c r="L58" s="15" t="n">
        <f aca="false">E58-((E57+E59+E60)/3)</f>
        <v>-1.33333333333333</v>
      </c>
      <c r="M58" s="18" t="n">
        <f aca="false">0.5 + (L58 * 0.09)</f>
        <v>0.38</v>
      </c>
      <c r="N58" s="15" t="n">
        <f aca="false">((H58-(G58-1))/H58)*(IF(I58&lt;&gt;0,(I58+H58)/H58,1))</f>
        <v>1.125</v>
      </c>
      <c r="O58" s="19" t="n">
        <f aca="false">(N58-(1/6))/(10/6)</f>
        <v>0.575</v>
      </c>
      <c r="P58" s="17" t="n">
        <v>11</v>
      </c>
      <c r="Q58" s="19" t="n">
        <f aca="false">IF(F58=1,(((1-((P58-3)/12))*0.5)+0.5),((P58/15)*0.5))</f>
        <v>0.366666666666667</v>
      </c>
      <c r="R58" s="1" t="n">
        <v>1</v>
      </c>
      <c r="S58" s="17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21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1" t="n">
        <v>46052</v>
      </c>
      <c r="B59" s="1" t="n">
        <v>16</v>
      </c>
      <c r="C59" s="15" t="s">
        <v>28</v>
      </c>
      <c r="D59" s="15" t="s">
        <v>29</v>
      </c>
      <c r="E59" s="16" t="n">
        <v>3</v>
      </c>
      <c r="F59" s="17" t="n">
        <v>0</v>
      </c>
      <c r="G59" s="1" t="n">
        <v>3</v>
      </c>
      <c r="H59" s="1" t="n">
        <v>4</v>
      </c>
      <c r="I59" s="1" t="n">
        <v>0</v>
      </c>
      <c r="J59" s="15" t="n">
        <f aca="false">F59-(1/H59)</f>
        <v>-0.25</v>
      </c>
      <c r="K59" s="15" t="n">
        <f aca="false">((I59-((H59-1)/H59))-(-5/6))/((5-(5/6))-(-5/6))</f>
        <v>0.0166666666666667</v>
      </c>
      <c r="L59" s="15" t="n">
        <f aca="false">E59-((E57+E58+E60)/3)</f>
        <v>0</v>
      </c>
      <c r="M59" s="18" t="n">
        <f aca="false">0.5 + (L59 * 0.09)</f>
        <v>0.5</v>
      </c>
      <c r="N59" s="15" t="n">
        <f aca="false">((H59-(G59-1))/H59)*(IF(I59&lt;&gt;0,(I59+H59)/H59,1))</f>
        <v>0.5</v>
      </c>
      <c r="O59" s="19" t="n">
        <f aca="false">(N59-(1/6))/(10/6)</f>
        <v>0.2</v>
      </c>
      <c r="P59" s="17" t="n">
        <v>10</v>
      </c>
      <c r="Q59" s="19" t="n">
        <f aca="false">IF(F59=1,(((1-((P59-3)/12))*0.5)+0.5),((P59/15)*0.5))</f>
        <v>0.333333333333333</v>
      </c>
      <c r="R59" s="1" t="n">
        <v>1</v>
      </c>
      <c r="S59" s="17" t="n">
        <v>1</v>
      </c>
      <c r="T59" s="1" t="n">
        <v>1</v>
      </c>
      <c r="U59" s="19" t="n">
        <f aca="false">IFERROR(T59/S59, 1)</f>
        <v>1</v>
      </c>
      <c r="V59" s="20" t="n">
        <v>0</v>
      </c>
      <c r="W59" s="21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40" t="n">
        <v>46052</v>
      </c>
      <c r="B60" s="23" t="n">
        <v>16</v>
      </c>
      <c r="C60" s="23" t="s">
        <v>30</v>
      </c>
      <c r="D60" s="23" t="s">
        <v>57</v>
      </c>
      <c r="E60" s="24" t="n">
        <v>4</v>
      </c>
      <c r="F60" s="25" t="n">
        <v>0</v>
      </c>
      <c r="G60" s="23" t="n">
        <v>3</v>
      </c>
      <c r="H60" s="23" t="n">
        <v>4</v>
      </c>
      <c r="I60" s="23" t="n">
        <v>0</v>
      </c>
      <c r="J60" s="23" t="n">
        <f aca="false">F60-(1/H60)</f>
        <v>-0.25</v>
      </c>
      <c r="K60" s="23" t="n">
        <f aca="false">((I60-((H60-1)/H60))-(-5/6))/((5-(5/6))-(-5/6))</f>
        <v>0.0166666666666667</v>
      </c>
      <c r="L60" s="23" t="n">
        <f aca="false">E60-((E57+E58+E59)/3)</f>
        <v>1.33333333333333</v>
      </c>
      <c r="M60" s="26" t="n">
        <f aca="false">0.5 + (L60 * 0.09)</f>
        <v>0.62</v>
      </c>
      <c r="N60" s="23" t="n">
        <f aca="false">((H60-(G60-1))/H60)*(IF(I60&lt;&gt;0,(I60+H60)/H60,1))</f>
        <v>0.5</v>
      </c>
      <c r="O60" s="27" t="n">
        <f aca="false">(N60-(1/6))/(10/6)</f>
        <v>0.2</v>
      </c>
      <c r="P60" s="25" t="n">
        <v>10</v>
      </c>
      <c r="Q60" s="27" t="n">
        <f aca="false">IF(F60=1,(((1-((P60-3)/12))*0.5)+0.5),((P60/15)*0.5))</f>
        <v>0.333333333333333</v>
      </c>
      <c r="R60" s="23" t="n">
        <v>0</v>
      </c>
      <c r="S60" s="25" t="n">
        <v>2</v>
      </c>
      <c r="T60" s="23" t="n">
        <v>1</v>
      </c>
      <c r="U60" s="27" t="n">
        <f aca="false">IFERROR(T60/S60, 1)</f>
        <v>0.5</v>
      </c>
      <c r="V60" s="28" t="n">
        <v>1</v>
      </c>
      <c r="W60" s="29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1" t="n">
        <v>46052</v>
      </c>
      <c r="B61" s="1" t="n">
        <v>17</v>
      </c>
      <c r="C61" s="15" t="s">
        <v>26</v>
      </c>
      <c r="D61" s="15" t="s">
        <v>45</v>
      </c>
      <c r="E61" s="16" t="n">
        <v>2</v>
      </c>
      <c r="F61" s="17" t="n">
        <v>1</v>
      </c>
      <c r="G61" s="1" t="n">
        <v>1</v>
      </c>
      <c r="H61" s="1" t="n">
        <v>5</v>
      </c>
      <c r="I61" s="1" t="n">
        <v>2</v>
      </c>
      <c r="J61" s="15" t="n">
        <f aca="false">F61-(1/H61)</f>
        <v>0.8</v>
      </c>
      <c r="K61" s="15" t="n">
        <f aca="false">((I61-((H61-1)/H61))-(-5/6))/((5-(5/6))-(-5/6))</f>
        <v>0.406666666666667</v>
      </c>
      <c r="L61" s="15" t="n">
        <f aca="false">E61-((E62+E63+E64+E65)/4)</f>
        <v>-1</v>
      </c>
      <c r="M61" s="18" t="n">
        <f aca="false">0.5 + (L61 * 0.09)</f>
        <v>0.41</v>
      </c>
      <c r="N61" s="15" t="n">
        <f aca="false">((H61-(G61-1))/H61)*(IF(I61&lt;&gt;0,(I61+H61)/H61,1))</f>
        <v>1.4</v>
      </c>
      <c r="O61" s="19" t="n">
        <f aca="false">(N61-(1/6))/(10/6)</f>
        <v>0.74</v>
      </c>
      <c r="P61" s="17" t="n">
        <v>15</v>
      </c>
      <c r="Q61" s="19" t="n">
        <f aca="false">IF(F61=1,(((1-((P61-3)/12))*0.5)+0.5),((P61/15)*0.5))</f>
        <v>0.5</v>
      </c>
      <c r="R61" s="1" t="n">
        <v>1</v>
      </c>
      <c r="S61" s="17" t="n">
        <v>1</v>
      </c>
      <c r="T61" s="1" t="n">
        <v>0</v>
      </c>
      <c r="U61" s="19" t="n">
        <f aca="false">IFERROR(T61/S61, 1)</f>
        <v>0</v>
      </c>
      <c r="V61" s="20" t="n">
        <v>0</v>
      </c>
      <c r="W61" s="21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1" t="n">
        <v>46052</v>
      </c>
      <c r="B62" s="1" t="n">
        <v>17</v>
      </c>
      <c r="C62" s="15" t="s">
        <v>30</v>
      </c>
      <c r="D62" s="15" t="s">
        <v>40</v>
      </c>
      <c r="E62" s="16" t="n">
        <v>2</v>
      </c>
      <c r="F62" s="17" t="n">
        <v>0</v>
      </c>
      <c r="G62" s="1" t="n">
        <v>2</v>
      </c>
      <c r="H62" s="1" t="n">
        <v>5</v>
      </c>
      <c r="I62" s="1" t="n">
        <v>1</v>
      </c>
      <c r="J62" s="15" t="n">
        <f aca="false">F62-(1/H62)</f>
        <v>-0.2</v>
      </c>
      <c r="K62" s="15" t="n">
        <f aca="false">((I62-((H62-1)/H62))-(-5/6))/((5-(5/6))-(-5/6))</f>
        <v>0.206666666666667</v>
      </c>
      <c r="L62" s="15" t="n">
        <f aca="false">E62-((E61+E63+E64+E65)/4)</f>
        <v>-1</v>
      </c>
      <c r="M62" s="18" t="n">
        <f aca="false">0.5 + (L62 * 0.09)</f>
        <v>0.41</v>
      </c>
      <c r="N62" s="15" t="n">
        <f aca="false">((H62-(G62-1))/H62)*(IF(I62&lt;&gt;0,(I62+H62)/H62,1))</f>
        <v>0.96</v>
      </c>
      <c r="O62" s="19" t="n">
        <f aca="false">(N62-(1/6))/(10/6)</f>
        <v>0.476</v>
      </c>
      <c r="P62" s="17" t="n">
        <v>15</v>
      </c>
      <c r="Q62" s="19" t="n">
        <f aca="false">IF(F62=1,(((1-((P62-3)/12))*0.5)+0.5),((P62/15)*0.5))</f>
        <v>0.5</v>
      </c>
      <c r="R62" s="1" t="n">
        <v>1</v>
      </c>
      <c r="S62" s="17" t="n">
        <v>2</v>
      </c>
      <c r="T62" s="1" t="n">
        <v>1</v>
      </c>
      <c r="U62" s="19" t="n">
        <f aca="false">IFERROR(T62/S62, 1)</f>
        <v>0.5</v>
      </c>
      <c r="V62" s="20" t="n">
        <v>0</v>
      </c>
      <c r="W62" s="21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1" t="n">
        <v>46052</v>
      </c>
      <c r="B63" s="1" t="n">
        <v>17</v>
      </c>
      <c r="C63" s="15" t="s">
        <v>38</v>
      </c>
      <c r="D63" s="15" t="s">
        <v>58</v>
      </c>
      <c r="E63" s="16" t="n">
        <v>2</v>
      </c>
      <c r="F63" s="17" t="n">
        <v>0</v>
      </c>
      <c r="G63" s="1" t="n">
        <v>3</v>
      </c>
      <c r="H63" s="1" t="n">
        <v>5</v>
      </c>
      <c r="I63" s="1" t="n">
        <v>0</v>
      </c>
      <c r="J63" s="15" t="n">
        <f aca="false">F63-(1/H63)</f>
        <v>-0.2</v>
      </c>
      <c r="K63" s="15" t="n">
        <f aca="false">((I63-((H63-1)/H63))-(-5/6))/((5-(5/6))-(-5/6))</f>
        <v>0.00666666666666667</v>
      </c>
      <c r="L63" s="15" t="n">
        <f aca="false">E63-((E61+E62+E64+E65)/4)</f>
        <v>-1</v>
      </c>
      <c r="M63" s="18" t="n">
        <f aca="false">0.5 + (L63 * 0.09)</f>
        <v>0.41</v>
      </c>
      <c r="N63" s="15" t="n">
        <f aca="false">((H63-(G63-1))/H63)*(IF(I63&lt;&gt;0,(I63+H63)/H63,1))</f>
        <v>0.6</v>
      </c>
      <c r="O63" s="19" t="n">
        <f aca="false">(N63-(1/6))/(10/6)</f>
        <v>0.26</v>
      </c>
      <c r="P63" s="17" t="n">
        <v>10</v>
      </c>
      <c r="Q63" s="19" t="n">
        <f aca="false">IF(F63=1,(((1-((P63-3)/12))*0.5)+0.5),((P63/15)*0.5))</f>
        <v>0.333333333333333</v>
      </c>
      <c r="R63" s="1" t="n">
        <v>0</v>
      </c>
      <c r="S63" s="17" t="n">
        <v>1</v>
      </c>
      <c r="T63" s="1" t="n">
        <v>0</v>
      </c>
      <c r="U63" s="19" t="n">
        <f aca="false">IFERROR(T63/S63, 1)</f>
        <v>0</v>
      </c>
      <c r="V63" s="20" t="n">
        <v>1</v>
      </c>
      <c r="W63" s="21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1" t="n">
        <v>46052</v>
      </c>
      <c r="B64" s="1" t="n">
        <v>17</v>
      </c>
      <c r="C64" s="15" t="s">
        <v>28</v>
      </c>
      <c r="D64" s="15" t="s">
        <v>44</v>
      </c>
      <c r="E64" s="16" t="n">
        <v>4</v>
      </c>
      <c r="F64" s="17" t="n">
        <v>0</v>
      </c>
      <c r="G64" s="1" t="n">
        <v>4</v>
      </c>
      <c r="H64" s="1" t="n">
        <v>5</v>
      </c>
      <c r="I64" s="1" t="n">
        <v>1</v>
      </c>
      <c r="J64" s="15" t="n">
        <f aca="false">F64-(1/H64)</f>
        <v>-0.2</v>
      </c>
      <c r="K64" s="15" t="n">
        <f aca="false">((I64-((H64-1)/H64))-(-5/6))/((5-(5/6))-(-5/6))</f>
        <v>0.206666666666667</v>
      </c>
      <c r="L64" s="15" t="n">
        <f aca="false">E64-((E61+E62+E63+E65)/4)</f>
        <v>1.5</v>
      </c>
      <c r="M64" s="18" t="n">
        <f aca="false">0.5 + (L64 * 0.09)</f>
        <v>0.635</v>
      </c>
      <c r="N64" s="15" t="n">
        <f aca="false">((H64-(G64-1))/H64)*(IF(I64&lt;&gt;0,(I64+H64)/H64,1))</f>
        <v>0.48</v>
      </c>
      <c r="O64" s="19" t="n">
        <f aca="false">(N64-(1/6))/(10/6)</f>
        <v>0.188</v>
      </c>
      <c r="P64" s="17" t="n">
        <v>8</v>
      </c>
      <c r="Q64" s="19" t="n">
        <f aca="false">IF(F64=1,(((1-((P64-3)/12))*0.5)+0.5),((P64/15)*0.5))</f>
        <v>0.266666666666667</v>
      </c>
      <c r="R64" s="1" t="n">
        <v>1</v>
      </c>
      <c r="S64" s="17" t="n">
        <v>1</v>
      </c>
      <c r="T64" s="1" t="n">
        <v>0</v>
      </c>
      <c r="U64" s="19" t="n">
        <f aca="false">IFERROR(T64/S64, 1)</f>
        <v>0</v>
      </c>
      <c r="V64" s="20" t="n">
        <v>0</v>
      </c>
      <c r="W64" s="21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40" t="n">
        <v>46052</v>
      </c>
      <c r="B65" s="23" t="n">
        <v>17</v>
      </c>
      <c r="C65" s="23" t="s">
        <v>32</v>
      </c>
      <c r="D65" s="23" t="s">
        <v>42</v>
      </c>
      <c r="E65" s="24" t="n">
        <v>4</v>
      </c>
      <c r="F65" s="25" t="n">
        <v>0</v>
      </c>
      <c r="G65" s="23" t="n">
        <v>5</v>
      </c>
      <c r="H65" s="23" t="n">
        <v>5</v>
      </c>
      <c r="I65" s="23" t="n">
        <v>0</v>
      </c>
      <c r="J65" s="23" t="n">
        <f aca="false">F65-(1/H65)</f>
        <v>-0.2</v>
      </c>
      <c r="K65" s="23" t="n">
        <f aca="false">((I65-((H65-1)/H65))-(-5/6))/((5-(5/6))-(-5/6))</f>
        <v>0.00666666666666667</v>
      </c>
      <c r="L65" s="23" t="n">
        <f aca="false">E65-((E61+E62+E63+E64)/4)</f>
        <v>1.5</v>
      </c>
      <c r="M65" s="26" t="n">
        <f aca="false">0.5 + (L65 * 0.09)</f>
        <v>0.635</v>
      </c>
      <c r="N65" s="23" t="n">
        <f aca="false">((H65-(G65-1))/H65)*(IF(I65&lt;&gt;0,(I65+H65)/H65,1))</f>
        <v>0.2</v>
      </c>
      <c r="O65" s="27" t="n">
        <f aca="false">(N65-(1/6))/(10/6)</f>
        <v>0.02</v>
      </c>
      <c r="P65" s="25" t="n">
        <v>8</v>
      </c>
      <c r="Q65" s="27" t="n">
        <f aca="false">IF(F65=1,(((1-((P65-3)/12))*0.5)+0.5),((P65/15)*0.5))</f>
        <v>0.266666666666667</v>
      </c>
      <c r="R65" s="23" t="n">
        <v>0</v>
      </c>
      <c r="S65" s="25" t="n">
        <v>0</v>
      </c>
      <c r="T65" s="23" t="n">
        <v>0</v>
      </c>
      <c r="U65" s="27" t="n">
        <f aca="false">IFERROR(T65/S65, 1)</f>
        <v>1</v>
      </c>
      <c r="V65" s="28" t="n">
        <v>1</v>
      </c>
      <c r="W65" s="29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1" t="n">
        <v>46059</v>
      </c>
      <c r="B66" s="1" t="n">
        <v>18</v>
      </c>
      <c r="C66" s="15" t="s">
        <v>30</v>
      </c>
      <c r="D66" s="15" t="s">
        <v>50</v>
      </c>
      <c r="E66" s="16" t="n">
        <v>3</v>
      </c>
      <c r="F66" s="17" t="n">
        <v>1</v>
      </c>
      <c r="G66" s="1" t="n">
        <v>1</v>
      </c>
      <c r="H66" s="1" t="n">
        <v>5</v>
      </c>
      <c r="I66" s="1" t="n">
        <v>2</v>
      </c>
      <c r="J66" s="15" t="n">
        <f aca="false">F66-(1/H66)</f>
        <v>0.8</v>
      </c>
      <c r="K66" s="15" t="n">
        <f aca="false">((I66-((H66-1)/H66))-(-5/6))/((5-(5/6))-(-5/6))</f>
        <v>0.406666666666667</v>
      </c>
      <c r="L66" s="15" t="n">
        <f aca="false">E66-((E67+E68+E69+E70)/4)</f>
        <v>1</v>
      </c>
      <c r="M66" s="18" t="n">
        <f aca="false">0.5 + (L66 * 0.09)</f>
        <v>0.59</v>
      </c>
      <c r="N66" s="15" t="n">
        <f aca="false">((H66-(G66-1))/H66)*(IF(I66&lt;&gt;0,(I66+H66)/H66,1))</f>
        <v>1.4</v>
      </c>
      <c r="O66" s="19" t="n">
        <f aca="false">(N66-(1/6))/(10/6)</f>
        <v>0.74</v>
      </c>
      <c r="P66" s="17" t="n">
        <v>10</v>
      </c>
      <c r="Q66" s="19" t="n">
        <f aca="false">IF(F66=1,(((1-((P66-3)/12))*0.5)+0.5),((P66/15)*0.5))</f>
        <v>0.708333333333333</v>
      </c>
      <c r="R66" s="1" t="n">
        <v>1</v>
      </c>
      <c r="S66" s="17" t="n">
        <v>1</v>
      </c>
      <c r="T66" s="1" t="n">
        <v>0</v>
      </c>
      <c r="U66" s="19" t="n">
        <f aca="false">IFERROR(T66/S66, 1)</f>
        <v>0</v>
      </c>
      <c r="V66" s="20" t="n">
        <v>0</v>
      </c>
      <c r="W66" s="21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1" t="n">
        <v>46059</v>
      </c>
      <c r="B67" s="1" t="n">
        <v>18</v>
      </c>
      <c r="C67" s="15" t="s">
        <v>26</v>
      </c>
      <c r="D67" s="15" t="s">
        <v>45</v>
      </c>
      <c r="E67" s="16" t="n">
        <v>2</v>
      </c>
      <c r="F67" s="17" t="n">
        <v>0</v>
      </c>
      <c r="G67" s="1" t="n">
        <v>2</v>
      </c>
      <c r="H67" s="1" t="n">
        <v>5</v>
      </c>
      <c r="I67" s="1" t="n">
        <v>0</v>
      </c>
      <c r="J67" s="15" t="n">
        <f aca="false">F67-(1/H67)</f>
        <v>-0.2</v>
      </c>
      <c r="K67" s="15" t="n">
        <f aca="false">((I67-((H67-1)/H67))-(-5/6))/((5-(5/6))-(-5/6))</f>
        <v>0.00666666666666667</v>
      </c>
      <c r="L67" s="15" t="n">
        <f aca="false">E67-((E66+E68+E69+E70)/4)</f>
        <v>-0.25</v>
      </c>
      <c r="M67" s="18" t="n">
        <f aca="false">0.5 + (L67 * 0.09)</f>
        <v>0.4775</v>
      </c>
      <c r="N67" s="15" t="n">
        <f aca="false">((H67-(G67-1))/H67)*(IF(I67&lt;&gt;0,(I67+H67)/H67,1))</f>
        <v>0.8</v>
      </c>
      <c r="O67" s="19" t="n">
        <f aca="false">(N67-(1/6))/(10/6)</f>
        <v>0.38</v>
      </c>
      <c r="P67" s="17" t="n">
        <v>10</v>
      </c>
      <c r="Q67" s="19" t="n">
        <f aca="false">IF(F67=1,(((1-((P67-3)/12))*0.5)+0.5),((P67/15)*0.5))</f>
        <v>0.333333333333333</v>
      </c>
      <c r="R67" s="1" t="n">
        <v>0</v>
      </c>
      <c r="S67" s="17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21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1" t="n">
        <v>46059</v>
      </c>
      <c r="B68" s="1" t="n">
        <v>18</v>
      </c>
      <c r="C68" s="15" t="s">
        <v>51</v>
      </c>
      <c r="D68" s="15" t="s">
        <v>52</v>
      </c>
      <c r="E68" s="16" t="n">
        <v>2</v>
      </c>
      <c r="F68" s="17" t="n">
        <v>0</v>
      </c>
      <c r="G68" s="1" t="n">
        <v>2</v>
      </c>
      <c r="H68" s="1" t="n">
        <v>5</v>
      </c>
      <c r="I68" s="1" t="n">
        <v>2</v>
      </c>
      <c r="J68" s="15" t="n">
        <f aca="false">F68-(1/H68)</f>
        <v>-0.2</v>
      </c>
      <c r="K68" s="15" t="n">
        <f aca="false">((I68-((H68-1)/H68))-(-5/6))/((5-(5/6))-(-5/6))</f>
        <v>0.406666666666667</v>
      </c>
      <c r="L68" s="15" t="n">
        <f aca="false">E68-((E66+E67+E69+E70)/4)</f>
        <v>-0.25</v>
      </c>
      <c r="M68" s="18" t="n">
        <f aca="false">0.5 + (L68 * 0.09)</f>
        <v>0.4775</v>
      </c>
      <c r="N68" s="15" t="n">
        <f aca="false">((H68-(G68-1))/H68)*(IF(I68&lt;&gt;0,(I68+H68)/H68,1))</f>
        <v>1.12</v>
      </c>
      <c r="O68" s="19" t="n">
        <f aca="false">(N68-(1/6))/(10/6)</f>
        <v>0.572</v>
      </c>
      <c r="P68" s="17" t="n">
        <v>10</v>
      </c>
      <c r="Q68" s="19" t="n">
        <f aca="false">IF(F68=1,(((1-((P68-3)/12))*0.5)+0.5),((P68/15)*0.5))</f>
        <v>0.333333333333333</v>
      </c>
      <c r="R68" s="1" t="n">
        <v>0</v>
      </c>
      <c r="S68" s="17" t="n">
        <v>1</v>
      </c>
      <c r="T68" s="1" t="n">
        <v>0</v>
      </c>
      <c r="U68" s="19" t="n">
        <f aca="false">IFERROR(T68/S68, 1)</f>
        <v>0</v>
      </c>
      <c r="V68" s="20" t="n">
        <v>0</v>
      </c>
      <c r="W68" s="21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1" t="n">
        <v>46059</v>
      </c>
      <c r="B69" s="1" t="n">
        <v>18</v>
      </c>
      <c r="C69" s="15" t="s">
        <v>59</v>
      </c>
      <c r="D69" s="15" t="s">
        <v>33</v>
      </c>
      <c r="E69" s="16" t="n">
        <v>2</v>
      </c>
      <c r="F69" s="17" t="n">
        <v>0</v>
      </c>
      <c r="G69" s="1" t="n">
        <v>4</v>
      </c>
      <c r="H69" s="1" t="n">
        <v>5</v>
      </c>
      <c r="I69" s="1" t="n">
        <v>0</v>
      </c>
      <c r="J69" s="15" t="n">
        <f aca="false">F69-(1/H69)</f>
        <v>-0.2</v>
      </c>
      <c r="K69" s="15" t="n">
        <f aca="false">((I69-((H69-1)/H69))-(-5/6))/((5-(5/6))-(-5/6))</f>
        <v>0.00666666666666667</v>
      </c>
      <c r="L69" s="15" t="n">
        <f aca="false">E69-((E66+E67+E68+E70)/4)</f>
        <v>-0.25</v>
      </c>
      <c r="M69" s="18" t="n">
        <f aca="false">0.5 + (L69 * 0.09)</f>
        <v>0.4775</v>
      </c>
      <c r="N69" s="15" t="n">
        <f aca="false">((H69-(G69-1))/H69)*(IF(I69&lt;&gt;0,(I69+H69)/H69,1))</f>
        <v>0.4</v>
      </c>
      <c r="O69" s="19" t="n">
        <f aca="false">(N69-(1/6))/(10/6)</f>
        <v>0.14</v>
      </c>
      <c r="P69" s="17" t="n">
        <v>9</v>
      </c>
      <c r="Q69" s="19" t="n">
        <f aca="false">IF(F69=1,(((1-((P69-3)/12))*0.5)+0.5),((P69/15)*0.5))</f>
        <v>0.3</v>
      </c>
      <c r="R69" s="1" t="n">
        <v>1</v>
      </c>
      <c r="S69" s="17" t="n">
        <v>1</v>
      </c>
      <c r="T69" s="1" t="n">
        <v>0</v>
      </c>
      <c r="U69" s="19" t="n">
        <f aca="false">IFERROR(T69/S69, 1)</f>
        <v>0</v>
      </c>
      <c r="V69" s="20" t="n">
        <v>0</v>
      </c>
      <c r="W69" s="21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40" t="n">
        <v>46059</v>
      </c>
      <c r="B70" s="23" t="n">
        <v>18</v>
      </c>
      <c r="C70" s="23" t="s">
        <v>32</v>
      </c>
      <c r="D70" s="23" t="s">
        <v>54</v>
      </c>
      <c r="E70" s="24" t="n">
        <v>2</v>
      </c>
      <c r="F70" s="25" t="n">
        <v>0</v>
      </c>
      <c r="G70" s="23" t="n">
        <v>5</v>
      </c>
      <c r="H70" s="23" t="n">
        <v>5</v>
      </c>
      <c r="I70" s="23" t="n">
        <v>0</v>
      </c>
      <c r="J70" s="23" t="n">
        <f aca="false">F70-(1/H70)</f>
        <v>-0.2</v>
      </c>
      <c r="K70" s="23" t="n">
        <f aca="false">((I70-((H70-1)/H70))-(-5/6))/((5-(5/6))-(-5/6))</f>
        <v>0.00666666666666667</v>
      </c>
      <c r="L70" s="23" t="n">
        <f aca="false">E70-((E66+E67+E68+E69)/4)</f>
        <v>-0.25</v>
      </c>
      <c r="M70" s="26" t="n">
        <f aca="false">0.5 + (L70 * 0.09)</f>
        <v>0.4775</v>
      </c>
      <c r="N70" s="23" t="n">
        <f aca="false">((H70-(G70-1))/H70)*(IF(I70&lt;&gt;0,(I70+H70)/H70,1))</f>
        <v>0.2</v>
      </c>
      <c r="O70" s="27" t="n">
        <f aca="false">(N70-(1/6))/(10/6)</f>
        <v>0.02</v>
      </c>
      <c r="P70" s="25" t="n">
        <v>8</v>
      </c>
      <c r="Q70" s="27" t="n">
        <f aca="false">IF(F70=1,(((1-((P70-3)/12))*0.5)+0.5),((P70/15)*0.5))</f>
        <v>0.266666666666667</v>
      </c>
      <c r="R70" s="23" t="n">
        <v>0</v>
      </c>
      <c r="S70" s="25" t="n">
        <v>1</v>
      </c>
      <c r="T70" s="23" t="n">
        <v>1</v>
      </c>
      <c r="U70" s="27" t="n">
        <f aca="false">IFERROR(T70/S70, 1)</f>
        <v>1</v>
      </c>
      <c r="V70" s="28" t="n">
        <v>0</v>
      </c>
      <c r="W70" s="29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1" t="n">
        <v>46059</v>
      </c>
      <c r="B71" s="1" t="n">
        <v>19</v>
      </c>
      <c r="C71" s="15" t="s">
        <v>26</v>
      </c>
      <c r="D71" s="15" t="s">
        <v>45</v>
      </c>
      <c r="E71" s="16" t="n">
        <v>2</v>
      </c>
      <c r="F71" s="17" t="n">
        <v>1</v>
      </c>
      <c r="G71" s="1" t="n">
        <v>1</v>
      </c>
      <c r="H71" s="1" t="n">
        <v>4</v>
      </c>
      <c r="I71" s="1" t="n">
        <v>1</v>
      </c>
      <c r="J71" s="15" t="n">
        <f aca="false">F71-(1/H71)</f>
        <v>0.75</v>
      </c>
      <c r="K71" s="15" t="n">
        <f aca="false">((I71-((H71-1)/H71))-(-5/6))/((5-(5/6))-(-5/6))</f>
        <v>0.216666666666667</v>
      </c>
      <c r="L71" s="15" t="n">
        <f aca="false">E71-((E72+E73+E74)/3)</f>
        <v>-0.666666666666667</v>
      </c>
      <c r="M71" s="18" t="n">
        <f aca="false">0.5 + (L71 * 0.09)</f>
        <v>0.44</v>
      </c>
      <c r="N71" s="15" t="n">
        <f aca="false">((H71-(G71-1))/H71)*(IF(I71&lt;&gt;0,(I71+H71)/H71,1))</f>
        <v>1.25</v>
      </c>
      <c r="O71" s="19" t="n">
        <f aca="false">(N71-(1/6))/(10/6)</f>
        <v>0.65</v>
      </c>
      <c r="P71" s="17" t="n">
        <v>9</v>
      </c>
      <c r="Q71" s="19" t="n">
        <f aca="false">IF(F71=1,(((1-((P71-3)/12))*0.5)+0.5),((P71/15)*0.5))</f>
        <v>0.75</v>
      </c>
      <c r="R71" s="1" t="n">
        <v>1</v>
      </c>
      <c r="S71" s="17" t="n">
        <v>0</v>
      </c>
      <c r="T71" s="1" t="n">
        <v>0</v>
      </c>
      <c r="U71" s="19" t="n">
        <f aca="false">IFERROR(T71/S71, 1)</f>
        <v>1</v>
      </c>
      <c r="V71" s="20" t="n">
        <v>0</v>
      </c>
      <c r="W71" s="21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1" t="n">
        <v>46059</v>
      </c>
      <c r="B72" s="1" t="n">
        <v>19</v>
      </c>
      <c r="C72" s="15" t="s">
        <v>32</v>
      </c>
      <c r="D72" s="15" t="s">
        <v>36</v>
      </c>
      <c r="E72" s="16" t="n">
        <v>2</v>
      </c>
      <c r="F72" s="17" t="n">
        <v>0</v>
      </c>
      <c r="G72" s="1" t="n">
        <v>2</v>
      </c>
      <c r="H72" s="1" t="n">
        <v>4</v>
      </c>
      <c r="I72" s="1" t="n">
        <v>1</v>
      </c>
      <c r="J72" s="15" t="n">
        <f aca="false">F72-(1/H72)</f>
        <v>-0.25</v>
      </c>
      <c r="K72" s="15" t="n">
        <f aca="false">((I72-((H72-1)/H72))-(-5/6))/((5-(5/6))-(-5/6))</f>
        <v>0.216666666666667</v>
      </c>
      <c r="L72" s="15" t="n">
        <f aca="false">E72-((E71+E73+E74)/3)</f>
        <v>-0.666666666666667</v>
      </c>
      <c r="M72" s="18" t="n">
        <f aca="false">0.5 + (L72 * 0.09)</f>
        <v>0.44</v>
      </c>
      <c r="N72" s="15" t="n">
        <f aca="false">((H72-(G72-1))/H72)*(IF(I72&lt;&gt;0,(I72+H72)/H72,1))</f>
        <v>0.9375</v>
      </c>
      <c r="O72" s="19" t="n">
        <f aca="false">(N72-(1/6))/(10/6)</f>
        <v>0.4625</v>
      </c>
      <c r="P72" s="17" t="n">
        <v>9</v>
      </c>
      <c r="Q72" s="19" t="n">
        <f aca="false">IF(F72=1,(((1-((P72-3)/12))*0.5)+0.5),((P72/15)*0.5))</f>
        <v>0.3</v>
      </c>
      <c r="R72" s="1" t="n">
        <v>1</v>
      </c>
      <c r="S72" s="17" t="n">
        <v>1</v>
      </c>
      <c r="T72" s="1" t="n">
        <v>1</v>
      </c>
      <c r="U72" s="19" t="n">
        <f aca="false">IFERROR(T72/S72, 1)</f>
        <v>1</v>
      </c>
      <c r="V72" s="20" t="n">
        <v>0</v>
      </c>
      <c r="W72" s="21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1" t="n">
        <v>46059</v>
      </c>
      <c r="B73" s="1" t="n">
        <v>19</v>
      </c>
      <c r="C73" s="15" t="s">
        <v>30</v>
      </c>
      <c r="D73" s="15" t="s">
        <v>48</v>
      </c>
      <c r="E73" s="16" t="n">
        <v>3</v>
      </c>
      <c r="F73" s="17" t="n">
        <v>0</v>
      </c>
      <c r="G73" s="1" t="n">
        <v>3</v>
      </c>
      <c r="H73" s="1" t="n">
        <v>4</v>
      </c>
      <c r="I73" s="1" t="n">
        <v>1</v>
      </c>
      <c r="J73" s="15" t="n">
        <f aca="false">F73-(1/H73)</f>
        <v>-0.25</v>
      </c>
      <c r="K73" s="15" t="n">
        <f aca="false">((I73-((H73-1)/H73))-(-5/6))/((5-(5/6))-(-5/6))</f>
        <v>0.216666666666667</v>
      </c>
      <c r="L73" s="15" t="n">
        <f aca="false">E73-((E71+E72+E74)/3)</f>
        <v>0.666666666666667</v>
      </c>
      <c r="M73" s="18" t="n">
        <f aca="false">0.5 + (L73 * 0.09)</f>
        <v>0.56</v>
      </c>
      <c r="N73" s="15" t="n">
        <f aca="false">((H73-(G73-1))/H73)*(IF(I73&lt;&gt;0,(I73+H73)/H73,1))</f>
        <v>0.625</v>
      </c>
      <c r="O73" s="19" t="n">
        <f aca="false">(N73-(1/6))/(10/6)</f>
        <v>0.275</v>
      </c>
      <c r="P73" s="17" t="n">
        <v>8</v>
      </c>
      <c r="Q73" s="19" t="n">
        <f aca="false">IF(F73=1,(((1-((P73-3)/12))*0.5)+0.5),((P73/15)*0.5))</f>
        <v>0.266666666666667</v>
      </c>
      <c r="R73" s="1" t="n">
        <v>1</v>
      </c>
      <c r="S73" s="17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21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40" t="n">
        <v>46059</v>
      </c>
      <c r="B74" s="23" t="n">
        <v>19</v>
      </c>
      <c r="C74" s="23" t="s">
        <v>59</v>
      </c>
      <c r="D74" s="23" t="s">
        <v>55</v>
      </c>
      <c r="E74" s="24" t="n">
        <v>3</v>
      </c>
      <c r="F74" s="25" t="n">
        <v>0</v>
      </c>
      <c r="G74" s="23" t="n">
        <v>4</v>
      </c>
      <c r="H74" s="23" t="n">
        <v>4</v>
      </c>
      <c r="I74" s="23" t="n">
        <v>0</v>
      </c>
      <c r="J74" s="23" t="n">
        <f aca="false">F74-(1/H74)</f>
        <v>-0.25</v>
      </c>
      <c r="K74" s="23" t="n">
        <f aca="false">((I74-((H74-1)/H74))-(-5/6))/((5-(5/6))-(-5/6))</f>
        <v>0.0166666666666667</v>
      </c>
      <c r="L74" s="23" t="n">
        <f aca="false">E74-((E71+E72+E73)/3)</f>
        <v>0.666666666666667</v>
      </c>
      <c r="M74" s="26" t="n">
        <f aca="false">0.5 + (L74 * 0.09)</f>
        <v>0.56</v>
      </c>
      <c r="N74" s="23" t="n">
        <f aca="false">((H74-(G74-1))/H74)*(IF(I74&lt;&gt;0,(I74+H74)/H74,1))</f>
        <v>0.25</v>
      </c>
      <c r="O74" s="27" t="n">
        <f aca="false">(N74-(1/6))/(10/6)</f>
        <v>0.05</v>
      </c>
      <c r="P74" s="25" t="n">
        <v>7</v>
      </c>
      <c r="Q74" s="27" t="n">
        <f aca="false">IF(F74=1,(((1-((P74-3)/12))*0.5)+0.5),((P74/15)*0.5))</f>
        <v>0.233333333333333</v>
      </c>
      <c r="R74" s="23" t="n">
        <v>0</v>
      </c>
      <c r="S74" s="25" t="n">
        <v>1</v>
      </c>
      <c r="T74" s="23" t="n">
        <v>0</v>
      </c>
      <c r="U74" s="27" t="n">
        <f aca="false">IFERROR(T74/S74, 1)</f>
        <v>0</v>
      </c>
      <c r="V74" s="28" t="n">
        <v>0</v>
      </c>
      <c r="W74" s="29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1" t="n">
        <v>46066</v>
      </c>
      <c r="B75" s="1" t="n">
        <v>20</v>
      </c>
      <c r="C75" s="15" t="s">
        <v>38</v>
      </c>
      <c r="D75" s="15" t="s">
        <v>49</v>
      </c>
      <c r="E75" s="16" t="n">
        <v>3</v>
      </c>
      <c r="F75" s="17" t="n">
        <v>1</v>
      </c>
      <c r="G75" s="1" t="n">
        <v>1</v>
      </c>
      <c r="H75" s="1" t="n">
        <v>4</v>
      </c>
      <c r="I75" s="1" t="n">
        <v>2</v>
      </c>
      <c r="J75" s="15" t="n">
        <f aca="false">F75-(1/H75)</f>
        <v>0.75</v>
      </c>
      <c r="K75" s="15" t="n">
        <f aca="false">((I75-((H75-1)/H75))-(-5/6))/((5-(5/6))-(-5/6))</f>
        <v>0.416666666666667</v>
      </c>
      <c r="L75" s="15" t="n">
        <f aca="false">E75-((E76+E77+E78)/3)</f>
        <v>0</v>
      </c>
      <c r="M75" s="18" t="n">
        <f aca="false">0.5 + (L75 * 0.09)</f>
        <v>0.5</v>
      </c>
      <c r="N75" s="15" t="n">
        <f aca="false">((H75-(G75-1))/H75)*(IF(I75&lt;&gt;0,(I75+H75)/H75,1))</f>
        <v>1.5</v>
      </c>
      <c r="O75" s="19" t="n">
        <f aca="false">(N75-(1/6))/(10/6)</f>
        <v>0.8</v>
      </c>
      <c r="P75" s="17" t="n">
        <v>9</v>
      </c>
      <c r="Q75" s="19" t="n">
        <f aca="false">IF(F75=1,(((1-((P75-3)/12))*0.5)+0.5),((P75/15)*0.5))</f>
        <v>0.75</v>
      </c>
      <c r="R75" s="1" t="n">
        <v>1</v>
      </c>
      <c r="S75" s="17" t="n">
        <v>0</v>
      </c>
      <c r="T75" s="1" t="n">
        <v>0</v>
      </c>
      <c r="U75" s="19" t="n">
        <f aca="false">IFERROR(T75/S75, 1)</f>
        <v>1</v>
      </c>
      <c r="V75" s="20" t="n">
        <v>0</v>
      </c>
      <c r="W75" s="21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1" t="n">
        <v>46066</v>
      </c>
      <c r="B76" s="1" t="n">
        <v>20</v>
      </c>
      <c r="C76" s="15" t="s">
        <v>28</v>
      </c>
      <c r="D76" s="15" t="s">
        <v>29</v>
      </c>
      <c r="E76" s="16" t="n">
        <v>3</v>
      </c>
      <c r="F76" s="17" t="n">
        <v>0</v>
      </c>
      <c r="G76" s="1" t="n">
        <v>2</v>
      </c>
      <c r="H76" s="1" t="n">
        <v>4</v>
      </c>
      <c r="I76" s="1" t="n">
        <v>1</v>
      </c>
      <c r="J76" s="15" t="n">
        <f aca="false">F76-(1/H76)</f>
        <v>-0.25</v>
      </c>
      <c r="K76" s="15" t="n">
        <f aca="false">((I76-((H76-1)/H76))-(-5/6))/((5-(5/6))-(-5/6))</f>
        <v>0.216666666666667</v>
      </c>
      <c r="L76" s="15" t="n">
        <f aca="false">E76-((E75+E77+E78)/3)</f>
        <v>0</v>
      </c>
      <c r="M76" s="18" t="n">
        <f aca="false">0.5 + (L76 * 0.09)</f>
        <v>0.5</v>
      </c>
      <c r="N76" s="15" t="n">
        <f aca="false">((H76-(G76-1))/H76)*(IF(I76&lt;&gt;0,(I76+H76)/H76,1))</f>
        <v>0.9375</v>
      </c>
      <c r="O76" s="19" t="n">
        <f aca="false">(N76-(1/6))/(10/6)</f>
        <v>0.4625</v>
      </c>
      <c r="P76" s="17" t="n">
        <v>9</v>
      </c>
      <c r="Q76" s="19" t="n">
        <f aca="false">IF(F76=1,(((1-((P76-3)/12))*0.5)+0.5),((P76/15)*0.5))</f>
        <v>0.3</v>
      </c>
      <c r="R76" s="1" t="n">
        <v>0</v>
      </c>
      <c r="S76" s="17" t="n">
        <v>0</v>
      </c>
      <c r="T76" s="1" t="n">
        <v>0</v>
      </c>
      <c r="U76" s="19" t="n">
        <f aca="false">IFERROR(T76/S76, 1)</f>
        <v>1</v>
      </c>
      <c r="V76" s="20" t="n">
        <v>0</v>
      </c>
      <c r="W76" s="21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1" t="n">
        <v>46066</v>
      </c>
      <c r="B77" s="1" t="n">
        <v>20</v>
      </c>
      <c r="C77" s="15" t="s">
        <v>30</v>
      </c>
      <c r="D77" s="15" t="s">
        <v>60</v>
      </c>
      <c r="E77" s="16" t="n">
        <v>4</v>
      </c>
      <c r="F77" s="17" t="n">
        <v>0</v>
      </c>
      <c r="G77" s="1" t="n">
        <v>3</v>
      </c>
      <c r="H77" s="1" t="n">
        <v>4</v>
      </c>
      <c r="I77" s="1" t="n">
        <v>0</v>
      </c>
      <c r="J77" s="15" t="n">
        <f aca="false">F77-(1/H77)</f>
        <v>-0.25</v>
      </c>
      <c r="K77" s="15" t="n">
        <f aca="false">((I77-((H77-1)/H77))-(-5/6))/((5-(5/6))-(-5/6))</f>
        <v>0.0166666666666667</v>
      </c>
      <c r="L77" s="15" t="n">
        <f aca="false">E77-((E75+E76+E78)/3)</f>
        <v>1.33333333333333</v>
      </c>
      <c r="M77" s="18" t="n">
        <f aca="false">0.5 + (L77 * 0.09)</f>
        <v>0.62</v>
      </c>
      <c r="N77" s="15" t="n">
        <f aca="false">((H77-(G77-1))/H77)*(IF(I77&lt;&gt;0,(I77+H77)/H77,1))</f>
        <v>0.5</v>
      </c>
      <c r="O77" s="19" t="n">
        <f aca="false">(N77-(1/6))/(10/6)</f>
        <v>0.2</v>
      </c>
      <c r="P77" s="17" t="n">
        <v>8</v>
      </c>
      <c r="Q77" s="19" t="n">
        <f aca="false">IF(F77=1,(((1-((P77-3)/12))*0.5)+0.5),((P77/15)*0.5))</f>
        <v>0.266666666666667</v>
      </c>
      <c r="R77" s="1" t="n">
        <v>0</v>
      </c>
      <c r="S77" s="17" t="n">
        <v>2</v>
      </c>
      <c r="T77" s="1" t="n">
        <v>1</v>
      </c>
      <c r="U77" s="19" t="n">
        <f aca="false">IFERROR(T77/S77, 1)</f>
        <v>0.5</v>
      </c>
      <c r="V77" s="20" t="n">
        <v>0</v>
      </c>
      <c r="W77" s="21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40" t="n">
        <v>46066</v>
      </c>
      <c r="B78" s="23" t="n">
        <v>20</v>
      </c>
      <c r="C78" s="23" t="s">
        <v>32</v>
      </c>
      <c r="D78" s="23" t="s">
        <v>61</v>
      </c>
      <c r="E78" s="24" t="n">
        <v>2</v>
      </c>
      <c r="F78" s="25" t="n">
        <v>0</v>
      </c>
      <c r="G78" s="23" t="n">
        <v>4</v>
      </c>
      <c r="H78" s="23" t="n">
        <v>4</v>
      </c>
      <c r="I78" s="23" t="n">
        <v>0</v>
      </c>
      <c r="J78" s="23" t="n">
        <f aca="false">F78-(1/H78)</f>
        <v>-0.25</v>
      </c>
      <c r="K78" s="23" t="n">
        <f aca="false">((I78-((H78-1)/H78))-(-5/6))/((5-(5/6))-(-5/6))</f>
        <v>0.0166666666666667</v>
      </c>
      <c r="L78" s="23" t="n">
        <f aca="false">E78-((E75+E76+E77)/3)</f>
        <v>-1.33333333333333</v>
      </c>
      <c r="M78" s="26" t="n">
        <f aca="false">0.5 + (L78 * 0.09)</f>
        <v>0.38</v>
      </c>
      <c r="N78" s="23" t="n">
        <f aca="false">((H78-(G78-1))/H78)*(IF(I78&lt;&gt;0,(I78+H78)/H78,1))</f>
        <v>0.25</v>
      </c>
      <c r="O78" s="27" t="n">
        <f aca="false">(N78-(1/6))/(10/6)</f>
        <v>0.05</v>
      </c>
      <c r="P78" s="25" t="n">
        <v>8</v>
      </c>
      <c r="Q78" s="27" t="n">
        <f aca="false">IF(F78=1,(((1-((P78-3)/12))*0.5)+0.5),((P78/15)*0.5))</f>
        <v>0.266666666666667</v>
      </c>
      <c r="R78" s="23" t="n">
        <v>1</v>
      </c>
      <c r="S78" s="25" t="n">
        <v>0</v>
      </c>
      <c r="T78" s="23" t="n">
        <v>0</v>
      </c>
      <c r="U78" s="27" t="n">
        <f aca="false">IFERROR(T78/S78, 1)</f>
        <v>1</v>
      </c>
      <c r="V78" s="28" t="n">
        <v>0</v>
      </c>
      <c r="W78" s="29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1" t="n">
        <v>46066</v>
      </c>
      <c r="B79" s="1" t="n">
        <v>21</v>
      </c>
      <c r="C79" s="15" t="s">
        <v>28</v>
      </c>
      <c r="D79" s="15" t="s">
        <v>37</v>
      </c>
      <c r="E79" s="16" t="n">
        <v>3</v>
      </c>
      <c r="F79" s="17" t="n">
        <v>1</v>
      </c>
      <c r="G79" s="1" t="n">
        <v>1</v>
      </c>
      <c r="H79" s="1" t="n">
        <v>4</v>
      </c>
      <c r="I79" s="1" t="n">
        <v>2</v>
      </c>
      <c r="J79" s="15" t="n">
        <f aca="false">F79-(1/H79)</f>
        <v>0.75</v>
      </c>
      <c r="K79" s="15" t="n">
        <f aca="false">((I79-((H79-1)/H79))-(-5/6))/((5-(5/6))-(-5/6))</f>
        <v>0.416666666666667</v>
      </c>
      <c r="L79" s="15" t="n">
        <f aca="false">E79-((E80+E81+E82)/3)</f>
        <v>0.333333333333334</v>
      </c>
      <c r="M79" s="18" t="n">
        <f aca="false">0.5 + (L79 * 0.09)</f>
        <v>0.53</v>
      </c>
      <c r="N79" s="15" t="n">
        <f aca="false">((H79-(G79-1))/H79)*(IF(I79&lt;&gt;0,(I79+H79)/H79,1))</f>
        <v>1.5</v>
      </c>
      <c r="O79" s="19" t="n">
        <f aca="false">(N79-(1/6))/(10/6)</f>
        <v>0.8</v>
      </c>
      <c r="P79" s="17" t="n">
        <v>10</v>
      </c>
      <c r="Q79" s="19" t="n">
        <f aca="false">IF(F79=1,(((1-((P79-3)/12))*0.5)+0.5),((P79/15)*0.5))</f>
        <v>0.708333333333333</v>
      </c>
      <c r="R79" s="1" t="n">
        <v>1</v>
      </c>
      <c r="S79" s="17" t="n">
        <v>1</v>
      </c>
      <c r="T79" s="1" t="n">
        <v>0</v>
      </c>
      <c r="U79" s="19" t="n">
        <f aca="false">IFERROR(T79/S79, 1)</f>
        <v>0</v>
      </c>
      <c r="V79" s="20" t="n">
        <v>0</v>
      </c>
      <c r="W79" s="21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1" t="n">
        <v>46066</v>
      </c>
      <c r="B80" s="1" t="n">
        <v>21</v>
      </c>
      <c r="C80" s="15" t="s">
        <v>38</v>
      </c>
      <c r="D80" s="15" t="s">
        <v>58</v>
      </c>
      <c r="E80" s="16" t="n">
        <v>2</v>
      </c>
      <c r="F80" s="17" t="n">
        <v>0</v>
      </c>
      <c r="G80" s="1" t="n">
        <v>2</v>
      </c>
      <c r="H80" s="1" t="n">
        <v>4</v>
      </c>
      <c r="I80" s="1" t="n">
        <v>0</v>
      </c>
      <c r="J80" s="15" t="n">
        <f aca="false">F80-(1/H80)</f>
        <v>-0.25</v>
      </c>
      <c r="K80" s="15" t="n">
        <f aca="false">((I80-((H80-1)/H80))-(-5/6))/((5-(5/6))-(-5/6))</f>
        <v>0.0166666666666667</v>
      </c>
      <c r="L80" s="15" t="n">
        <f aca="false">E80-((E79+E81+E82)/3)</f>
        <v>-1</v>
      </c>
      <c r="M80" s="18" t="n">
        <f aca="false">0.5 + (L80 * 0.09)</f>
        <v>0.41</v>
      </c>
      <c r="N80" s="15" t="n">
        <f aca="false">((H80-(G80-1))/H80)*(IF(I80&lt;&gt;0,(I80+H80)/H80,1))</f>
        <v>0.75</v>
      </c>
      <c r="O80" s="19" t="n">
        <f aca="false">(N80-(1/6))/(10/6)</f>
        <v>0.35</v>
      </c>
      <c r="P80" s="17" t="n">
        <v>10</v>
      </c>
      <c r="Q80" s="19" t="n">
        <f aca="false">IF(F80=1,(((1-((P80-3)/12))*0.5)+0.5),((P80/15)*0.5))</f>
        <v>0.333333333333333</v>
      </c>
      <c r="R80" s="1" t="n">
        <v>0</v>
      </c>
      <c r="S80" s="17" t="n">
        <v>1</v>
      </c>
      <c r="T80" s="1" t="n">
        <v>0</v>
      </c>
      <c r="U80" s="19" t="n">
        <f aca="false">IFERROR(T80/S80, 1)</f>
        <v>0</v>
      </c>
      <c r="V80" s="20" t="n">
        <v>1</v>
      </c>
      <c r="W80" s="21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1" t="n">
        <v>46066</v>
      </c>
      <c r="B81" s="1" t="n">
        <v>21</v>
      </c>
      <c r="C81" s="15" t="s">
        <v>32</v>
      </c>
      <c r="D81" s="15" t="s">
        <v>62</v>
      </c>
      <c r="E81" s="16" t="n">
        <v>2</v>
      </c>
      <c r="F81" s="17" t="n">
        <v>0</v>
      </c>
      <c r="G81" s="1" t="n">
        <v>3</v>
      </c>
      <c r="H81" s="1" t="n">
        <v>4</v>
      </c>
      <c r="I81" s="1" t="n">
        <v>1</v>
      </c>
      <c r="J81" s="15" t="n">
        <f aca="false">F81-(1/H81)</f>
        <v>-0.25</v>
      </c>
      <c r="K81" s="15" t="n">
        <f aca="false">((I81-((H81-1)/H81))-(-5/6))/((5-(5/6))-(-5/6))</f>
        <v>0.216666666666667</v>
      </c>
      <c r="L81" s="15" t="n">
        <f aca="false">E81-((E79+E80+E82)/3)</f>
        <v>-1</v>
      </c>
      <c r="M81" s="18" t="n">
        <f aca="false">0.5 + (L81 * 0.09)</f>
        <v>0.41</v>
      </c>
      <c r="N81" s="15" t="n">
        <f aca="false">((H81-(G81-1))/H81)*(IF(I81&lt;&gt;0,(I81+H81)/H81,1))</f>
        <v>0.625</v>
      </c>
      <c r="O81" s="19" t="n">
        <f aca="false">(N81-(1/6))/(10/6)</f>
        <v>0.275</v>
      </c>
      <c r="P81" s="17" t="n">
        <v>9</v>
      </c>
      <c r="Q81" s="19" t="n">
        <f aca="false">IF(F81=1,(((1-((P81-3)/12))*0.5)+0.5),((P81/15)*0.5))</f>
        <v>0.3</v>
      </c>
      <c r="R81" s="1" t="n">
        <v>1</v>
      </c>
      <c r="S81" s="17" t="n">
        <v>1</v>
      </c>
      <c r="T81" s="1" t="n">
        <v>0</v>
      </c>
      <c r="U81" s="19" t="n">
        <f aca="false">IFERROR(T81/S81, 1)</f>
        <v>0</v>
      </c>
      <c r="V81" s="20" t="n">
        <v>0</v>
      </c>
      <c r="W81" s="21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40" t="n">
        <v>46066</v>
      </c>
      <c r="B82" s="23" t="n">
        <v>21</v>
      </c>
      <c r="C82" s="23" t="s">
        <v>30</v>
      </c>
      <c r="D82" s="23" t="s">
        <v>57</v>
      </c>
      <c r="E82" s="24" t="n">
        <v>4</v>
      </c>
      <c r="F82" s="25" t="n">
        <v>0</v>
      </c>
      <c r="G82" s="23" t="n">
        <v>4</v>
      </c>
      <c r="H82" s="23" t="n">
        <v>4</v>
      </c>
      <c r="I82" s="23" t="n">
        <v>0</v>
      </c>
      <c r="J82" s="23" t="n">
        <f aca="false">F82-(1/H82)</f>
        <v>-0.25</v>
      </c>
      <c r="K82" s="23" t="n">
        <f aca="false">((I82-((H82-1)/H82))-(-5/6))/((5-(5/6))-(-5/6))</f>
        <v>0.0166666666666667</v>
      </c>
      <c r="L82" s="23" t="n">
        <f aca="false">E82-((E79+E80+E81)/3)</f>
        <v>1.66666666666667</v>
      </c>
      <c r="M82" s="26" t="n">
        <f aca="false">0.5 + (L82 * 0.09)</f>
        <v>0.65</v>
      </c>
      <c r="N82" s="23" t="n">
        <f aca="false">((H82-(G82-1))/H82)*(IF(I82&lt;&gt;0,(I82+H82)/H82,1))</f>
        <v>0.25</v>
      </c>
      <c r="O82" s="27" t="n">
        <f aca="false">(N82-(1/6))/(10/6)</f>
        <v>0.05</v>
      </c>
      <c r="P82" s="25" t="n">
        <v>9</v>
      </c>
      <c r="Q82" s="27" t="n">
        <f aca="false">IF(F82=1,(((1-((P82-3)/12))*0.5)+0.5),((P82/15)*0.5))</f>
        <v>0.3</v>
      </c>
      <c r="R82" s="23" t="n">
        <v>1</v>
      </c>
      <c r="S82" s="25" t="n">
        <v>1</v>
      </c>
      <c r="T82" s="23" t="n">
        <v>1</v>
      </c>
      <c r="U82" s="27" t="n">
        <f aca="false">IFERROR(T82/S82, 1)</f>
        <v>1</v>
      </c>
      <c r="V82" s="28" t="n">
        <v>0</v>
      </c>
      <c r="W82" s="29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8" t="n">
        <v>46073</v>
      </c>
      <c r="B83" s="35" t="n">
        <v>22</v>
      </c>
      <c r="C83" s="35" t="s">
        <v>30</v>
      </c>
      <c r="D83" s="35" t="s">
        <v>40</v>
      </c>
      <c r="E83" s="39" t="n">
        <v>2</v>
      </c>
      <c r="F83" s="31" t="n">
        <v>1</v>
      </c>
      <c r="G83" s="35" t="n">
        <v>1</v>
      </c>
      <c r="H83" s="35" t="n">
        <v>5</v>
      </c>
      <c r="I83" s="35" t="n">
        <v>3</v>
      </c>
      <c r="J83" s="35" t="n">
        <f aca="false">F83-(1/H83)</f>
        <v>0.8</v>
      </c>
      <c r="K83" s="35" t="n">
        <f aca="false">((I83-((H83-1)/H83))-(-5/6))/((5-(5/6))-(-5/6))</f>
        <v>0.606666666666667</v>
      </c>
      <c r="L83" s="35" t="n">
        <f aca="false">E83-((E84+E85+E86+E87)/4)</f>
        <v>-0.5</v>
      </c>
      <c r="M83" s="42" t="n">
        <f aca="false">0.5 + (L83 * 0.09)</f>
        <v>0.455</v>
      </c>
      <c r="N83" s="35" t="n">
        <f aca="false">((H83-(G83-1))/H83)*(IF(I83&lt;&gt;0,(I83+H83)/H83,1))</f>
        <v>1.6</v>
      </c>
      <c r="O83" s="36" t="n">
        <f aca="false">(N83-(1/6))/(10/6)</f>
        <v>0.86</v>
      </c>
      <c r="P83" s="31" t="n">
        <v>8</v>
      </c>
      <c r="Q83" s="36" t="n">
        <f aca="false">IF(F83=1,(((1-((P83-3)/12))*0.5)+0.5),((P83/15)*0.5))</f>
        <v>0.791666666666667</v>
      </c>
      <c r="R83" s="35" t="n">
        <v>1</v>
      </c>
      <c r="S83" s="31" t="n">
        <v>0</v>
      </c>
      <c r="T83" s="35" t="n">
        <v>0</v>
      </c>
      <c r="U83" s="36" t="n">
        <f aca="false">IFERROR(T83/S83, 1)</f>
        <v>1</v>
      </c>
      <c r="V83" s="37" t="n">
        <v>0</v>
      </c>
      <c r="W83" s="32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1" t="n">
        <v>46073</v>
      </c>
      <c r="B84" s="1" t="n">
        <v>22</v>
      </c>
      <c r="C84" s="15" t="s">
        <v>32</v>
      </c>
      <c r="D84" s="15" t="s">
        <v>41</v>
      </c>
      <c r="E84" s="16" t="n">
        <v>3</v>
      </c>
      <c r="F84" s="17" t="n">
        <v>0</v>
      </c>
      <c r="G84" s="1" t="n">
        <v>2</v>
      </c>
      <c r="H84" s="1" t="n">
        <v>5</v>
      </c>
      <c r="I84" s="1" t="n">
        <v>0</v>
      </c>
      <c r="J84" s="15" t="n">
        <f aca="false">F84-(1/H84)</f>
        <v>-0.2</v>
      </c>
      <c r="K84" s="15" t="n">
        <f aca="false">((I84-((H84-1)/H84))-(-5/6))/((5-(5/6))-(-5/6))</f>
        <v>0.00666666666666667</v>
      </c>
      <c r="L84" s="15" t="n">
        <f aca="false">E84-((E83+E85+E86+E87)/4)</f>
        <v>0.75</v>
      </c>
      <c r="M84" s="18" t="n">
        <f aca="false">0.5 + (L84 * 0.09)</f>
        <v>0.5675</v>
      </c>
      <c r="N84" s="15" t="n">
        <f aca="false">((H84-(G84-1))/H84)*(IF(I84&lt;&gt;0,(I84+H84)/H84,1))</f>
        <v>0.8</v>
      </c>
      <c r="O84" s="19" t="n">
        <f aca="false">(N84-(1/6))/(10/6)</f>
        <v>0.38</v>
      </c>
      <c r="P84" s="17" t="n">
        <v>8</v>
      </c>
      <c r="Q84" s="19" t="n">
        <f aca="false">IF(F84=1,(((1-((P84-3)/12))*0.5)+0.5),((P84/15)*0.5))</f>
        <v>0.266666666666667</v>
      </c>
      <c r="R84" s="1" t="n">
        <v>0</v>
      </c>
      <c r="S84" s="17" t="n">
        <v>0</v>
      </c>
      <c r="T84" s="1" t="n">
        <v>0</v>
      </c>
      <c r="U84" s="19" t="n">
        <f aca="false">IFERROR(T84/S84, 1)</f>
        <v>1</v>
      </c>
      <c r="V84" s="20" t="n">
        <v>1</v>
      </c>
      <c r="W84" s="21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1" t="n">
        <v>46073</v>
      </c>
      <c r="B85" s="1" t="n">
        <v>22</v>
      </c>
      <c r="C85" s="15" t="s">
        <v>28</v>
      </c>
      <c r="D85" s="15" t="s">
        <v>37</v>
      </c>
      <c r="E85" s="16" t="n">
        <v>3</v>
      </c>
      <c r="F85" s="17" t="n">
        <v>0</v>
      </c>
      <c r="G85" s="1" t="n">
        <v>3</v>
      </c>
      <c r="H85" s="1" t="n">
        <v>5</v>
      </c>
      <c r="I85" s="1" t="n">
        <v>1</v>
      </c>
      <c r="J85" s="15" t="n">
        <f aca="false">F85-(1/H85)</f>
        <v>-0.2</v>
      </c>
      <c r="K85" s="15" t="n">
        <f aca="false">((I85-((H85-1)/H85))-(-5/6))/((5-(5/6))-(-5/6))</f>
        <v>0.206666666666667</v>
      </c>
      <c r="L85" s="15" t="n">
        <f aca="false">E85-((E83+E84+E86+E87)/4)</f>
        <v>0.75</v>
      </c>
      <c r="M85" s="18" t="n">
        <f aca="false">0.5 + (L85 * 0.09)</f>
        <v>0.5675</v>
      </c>
      <c r="N85" s="15" t="n">
        <f aca="false">((H85-(G85-1))/H85)*(IF(I85&lt;&gt;0,(I85+H85)/H85,1))</f>
        <v>0.72</v>
      </c>
      <c r="O85" s="19" t="n">
        <f aca="false">(N85-(1/6))/(10/6)</f>
        <v>0.332</v>
      </c>
      <c r="P85" s="17" t="n">
        <v>7</v>
      </c>
      <c r="Q85" s="19" t="n">
        <f aca="false">IF(F85=1,(((1-((P85-3)/12))*0.5)+0.5),((P85/15)*0.5))</f>
        <v>0.233333333333333</v>
      </c>
      <c r="R85" s="1" t="n">
        <v>1</v>
      </c>
      <c r="S85" s="17" t="n">
        <v>0</v>
      </c>
      <c r="T85" s="1" t="n">
        <v>0</v>
      </c>
      <c r="U85" s="19" t="n">
        <f aca="false">IFERROR(T85/S85, 1)</f>
        <v>1</v>
      </c>
      <c r="V85" s="20" t="n">
        <v>0</v>
      </c>
      <c r="W85" s="21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1" t="n">
        <v>46073</v>
      </c>
      <c r="B86" s="1" t="n">
        <v>22</v>
      </c>
      <c r="C86" s="15" t="s">
        <v>26</v>
      </c>
      <c r="D86" s="15" t="s">
        <v>45</v>
      </c>
      <c r="E86" s="16" t="n">
        <v>2</v>
      </c>
      <c r="F86" s="17" t="n">
        <v>0</v>
      </c>
      <c r="G86" s="1" t="n">
        <v>3</v>
      </c>
      <c r="H86" s="1" t="n">
        <v>5</v>
      </c>
      <c r="I86" s="1" t="n">
        <v>0</v>
      </c>
      <c r="J86" s="15" t="n">
        <f aca="false">F86-(1/H86)</f>
        <v>-0.2</v>
      </c>
      <c r="K86" s="15" t="n">
        <f aca="false">((I86-((H86-1)/H86))-(-5/6))/((5-(5/6))-(-5/6))</f>
        <v>0.00666666666666667</v>
      </c>
      <c r="L86" s="15" t="n">
        <f aca="false">E86-((E83+E84+E85+E87)/4)</f>
        <v>-0.5</v>
      </c>
      <c r="M86" s="18" t="n">
        <f aca="false">0.5 + (L86 * 0.09)</f>
        <v>0.455</v>
      </c>
      <c r="N86" s="15" t="n">
        <f aca="false">((H86-(G86-1))/H86)*(IF(I86&lt;&gt;0,(I86+H86)/H86,1))</f>
        <v>0.6</v>
      </c>
      <c r="O86" s="19" t="n">
        <f aca="false">(N86-(1/6))/(10/6)</f>
        <v>0.26</v>
      </c>
      <c r="P86" s="17" t="n">
        <v>7</v>
      </c>
      <c r="Q86" s="19" t="n">
        <f aca="false">IF(F86=1,(((1-((P86-3)/12))*0.5)+0.5),((P86/15)*0.5))</f>
        <v>0.233333333333333</v>
      </c>
      <c r="R86" s="1" t="n">
        <v>0</v>
      </c>
      <c r="S86" s="17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21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40" t="n">
        <v>46073</v>
      </c>
      <c r="B87" s="23" t="n">
        <v>22</v>
      </c>
      <c r="C87" s="23" t="s">
        <v>59</v>
      </c>
      <c r="D87" s="23" t="s">
        <v>33</v>
      </c>
      <c r="E87" s="24" t="n">
        <v>2</v>
      </c>
      <c r="F87" s="25" t="n">
        <v>0</v>
      </c>
      <c r="G87" s="23" t="n">
        <v>5</v>
      </c>
      <c r="H87" s="23" t="n">
        <v>5</v>
      </c>
      <c r="I87" s="23" t="n">
        <v>0</v>
      </c>
      <c r="J87" s="23" t="n">
        <f aca="false">F87-(1/H87)</f>
        <v>-0.2</v>
      </c>
      <c r="K87" s="23" t="n">
        <f aca="false">((I87-((H87-1)/H87))-(-5/6))/((5-(5/6))-(-5/6))</f>
        <v>0.00666666666666667</v>
      </c>
      <c r="L87" s="23" t="n">
        <f aca="false">E87-((E83+E84+E85+E86)/4)</f>
        <v>-0.5</v>
      </c>
      <c r="M87" s="26" t="n">
        <f aca="false">0.5 + (L87 * 0.09)</f>
        <v>0.455</v>
      </c>
      <c r="N87" s="23" t="n">
        <f aca="false">((H87-(G87-1))/H87)*(IF(I87&lt;&gt;0,(I87+H87)/H87,1))</f>
        <v>0.2</v>
      </c>
      <c r="O87" s="27" t="n">
        <f aca="false">(N87-(1/6))/(10/6)</f>
        <v>0.02</v>
      </c>
      <c r="P87" s="25" t="n">
        <v>7</v>
      </c>
      <c r="Q87" s="27" t="n">
        <f aca="false">IF(F87=1,(((1-((P87-3)/12))*0.5)+0.5),((P87/15)*0.5))</f>
        <v>0.233333333333333</v>
      </c>
      <c r="R87" s="23" t="n">
        <v>1</v>
      </c>
      <c r="S87" s="25" t="n">
        <v>0</v>
      </c>
      <c r="T87" s="23" t="n">
        <v>0</v>
      </c>
      <c r="U87" s="27" t="n">
        <f aca="false">IFERROR(T87/S87, 1)</f>
        <v>1</v>
      </c>
      <c r="V87" s="28" t="n">
        <v>0</v>
      </c>
      <c r="W87" s="29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1" t="n">
        <v>46073</v>
      </c>
      <c r="B88" s="1" t="n">
        <v>23</v>
      </c>
      <c r="C88" s="15" t="s">
        <v>30</v>
      </c>
      <c r="D88" s="15" t="s">
        <v>46</v>
      </c>
      <c r="E88" s="16" t="n">
        <v>2</v>
      </c>
      <c r="F88" s="17" t="n">
        <v>1</v>
      </c>
      <c r="G88" s="1" t="n">
        <v>1</v>
      </c>
      <c r="H88" s="1" t="n">
        <v>5</v>
      </c>
      <c r="I88" s="1" t="n">
        <v>3</v>
      </c>
      <c r="J88" s="15" t="n">
        <f aca="false">F88-(1/H88)</f>
        <v>0.8</v>
      </c>
      <c r="K88" s="15" t="n">
        <f aca="false">((I88-((H88-1)/H88))-(-5/6))/((5-(5/6))-(-5/6))</f>
        <v>0.606666666666667</v>
      </c>
      <c r="L88" s="35" t="n">
        <f aca="false">E88-((E89+E90+E91+E92)/4)</f>
        <v>-0.75</v>
      </c>
      <c r="M88" s="42" t="n">
        <f aca="false">0.5 + (L88 * 0.09)</f>
        <v>0.4325</v>
      </c>
      <c r="N88" s="15" t="n">
        <f aca="false">((H88-(G88-1))/H88)*(IF(I88&lt;&gt;0,(I88+H88)/H88,1))</f>
        <v>1.6</v>
      </c>
      <c r="O88" s="19" t="n">
        <f aca="false">(N88-(1/6))/(10/6)</f>
        <v>0.86</v>
      </c>
      <c r="P88" s="17" t="n">
        <v>8</v>
      </c>
      <c r="Q88" s="19" t="n">
        <f aca="false">IF(F88=1,(((1-((P88-3)/12))*0.5)+0.5),((P88/15)*0.5))</f>
        <v>0.791666666666667</v>
      </c>
      <c r="R88" s="1" t="n">
        <v>1</v>
      </c>
      <c r="S88" s="17" t="n">
        <v>0</v>
      </c>
      <c r="T88" s="1" t="n">
        <v>0</v>
      </c>
      <c r="U88" s="19" t="n">
        <f aca="false">IFERROR(T88/S88, 1)</f>
        <v>1</v>
      </c>
      <c r="V88" s="20" t="n">
        <v>0</v>
      </c>
      <c r="W88" s="21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1" t="n">
        <v>46073</v>
      </c>
      <c r="B89" s="1" t="n">
        <v>23</v>
      </c>
      <c r="C89" s="15" t="s">
        <v>26</v>
      </c>
      <c r="D89" s="15" t="s">
        <v>27</v>
      </c>
      <c r="E89" s="16" t="n">
        <v>4</v>
      </c>
      <c r="F89" s="17" t="n">
        <v>0</v>
      </c>
      <c r="G89" s="1" t="n">
        <v>2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E89-((E88+E90+E91+E92)/4)</f>
        <v>1.75</v>
      </c>
      <c r="M89" s="18" t="n">
        <f aca="false">0.5 + (L89 * 0.09)</f>
        <v>0.6575</v>
      </c>
      <c r="N89" s="15" t="n">
        <f aca="false">((H89-(G89-1))/H89)*(IF(I89&lt;&gt;0,(I89+H89)/H89,1))</f>
        <v>0.8</v>
      </c>
      <c r="O89" s="19" t="n">
        <f aca="false">(N89-(1/6))/(10/6)</f>
        <v>0.38</v>
      </c>
      <c r="P89" s="17" t="n">
        <v>8</v>
      </c>
      <c r="Q89" s="19" t="n">
        <f aca="false">IF(F89=1,(((1-((P89-3)/12))*0.5)+0.5),((P89/15)*0.5))</f>
        <v>0.266666666666667</v>
      </c>
      <c r="R89" s="1" t="n">
        <v>0</v>
      </c>
      <c r="S89" s="17" t="n">
        <v>0</v>
      </c>
      <c r="T89" s="1" t="n">
        <v>0</v>
      </c>
      <c r="U89" s="19" t="n">
        <f aca="false">IFERROR(T89/S89, 1)</f>
        <v>1</v>
      </c>
      <c r="V89" s="20" t="n">
        <v>0</v>
      </c>
      <c r="W89" s="21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1" t="n">
        <v>46073</v>
      </c>
      <c r="B90" s="1" t="n">
        <v>23</v>
      </c>
      <c r="C90" s="15" t="s">
        <v>32</v>
      </c>
      <c r="D90" s="15" t="s">
        <v>61</v>
      </c>
      <c r="E90" s="16" t="n">
        <v>2</v>
      </c>
      <c r="F90" s="17" t="n">
        <v>0</v>
      </c>
      <c r="G90" s="1" t="n">
        <v>3</v>
      </c>
      <c r="H90" s="1" t="n">
        <v>5</v>
      </c>
      <c r="I90" s="1" t="n">
        <v>1</v>
      </c>
      <c r="J90" s="15" t="n">
        <f aca="false">F90-(1/H90)</f>
        <v>-0.2</v>
      </c>
      <c r="K90" s="15" t="n">
        <f aca="false">((I90-((H90-1)/H90))-(-5/6))/((5-(5/6))-(-5/6))</f>
        <v>0.206666666666667</v>
      </c>
      <c r="L90" s="15" t="n">
        <f aca="false">E90-((E88+E89+E91+E92)/4)</f>
        <v>-0.75</v>
      </c>
      <c r="M90" s="18" t="n">
        <f aca="false">0.5 + (L90 * 0.09)</f>
        <v>0.4325</v>
      </c>
      <c r="N90" s="15" t="n">
        <f aca="false">((H90-(G90-1))/H90)*(IF(I90&lt;&gt;0,(I90+H90)/H90,1))</f>
        <v>0.72</v>
      </c>
      <c r="O90" s="19" t="n">
        <f aca="false">(N90-(1/6))/(10/6)</f>
        <v>0.332</v>
      </c>
      <c r="P90" s="17" t="n">
        <v>7</v>
      </c>
      <c r="Q90" s="19" t="n">
        <f aca="false">IF(F90=1,(((1-((P90-3)/12))*0.5)+0.5),((P90/15)*0.5))</f>
        <v>0.233333333333333</v>
      </c>
      <c r="R90" s="1" t="n">
        <v>0</v>
      </c>
      <c r="S90" s="17" t="n">
        <v>1</v>
      </c>
      <c r="T90" s="1" t="n">
        <v>0</v>
      </c>
      <c r="U90" s="19" t="n">
        <f aca="false">IFERROR(T90/S90, 1)</f>
        <v>0</v>
      </c>
      <c r="V90" s="20" t="n">
        <v>0</v>
      </c>
      <c r="W90" s="21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1" t="n">
        <v>46073</v>
      </c>
      <c r="B91" s="1" t="n">
        <v>23</v>
      </c>
      <c r="C91" s="15" t="s">
        <v>28</v>
      </c>
      <c r="D91" s="15" t="s">
        <v>29</v>
      </c>
      <c r="E91" s="16" t="n">
        <v>3</v>
      </c>
      <c r="F91" s="17" t="n">
        <v>0</v>
      </c>
      <c r="G91" s="1" t="n">
        <v>4</v>
      </c>
      <c r="H91" s="1" t="n">
        <v>5</v>
      </c>
      <c r="I91" s="1" t="n">
        <v>0</v>
      </c>
      <c r="J91" s="15" t="n">
        <f aca="false">F91-(1/H91)</f>
        <v>-0.2</v>
      </c>
      <c r="K91" s="15" t="n">
        <f aca="false">((I91-((H91-1)/H91))-(-5/6))/((5-(5/6))-(-5/6))</f>
        <v>0.00666666666666667</v>
      </c>
      <c r="L91" s="15" t="n">
        <f aca="false">E91-((E88+E89+E90+E92)/4)</f>
        <v>0.5</v>
      </c>
      <c r="M91" s="18" t="n">
        <f aca="false">0.5 + (L91 * 0.09)</f>
        <v>0.545</v>
      </c>
      <c r="N91" s="15" t="n">
        <f aca="false">((H91-(G91-1))/H91)*(IF(I91&lt;&gt;0,(I91+H91)/H91,1))</f>
        <v>0.4</v>
      </c>
      <c r="O91" s="19" t="n">
        <f aca="false">(N91-(1/6))/(10/6)</f>
        <v>0.14</v>
      </c>
      <c r="P91" s="17" t="n">
        <v>6</v>
      </c>
      <c r="Q91" s="19" t="n">
        <f aca="false">IF(F91=1,(((1-((P91-3)/12))*0.5)+0.5),((P91/15)*0.5))</f>
        <v>0.2</v>
      </c>
      <c r="R91" s="1" t="n">
        <v>0</v>
      </c>
      <c r="S91" s="17" t="n">
        <v>1</v>
      </c>
      <c r="T91" s="1" t="n">
        <v>1</v>
      </c>
      <c r="U91" s="19" t="n">
        <f aca="false">IFERROR(T91/S91, 1)</f>
        <v>1</v>
      </c>
      <c r="V91" s="20" t="n">
        <v>1</v>
      </c>
      <c r="W91" s="21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40" t="n">
        <v>46073</v>
      </c>
      <c r="B92" s="23" t="n">
        <v>23</v>
      </c>
      <c r="C92" s="23" t="s">
        <v>59</v>
      </c>
      <c r="D92" s="23" t="s">
        <v>33</v>
      </c>
      <c r="E92" s="24" t="n">
        <v>2</v>
      </c>
      <c r="F92" s="25" t="n">
        <v>0</v>
      </c>
      <c r="G92" s="23" t="n">
        <v>5</v>
      </c>
      <c r="H92" s="23" t="n">
        <v>5</v>
      </c>
      <c r="I92" s="23" t="n">
        <v>0</v>
      </c>
      <c r="J92" s="23" t="n">
        <f aca="false">F92-(1/H92)</f>
        <v>-0.2</v>
      </c>
      <c r="K92" s="23" t="n">
        <f aca="false">((I92-((H92-1)/H92))-(-5/6))/((5-(5/6))-(-5/6))</f>
        <v>0.00666666666666667</v>
      </c>
      <c r="L92" s="23" t="n">
        <f aca="false">E92-((E88+E89+E90+E91)/4)</f>
        <v>-0.75</v>
      </c>
      <c r="M92" s="26" t="n">
        <f aca="false">0.5 + (L92 * 0.09)</f>
        <v>0.4325</v>
      </c>
      <c r="N92" s="23" t="n">
        <f aca="false">((H92-(G92-1))/H92)*(IF(I92&lt;&gt;0,(I92+H92)/H92,1))</f>
        <v>0.2</v>
      </c>
      <c r="O92" s="27" t="n">
        <f aca="false">(N92-(1/6))/(10/6)</f>
        <v>0.02</v>
      </c>
      <c r="P92" s="25" t="n">
        <v>6</v>
      </c>
      <c r="Q92" s="27" t="n">
        <f aca="false">IF(F92=1,(((1-((P92-3)/12))*0.5)+0.5),((P92/15)*0.5))</f>
        <v>0.2</v>
      </c>
      <c r="R92" s="23" t="n">
        <v>0</v>
      </c>
      <c r="S92" s="25" t="n">
        <v>1</v>
      </c>
      <c r="T92" s="23" t="n">
        <v>0</v>
      </c>
      <c r="U92" s="27" t="n">
        <f aca="false">IFERROR(T92/S92, 1)</f>
        <v>0</v>
      </c>
      <c r="V92" s="28" t="n">
        <v>0</v>
      </c>
      <c r="W92" s="29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1" t="n">
        <v>46076</v>
      </c>
      <c r="B93" s="1" t="n">
        <v>24</v>
      </c>
      <c r="C93" s="15" t="s">
        <v>30</v>
      </c>
      <c r="D93" s="15" t="s">
        <v>48</v>
      </c>
      <c r="E93" s="16" t="n">
        <v>3</v>
      </c>
      <c r="F93" s="17" t="n">
        <v>1</v>
      </c>
      <c r="G93" s="1" t="n">
        <v>1</v>
      </c>
      <c r="H93" s="1" t="n">
        <v>4</v>
      </c>
      <c r="I93" s="1" t="n">
        <v>3</v>
      </c>
      <c r="J93" s="15" t="n">
        <f aca="false">F93-(1/H93)</f>
        <v>0.75</v>
      </c>
      <c r="K93" s="15" t="n">
        <f aca="false">((I93-((H93-1)/H93))-(-5/6))/((5-(5/6))-(-5/6))</f>
        <v>0.616666666666667</v>
      </c>
      <c r="L93" s="15" t="n">
        <f aca="false">E93-((E94+E95+E96)/3)</f>
        <v>0</v>
      </c>
      <c r="M93" s="18" t="n">
        <f aca="false">0.5 + (L93 * 0.09)</f>
        <v>0.5</v>
      </c>
      <c r="N93" s="15" t="n">
        <f aca="false">((H93-(G93-1))/H93)*(IF(I93&lt;&gt;0,(I93+H93)/H93,1))</f>
        <v>1.75</v>
      </c>
      <c r="O93" s="19" t="n">
        <f aca="false">(N93-(1/6))/(10/6)</f>
        <v>0.95</v>
      </c>
      <c r="P93" s="17" t="n">
        <v>8</v>
      </c>
      <c r="Q93" s="19" t="n">
        <f aca="false">IF(F93=1,(((1-((P93-3)/12))*0.5)+0.5),((P93/15)*0.5))</f>
        <v>0.791666666666667</v>
      </c>
      <c r="R93" s="1" t="n">
        <v>1</v>
      </c>
      <c r="S93" s="17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21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1" t="n">
        <v>46076</v>
      </c>
      <c r="B94" s="1" t="n">
        <v>24</v>
      </c>
      <c r="C94" s="15" t="s">
        <v>32</v>
      </c>
      <c r="D94" s="15" t="s">
        <v>61</v>
      </c>
      <c r="E94" s="16" t="n">
        <v>2</v>
      </c>
      <c r="F94" s="17" t="n">
        <v>0</v>
      </c>
      <c r="G94" s="1" t="n">
        <v>2</v>
      </c>
      <c r="H94" s="1" t="n">
        <v>4</v>
      </c>
      <c r="I94" s="1" t="n">
        <v>0</v>
      </c>
      <c r="J94" s="15" t="n">
        <f aca="false">F94-(1/H94)</f>
        <v>-0.25</v>
      </c>
      <c r="K94" s="15" t="n">
        <f aca="false">((I94-((H94-1)/H94))-(-5/6))/((5-(5/6))-(-5/6))</f>
        <v>0.0166666666666667</v>
      </c>
      <c r="L94" s="15" t="n">
        <f aca="false">E94-((E93+E95+E96)/3)</f>
        <v>-1.33333333333333</v>
      </c>
      <c r="M94" s="18" t="n">
        <f aca="false">0.5 + (L94 * 0.09)</f>
        <v>0.38</v>
      </c>
      <c r="N94" s="15" t="n">
        <f aca="false">((H94-(G94-1))/H94)*(IF(I94&lt;&gt;0,(I94+H94)/H94,1))</f>
        <v>0.75</v>
      </c>
      <c r="O94" s="19" t="n">
        <f aca="false">(N94-(1/6))/(10/6)</f>
        <v>0.35</v>
      </c>
      <c r="P94" s="17" t="n">
        <v>8</v>
      </c>
      <c r="Q94" s="19" t="n">
        <f aca="false">IF(F94=1,(((1-((P94-3)/12))*0.5)+0.5),((P94/15)*0.5))</f>
        <v>0.266666666666667</v>
      </c>
      <c r="R94" s="1" t="n">
        <v>1</v>
      </c>
      <c r="S94" s="17" t="n">
        <v>2</v>
      </c>
      <c r="T94" s="1" t="n">
        <v>1</v>
      </c>
      <c r="U94" s="19" t="n">
        <f aca="false">IFERROR(T94/S94, 1)</f>
        <v>0.5</v>
      </c>
      <c r="V94" s="20" t="n">
        <v>0</v>
      </c>
      <c r="W94" s="21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1" t="n">
        <v>46076</v>
      </c>
      <c r="B95" s="1" t="n">
        <v>24</v>
      </c>
      <c r="C95" s="15" t="s">
        <v>38</v>
      </c>
      <c r="D95" s="15" t="s">
        <v>63</v>
      </c>
      <c r="E95" s="16" t="n">
        <v>3</v>
      </c>
      <c r="F95" s="17" t="n">
        <v>0</v>
      </c>
      <c r="G95" s="1" t="n">
        <v>3</v>
      </c>
      <c r="H95" s="1" t="n">
        <v>4</v>
      </c>
      <c r="I95" s="1" t="n">
        <v>0</v>
      </c>
      <c r="J95" s="15" t="n">
        <f aca="false">F95-(1/H95)</f>
        <v>-0.25</v>
      </c>
      <c r="K95" s="15" t="n">
        <f aca="false">((I95-((H95-1)/H95))-(-5/6))/((5-(5/6))-(-5/6))</f>
        <v>0.0166666666666667</v>
      </c>
      <c r="L95" s="15" t="n">
        <f aca="false">E95-((E93+E94+E96)/3)</f>
        <v>0</v>
      </c>
      <c r="M95" s="18" t="n">
        <f aca="false">0.5 + (L95 * 0.09)</f>
        <v>0.5</v>
      </c>
      <c r="N95" s="15" t="n">
        <f aca="false">((H95-(G95-1))/H95)*(IF(I95&lt;&gt;0,(I95+H95)/H95,1))</f>
        <v>0.5</v>
      </c>
      <c r="O95" s="19" t="n">
        <f aca="false">(N95-(1/6))/(10/6)</f>
        <v>0.2</v>
      </c>
      <c r="P95" s="17" t="n">
        <v>7</v>
      </c>
      <c r="Q95" s="19" t="n">
        <f aca="false">IF(F95=1,(((1-((P95-3)/12))*0.5)+0.5),((P95/15)*0.5))</f>
        <v>0.233333333333333</v>
      </c>
      <c r="R95" s="1" t="n">
        <v>1</v>
      </c>
      <c r="S95" s="17" t="n">
        <v>1</v>
      </c>
      <c r="T95" s="1" t="n">
        <v>0</v>
      </c>
      <c r="U95" s="19" t="n">
        <f aca="false">IFERROR(T95/S95, 1)</f>
        <v>0</v>
      </c>
      <c r="V95" s="20" t="n">
        <v>0</v>
      </c>
      <c r="W95" s="21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40" t="n">
        <v>46076</v>
      </c>
      <c r="B96" s="23" t="n">
        <v>24</v>
      </c>
      <c r="C96" s="23" t="s">
        <v>28</v>
      </c>
      <c r="D96" s="23" t="s">
        <v>44</v>
      </c>
      <c r="E96" s="24" t="n">
        <v>4</v>
      </c>
      <c r="F96" s="25" t="n">
        <v>0</v>
      </c>
      <c r="G96" s="23" t="n">
        <v>3</v>
      </c>
      <c r="H96" s="23" t="n">
        <v>4</v>
      </c>
      <c r="I96" s="23" t="n">
        <v>0</v>
      </c>
      <c r="J96" s="23" t="n">
        <f aca="false">F96-(1/H96)</f>
        <v>-0.25</v>
      </c>
      <c r="K96" s="23" t="n">
        <f aca="false">((I96-((H96-1)/H96))-(-5/6))/((5-(5/6))-(-5/6))</f>
        <v>0.0166666666666667</v>
      </c>
      <c r="L96" s="23" t="n">
        <f aca="false">E96-((E93+E94+E95)/3)</f>
        <v>1.33333333333333</v>
      </c>
      <c r="M96" s="26" t="n">
        <f aca="false">0.5 + (L96 * 0.09)</f>
        <v>0.62</v>
      </c>
      <c r="N96" s="23" t="n">
        <f aca="false">((H96-(G96-1))/H96)*(IF(I96&lt;&gt;0,(I96+H96)/H96,1))</f>
        <v>0.5</v>
      </c>
      <c r="O96" s="27" t="n">
        <f aca="false">(N96-(1/6))/(10/6)</f>
        <v>0.2</v>
      </c>
      <c r="P96" s="25" t="n">
        <v>7</v>
      </c>
      <c r="Q96" s="27" t="n">
        <f aca="false">IF(F96=1,(((1-((P96-3)/12))*0.5)+0.5),((P96/15)*0.5))</f>
        <v>0.233333333333333</v>
      </c>
      <c r="R96" s="23" t="n">
        <v>0</v>
      </c>
      <c r="S96" s="25" t="n">
        <v>0</v>
      </c>
      <c r="T96" s="23" t="n">
        <v>0</v>
      </c>
      <c r="U96" s="27" t="n">
        <f aca="false">IFERROR(T96/S96, 1)</f>
        <v>1</v>
      </c>
      <c r="V96" s="28" t="n">
        <v>0</v>
      </c>
      <c r="W96" s="29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1" t="n">
        <v>46080</v>
      </c>
      <c r="B97" s="1" t="n">
        <v>25</v>
      </c>
      <c r="C97" s="15" t="s">
        <v>38</v>
      </c>
      <c r="D97" s="15" t="s">
        <v>64</v>
      </c>
      <c r="E97" s="16" t="n">
        <v>3</v>
      </c>
      <c r="F97" s="17" t="n">
        <v>1</v>
      </c>
      <c r="G97" s="1" t="n">
        <v>1</v>
      </c>
      <c r="H97" s="1" t="n">
        <v>5</v>
      </c>
      <c r="I97" s="1" t="n">
        <v>1</v>
      </c>
      <c r="J97" s="15" t="n">
        <f aca="false">F97-(1/H97)</f>
        <v>0.8</v>
      </c>
      <c r="K97" s="15" t="n">
        <f aca="false">((I97-((H97-1)/H97))-(-5/6))/((5-(5/6))-(-5/6))</f>
        <v>0.206666666666667</v>
      </c>
      <c r="L97" s="35" t="n">
        <f aca="false">E97-((E98+E99+E100+E101)/4)</f>
        <v>0.25</v>
      </c>
      <c r="M97" s="42" t="n">
        <f aca="false">0.5 + (L97 * 0.09)</f>
        <v>0.5225</v>
      </c>
      <c r="N97" s="15" t="n">
        <f aca="false">((H97-(G97-1))/H97)*(IF(I97&lt;&gt;0,(I97+H97)/H97,1))</f>
        <v>1.2</v>
      </c>
      <c r="O97" s="19" t="n">
        <f aca="false">(N97-(1/6))/(10/6)</f>
        <v>0.62</v>
      </c>
      <c r="P97" s="17" t="n">
        <v>10</v>
      </c>
      <c r="Q97" s="19" t="n">
        <f aca="false">IF(F97=1,(((1-((P97-3)/12))*0.5)+0.5),((P97/15)*0.5))</f>
        <v>0.708333333333333</v>
      </c>
      <c r="R97" s="1" t="n">
        <v>1</v>
      </c>
      <c r="S97" s="17" t="n">
        <v>1</v>
      </c>
      <c r="T97" s="1" t="n">
        <v>0</v>
      </c>
      <c r="U97" s="19" t="n">
        <f aca="false">IFERROR(T97/S97, 1)</f>
        <v>0</v>
      </c>
      <c r="V97" s="20" t="n">
        <v>0</v>
      </c>
      <c r="W97" s="21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1" t="n">
        <v>46080</v>
      </c>
      <c r="B98" s="1" t="n">
        <v>25</v>
      </c>
      <c r="C98" s="15" t="s">
        <v>32</v>
      </c>
      <c r="D98" s="15" t="s">
        <v>36</v>
      </c>
      <c r="E98" s="16" t="n">
        <v>2</v>
      </c>
      <c r="F98" s="17" t="n">
        <v>0</v>
      </c>
      <c r="G98" s="1" t="n">
        <v>2</v>
      </c>
      <c r="H98" s="1" t="n">
        <v>5</v>
      </c>
      <c r="I98" s="1" t="n">
        <v>2</v>
      </c>
      <c r="J98" s="15" t="n">
        <f aca="false">F98-(1/H98)</f>
        <v>-0.2</v>
      </c>
      <c r="K98" s="15" t="n">
        <f aca="false">((I98-((H98-1)/H98))-(-5/6))/((5-(5/6))-(-5/6))</f>
        <v>0.406666666666667</v>
      </c>
      <c r="L98" s="15" t="n">
        <f aca="false">E98-((E97+E99+E100+E101)/4)</f>
        <v>-1</v>
      </c>
      <c r="M98" s="18" t="n">
        <f aca="false">0.5 + (L98 * 0.09)</f>
        <v>0.41</v>
      </c>
      <c r="N98" s="15" t="n">
        <f aca="false">((H98-(G98-1))/H98)*(IF(I98&lt;&gt;0,(I98+H98)/H98,1))</f>
        <v>1.12</v>
      </c>
      <c r="O98" s="19" t="n">
        <f aca="false">(N98-(1/6))/(10/6)</f>
        <v>0.572</v>
      </c>
      <c r="P98" s="17" t="n">
        <v>10</v>
      </c>
      <c r="Q98" s="19" t="n">
        <f aca="false">IF(F98=1,(((1-((P98-3)/12))*0.5)+0.5),((P98/15)*0.5))</f>
        <v>0.333333333333333</v>
      </c>
      <c r="R98" s="1" t="n">
        <v>0</v>
      </c>
      <c r="S98" s="17" t="n">
        <v>1</v>
      </c>
      <c r="T98" s="1" t="n">
        <v>1</v>
      </c>
      <c r="U98" s="19" t="n">
        <f aca="false">IFERROR(T98/S98, 1)</f>
        <v>1</v>
      </c>
      <c r="V98" s="20" t="n">
        <v>1</v>
      </c>
      <c r="W98" s="21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1" t="n">
        <v>46080</v>
      </c>
      <c r="B99" s="1" t="n">
        <v>25</v>
      </c>
      <c r="C99" s="15" t="s">
        <v>30</v>
      </c>
      <c r="D99" s="15" t="s">
        <v>34</v>
      </c>
      <c r="E99" s="16" t="n">
        <v>3</v>
      </c>
      <c r="F99" s="17" t="n">
        <v>0</v>
      </c>
      <c r="G99" s="1" t="n">
        <v>3</v>
      </c>
      <c r="H99" s="1" t="n">
        <v>5</v>
      </c>
      <c r="I99" s="1" t="n">
        <v>0</v>
      </c>
      <c r="J99" s="15" t="n">
        <f aca="false">F99-(1/H99)</f>
        <v>-0.2</v>
      </c>
      <c r="K99" s="15" t="n">
        <f aca="false">((I99-((H99-1)/H99))-(-5/6))/((5-(5/6))-(-5/6))</f>
        <v>0.00666666666666667</v>
      </c>
      <c r="L99" s="15" t="n">
        <f aca="false">E99-((E97+E98+E100+E101)/4)</f>
        <v>0.25</v>
      </c>
      <c r="M99" s="18" t="n">
        <f aca="false">0.5 + (L99 * 0.09)</f>
        <v>0.5225</v>
      </c>
      <c r="N99" s="15" t="n">
        <f aca="false">((H99-(G99-1))/H99)*(IF(I99&lt;&gt;0,(I99+H99)/H99,1))</f>
        <v>0.6</v>
      </c>
      <c r="O99" s="19" t="n">
        <f aca="false">(N99-(1/6))/(10/6)</f>
        <v>0.26</v>
      </c>
      <c r="P99" s="17" t="n">
        <v>9</v>
      </c>
      <c r="Q99" s="19" t="n">
        <f aca="false">IF(F99=1,(((1-((P99-3)/12))*0.5)+0.5),((P99/15)*0.5))</f>
        <v>0.3</v>
      </c>
      <c r="R99" s="1" t="n">
        <v>0</v>
      </c>
      <c r="S99" s="17" t="n">
        <v>2</v>
      </c>
      <c r="T99" s="1" t="n">
        <v>1</v>
      </c>
      <c r="U99" s="19" t="n">
        <f aca="false">IFERROR(T99/S99, 1)</f>
        <v>0.5</v>
      </c>
      <c r="V99" s="20" t="n">
        <v>0</v>
      </c>
      <c r="W99" s="21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1" t="n">
        <v>46080</v>
      </c>
      <c r="B100" s="1" t="n">
        <v>25</v>
      </c>
      <c r="C100" s="15" t="s">
        <v>28</v>
      </c>
      <c r="D100" s="15" t="s">
        <v>65</v>
      </c>
      <c r="E100" s="16" t="n">
        <v>2</v>
      </c>
      <c r="F100" s="17" t="n">
        <v>0</v>
      </c>
      <c r="G100" s="1" t="n">
        <v>4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E100-((E97+E98+E99+E101)/4)</f>
        <v>-1</v>
      </c>
      <c r="M100" s="18" t="n">
        <f aca="false">0.5 + (L100 * 0.09)</f>
        <v>0.41</v>
      </c>
      <c r="N100" s="15" t="n">
        <f aca="false">((H100-(G100-1))/H100)*(IF(I100&lt;&gt;0,(I100+H100)/H100,1))</f>
        <v>0.4</v>
      </c>
      <c r="O100" s="19" t="n">
        <f aca="false">(N100-(1/6))/(10/6)</f>
        <v>0.14</v>
      </c>
      <c r="P100" s="17" t="n">
        <v>8</v>
      </c>
      <c r="Q100" s="19" t="n">
        <f aca="false">IF(F100=1,(((1-((P100-3)/12))*0.5)+0.5),((P100/15)*0.5))</f>
        <v>0.266666666666667</v>
      </c>
      <c r="R100" s="1" t="n">
        <v>1</v>
      </c>
      <c r="S100" s="17" t="n">
        <v>2</v>
      </c>
      <c r="T100" s="1" t="n">
        <v>1</v>
      </c>
      <c r="U100" s="19" t="n">
        <f aca="false">IFERROR(T100/S100, 1)</f>
        <v>0.5</v>
      </c>
      <c r="V100" s="20" t="n">
        <v>1</v>
      </c>
      <c r="W100" s="21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40" t="n">
        <v>46080</v>
      </c>
      <c r="B101" s="23" t="n">
        <v>25</v>
      </c>
      <c r="C101" s="23" t="s">
        <v>26</v>
      </c>
      <c r="D101" s="23" t="s">
        <v>27</v>
      </c>
      <c r="E101" s="24" t="n">
        <v>4</v>
      </c>
      <c r="F101" s="25" t="n">
        <v>0</v>
      </c>
      <c r="G101" s="23" t="n">
        <v>5</v>
      </c>
      <c r="H101" s="23" t="n">
        <v>5</v>
      </c>
      <c r="I101" s="23" t="n">
        <v>1</v>
      </c>
      <c r="J101" s="23" t="n">
        <f aca="false">F101-(1/H101)</f>
        <v>-0.2</v>
      </c>
      <c r="K101" s="23" t="n">
        <f aca="false">((I101-((H101-1)/H101))-(-5/6))/((5-(5/6))-(-5/6))</f>
        <v>0.206666666666667</v>
      </c>
      <c r="L101" s="23" t="n">
        <f aca="false">E101-((E97+E98+E99+E100)/4)</f>
        <v>1.5</v>
      </c>
      <c r="M101" s="26" t="n">
        <f aca="false">0.5 + (L101 * 0.09)</f>
        <v>0.635</v>
      </c>
      <c r="N101" s="23" t="n">
        <f aca="false">((H101-(G101-1))/H101)*(IF(I101&lt;&gt;0,(I101+H101)/H101,1))</f>
        <v>0.24</v>
      </c>
      <c r="O101" s="27" t="n">
        <f aca="false">(N101-(1/6))/(10/6)</f>
        <v>0.044</v>
      </c>
      <c r="P101" s="25" t="n">
        <v>7</v>
      </c>
      <c r="Q101" s="27" t="n">
        <f aca="false">IF(F101=1,(((1-((P101-3)/12))*0.5)+0.5),((P101/15)*0.5))</f>
        <v>0.233333333333333</v>
      </c>
      <c r="R101" s="23" t="n">
        <v>0</v>
      </c>
      <c r="S101" s="25" t="n">
        <v>0</v>
      </c>
      <c r="T101" s="23" t="n">
        <v>0</v>
      </c>
      <c r="U101" s="27" t="n">
        <f aca="false">IFERROR(T101/S101, 1)</f>
        <v>1</v>
      </c>
      <c r="V101" s="28" t="n">
        <v>0</v>
      </c>
      <c r="W101" s="29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1" t="n">
        <v>46080</v>
      </c>
      <c r="B102" s="1" t="n">
        <v>26</v>
      </c>
      <c r="C102" s="15" t="s">
        <v>28</v>
      </c>
      <c r="D102" s="15" t="s">
        <v>47</v>
      </c>
      <c r="E102" s="16" t="n">
        <v>3</v>
      </c>
      <c r="F102" s="17" t="n">
        <v>1</v>
      </c>
      <c r="G102" s="1" t="n">
        <v>1</v>
      </c>
      <c r="H102" s="1" t="n">
        <v>5</v>
      </c>
      <c r="I102" s="1" t="n">
        <v>1</v>
      </c>
      <c r="J102" s="15" t="n">
        <f aca="false">F102-(1/H102)</f>
        <v>0.8</v>
      </c>
      <c r="K102" s="15" t="n">
        <f aca="false">((I102-((H102-1)/H102))-(-5/6))/((5-(5/6))-(-5/6))</f>
        <v>0.206666666666667</v>
      </c>
      <c r="L102" s="35" t="n">
        <f aca="false">E102-((E103+E104+E105+E106)/4)</f>
        <v>0.75</v>
      </c>
      <c r="M102" s="42" t="n">
        <f aca="false">0.5 + (L102 * 0.09)</f>
        <v>0.5675</v>
      </c>
      <c r="N102" s="15" t="n">
        <f aca="false">((H102-(G102-1))/H102)*(IF(I102&lt;&gt;0,(I102+H102)/H102,1))</f>
        <v>1.2</v>
      </c>
      <c r="O102" s="19" t="n">
        <f aca="false">(N102-(1/6))/(10/6)</f>
        <v>0.62</v>
      </c>
      <c r="P102" s="17" t="n">
        <v>12</v>
      </c>
      <c r="Q102" s="19" t="n">
        <f aca="false">IF(F102=1,(((1-((P102-3)/12))*0.5)+0.5),((P102/15)*0.5))</f>
        <v>0.625</v>
      </c>
      <c r="R102" s="1" t="n">
        <v>1</v>
      </c>
      <c r="S102" s="17" t="n">
        <v>1</v>
      </c>
      <c r="T102" s="1" t="n">
        <v>0</v>
      </c>
      <c r="U102" s="19" t="n">
        <f aca="false">IFERROR(T102/S102, 1)</f>
        <v>0</v>
      </c>
      <c r="V102" s="20" t="n">
        <v>0</v>
      </c>
      <c r="W102" s="21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1" t="n">
        <v>46080</v>
      </c>
      <c r="B103" s="1" t="n">
        <v>26</v>
      </c>
      <c r="C103" s="15" t="s">
        <v>26</v>
      </c>
      <c r="D103" s="15" t="s">
        <v>45</v>
      </c>
      <c r="E103" s="16" t="n">
        <v>2</v>
      </c>
      <c r="F103" s="17" t="n">
        <v>0</v>
      </c>
      <c r="G103" s="1" t="n">
        <v>2</v>
      </c>
      <c r="H103" s="1" t="n">
        <v>5</v>
      </c>
      <c r="I103" s="1" t="n">
        <v>0</v>
      </c>
      <c r="J103" s="15" t="n">
        <f aca="false">F103-(1/H103)</f>
        <v>-0.2</v>
      </c>
      <c r="K103" s="15" t="n">
        <f aca="false">((I103-((H103-1)/H103))-(-5/6))/((5-(5/6))-(-5/6))</f>
        <v>0.00666666666666667</v>
      </c>
      <c r="L103" s="15" t="n">
        <f aca="false">E103-((E102+E104+E105+E106)/4)</f>
        <v>-0.5</v>
      </c>
      <c r="M103" s="18" t="n">
        <f aca="false">0.5 + (L103 * 0.09)</f>
        <v>0.455</v>
      </c>
      <c r="N103" s="15" t="n">
        <f aca="false">((H103-(G103-1))/H103)*(IF(I103&lt;&gt;0,(I103+H103)/H103,1))</f>
        <v>0.8</v>
      </c>
      <c r="O103" s="19" t="n">
        <f aca="false">(N103-(1/6))/(10/6)</f>
        <v>0.38</v>
      </c>
      <c r="P103" s="17" t="n">
        <v>12</v>
      </c>
      <c r="Q103" s="19" t="n">
        <f aca="false">IF(F103=1,(((1-((P103-3)/12))*0.5)+0.5),((P103/15)*0.5))</f>
        <v>0.4</v>
      </c>
      <c r="R103" s="1" t="n">
        <v>1</v>
      </c>
      <c r="S103" s="17" t="n">
        <v>2</v>
      </c>
      <c r="T103" s="1" t="n">
        <v>1</v>
      </c>
      <c r="U103" s="19" t="n">
        <f aca="false">IFERROR(T103/S103, 1)</f>
        <v>0.5</v>
      </c>
      <c r="V103" s="20" t="n">
        <v>0</v>
      </c>
      <c r="W103" s="21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1" t="n">
        <v>46080</v>
      </c>
      <c r="B104" s="1" t="n">
        <v>26</v>
      </c>
      <c r="C104" s="15" t="s">
        <v>32</v>
      </c>
      <c r="D104" s="15" t="s">
        <v>43</v>
      </c>
      <c r="E104" s="16" t="n">
        <v>2</v>
      </c>
      <c r="F104" s="17" t="n">
        <v>0</v>
      </c>
      <c r="G104" s="1" t="n">
        <v>3</v>
      </c>
      <c r="H104" s="1" t="n">
        <v>5</v>
      </c>
      <c r="I104" s="1" t="n">
        <v>2</v>
      </c>
      <c r="J104" s="15" t="n">
        <f aca="false">F104-(1/H104)</f>
        <v>-0.2</v>
      </c>
      <c r="K104" s="15" t="n">
        <f aca="false">((I104-((H104-1)/H104))-(-5/6))/((5-(5/6))-(-5/6))</f>
        <v>0.406666666666667</v>
      </c>
      <c r="L104" s="15" t="n">
        <f aca="false">E104-((E102+E103+E105+E106)/4)</f>
        <v>-0.5</v>
      </c>
      <c r="M104" s="18" t="n">
        <f aca="false">0.5 + (L104 * 0.09)</f>
        <v>0.455</v>
      </c>
      <c r="N104" s="15" t="n">
        <f aca="false">((H104-(G104-1))/H104)*(IF(I104&lt;&gt;0,(I104+H104)/H104,1))</f>
        <v>0.84</v>
      </c>
      <c r="O104" s="19" t="n">
        <f aca="false">(N104-(1/6))/(10/6)</f>
        <v>0.404</v>
      </c>
      <c r="P104" s="17" t="n">
        <v>8</v>
      </c>
      <c r="Q104" s="19" t="n">
        <f aca="false">IF(F104=1,(((1-((P104-3)/12))*0.5)+0.5),((P104/15)*0.5))</f>
        <v>0.266666666666667</v>
      </c>
      <c r="R104" s="1" t="n">
        <v>1</v>
      </c>
      <c r="S104" s="17" t="n">
        <v>1</v>
      </c>
      <c r="T104" s="1" t="n">
        <v>0</v>
      </c>
      <c r="U104" s="19" t="n">
        <f aca="false">IFERROR(T104/S104, 1)</f>
        <v>0</v>
      </c>
      <c r="V104" s="20" t="n">
        <v>0</v>
      </c>
      <c r="W104" s="21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1" t="n">
        <v>46080</v>
      </c>
      <c r="B105" s="1" t="n">
        <v>26</v>
      </c>
      <c r="C105" s="15" t="s">
        <v>30</v>
      </c>
      <c r="D105" s="15" t="s">
        <v>66</v>
      </c>
      <c r="E105" s="16" t="n">
        <v>2</v>
      </c>
      <c r="F105" s="17" t="n">
        <v>0</v>
      </c>
      <c r="G105" s="1" t="n">
        <v>3</v>
      </c>
      <c r="H105" s="1" t="n">
        <v>5</v>
      </c>
      <c r="I105" s="1" t="n">
        <v>0</v>
      </c>
      <c r="J105" s="15" t="n">
        <f aca="false">F105-(1/H105)</f>
        <v>-0.2</v>
      </c>
      <c r="K105" s="15" t="n">
        <f aca="false">((I105-((H105-1)/H105))-(-5/6))/((5-(5/6))-(-5/6))</f>
        <v>0.00666666666666667</v>
      </c>
      <c r="L105" s="15" t="n">
        <f aca="false">E105-((E102+E103+E104+E106)/4)</f>
        <v>-0.5</v>
      </c>
      <c r="M105" s="18" t="n">
        <f aca="false">0.5 + (L105 * 0.09)</f>
        <v>0.455</v>
      </c>
      <c r="N105" s="15" t="n">
        <f aca="false">((H105-(G105-1))/H105)*(IF(I105&lt;&gt;0,(I105+H105)/H105,1))</f>
        <v>0.6</v>
      </c>
      <c r="O105" s="19" t="n">
        <f aca="false">(N105-(1/6))/(10/6)</f>
        <v>0.26</v>
      </c>
      <c r="P105" s="17" t="n">
        <v>8</v>
      </c>
      <c r="Q105" s="19" t="n">
        <f aca="false">IF(F105=1,(((1-((P105-3)/12))*0.5)+0.5),((P105/15)*0.5))</f>
        <v>0.266666666666667</v>
      </c>
      <c r="R105" s="1" t="n">
        <v>1</v>
      </c>
      <c r="S105" s="17" t="n">
        <v>1</v>
      </c>
      <c r="T105" s="1" t="n">
        <v>0</v>
      </c>
      <c r="U105" s="19" t="n">
        <f aca="false">IFERROR(T105/S105, 1)</f>
        <v>0</v>
      </c>
      <c r="V105" s="20" t="n">
        <v>0</v>
      </c>
      <c r="W105" s="21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40" t="n">
        <v>46080</v>
      </c>
      <c r="B106" s="23" t="n">
        <v>26</v>
      </c>
      <c r="C106" s="23" t="s">
        <v>38</v>
      </c>
      <c r="D106" s="23" t="s">
        <v>63</v>
      </c>
      <c r="E106" s="24" t="n">
        <v>3</v>
      </c>
      <c r="F106" s="25" t="n">
        <v>0</v>
      </c>
      <c r="G106" s="23" t="n">
        <v>3</v>
      </c>
      <c r="H106" s="23" t="n">
        <v>5</v>
      </c>
      <c r="I106" s="23" t="n">
        <v>1</v>
      </c>
      <c r="J106" s="23" t="n">
        <f aca="false">F106-(1/H106)</f>
        <v>-0.2</v>
      </c>
      <c r="K106" s="23" t="n">
        <f aca="false">((I106-((H106-1)/H106))-(-5/6))/((5-(5/6))-(-5/6))</f>
        <v>0.206666666666667</v>
      </c>
      <c r="L106" s="23" t="n">
        <f aca="false">E106-((E102+E103+E104+E105)/4)</f>
        <v>0.75</v>
      </c>
      <c r="M106" s="26" t="n">
        <f aca="false">0.5 + (L106 * 0.09)</f>
        <v>0.5675</v>
      </c>
      <c r="N106" s="23" t="n">
        <f aca="false">((H106-(G106-1))/H106)*(IF(I106&lt;&gt;0,(I106+H106)/H106,1))</f>
        <v>0.72</v>
      </c>
      <c r="O106" s="27" t="n">
        <f aca="false">(N106-(1/6))/(10/6)</f>
        <v>0.332</v>
      </c>
      <c r="P106" s="25" t="n">
        <v>8</v>
      </c>
      <c r="Q106" s="27" t="n">
        <f aca="false">IF(F106=1,(((1-((P106-3)/12))*0.5)+0.5),((P106/15)*0.5))</f>
        <v>0.266666666666667</v>
      </c>
      <c r="R106" s="23" t="n">
        <v>0</v>
      </c>
      <c r="S106" s="25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9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1" t="n">
        <v>46087</v>
      </c>
      <c r="B107" s="1" t="n">
        <v>27</v>
      </c>
      <c r="C107" s="15" t="s">
        <v>32</v>
      </c>
      <c r="D107" s="15" t="s">
        <v>33</v>
      </c>
      <c r="E107" s="16" t="n">
        <v>2</v>
      </c>
      <c r="F107" s="17" t="n">
        <v>1</v>
      </c>
      <c r="G107" s="1" t="n">
        <v>1</v>
      </c>
      <c r="H107" s="1" t="n">
        <v>4</v>
      </c>
      <c r="I107" s="1" t="n">
        <v>1</v>
      </c>
      <c r="J107" s="15" t="n">
        <f aca="false">F107-(1/H107)</f>
        <v>0.75</v>
      </c>
      <c r="K107" s="15" t="n">
        <f aca="false">((I107-((H107-1)/H107))-(-5/6))/((5-(5/6))-(-5/6))</f>
        <v>0.216666666666667</v>
      </c>
      <c r="L107" s="15" t="n">
        <f aca="false">E107-((E108+E109+E110)/3)</f>
        <v>-0.666666666666667</v>
      </c>
      <c r="M107" s="18" t="n">
        <f aca="false">0.5 + (L107 * 0.09)</f>
        <v>0.44</v>
      </c>
      <c r="N107" s="15" t="n">
        <f aca="false">((H107-(G107-1))/H107)*(IF(I107&lt;&gt;0,(I107+H107)/H107,1))</f>
        <v>1.25</v>
      </c>
      <c r="O107" s="19" t="n">
        <f aca="false">(N107-(1/6))/(10/6)</f>
        <v>0.65</v>
      </c>
      <c r="P107" s="17" t="n">
        <v>8</v>
      </c>
      <c r="Q107" s="19" t="n">
        <f aca="false">IF(F107=1,(((1-((P107-3)/12))*0.5)+0.5),((P107/15)*0.5))</f>
        <v>0.791666666666667</v>
      </c>
      <c r="R107" s="1" t="n">
        <v>1</v>
      </c>
      <c r="S107" s="17" t="n">
        <v>0</v>
      </c>
      <c r="T107" s="1" t="n">
        <v>0</v>
      </c>
      <c r="U107" s="19" t="n">
        <f aca="false">IFERROR(T107/S107, 1)</f>
        <v>1</v>
      </c>
      <c r="V107" s="20" t="n">
        <v>0</v>
      </c>
      <c r="W107" s="21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1" t="n">
        <v>46087</v>
      </c>
      <c r="B108" s="1" t="n">
        <v>27</v>
      </c>
      <c r="C108" s="15" t="s">
        <v>51</v>
      </c>
      <c r="D108" s="15" t="s">
        <v>52</v>
      </c>
      <c r="E108" s="16" t="n">
        <v>2</v>
      </c>
      <c r="F108" s="17" t="n">
        <v>0</v>
      </c>
      <c r="G108" s="1" t="n">
        <v>2</v>
      </c>
      <c r="H108" s="1" t="n">
        <v>4</v>
      </c>
      <c r="I108" s="1" t="n">
        <v>2</v>
      </c>
      <c r="J108" s="15" t="n">
        <f aca="false">F108-(1/H108)</f>
        <v>-0.25</v>
      </c>
      <c r="K108" s="15" t="n">
        <f aca="false">((I108-((H108-1)/H108))-(-5/6))/((5-(5/6))-(-5/6))</f>
        <v>0.416666666666667</v>
      </c>
      <c r="L108" s="15" t="n">
        <f aca="false">E108-((E107+E109+E110)/3)</f>
        <v>-0.666666666666667</v>
      </c>
      <c r="M108" s="18" t="n">
        <f aca="false">0.5 + (L108 * 0.09)</f>
        <v>0.44</v>
      </c>
      <c r="N108" s="15" t="n">
        <f aca="false">((H108-(G108-1))/H108)*(IF(I108&lt;&gt;0,(I108+H108)/H108,1))</f>
        <v>1.125</v>
      </c>
      <c r="O108" s="19" t="n">
        <f aca="false">(N108-(1/6))/(10/6)</f>
        <v>0.575</v>
      </c>
      <c r="P108" s="17" t="n">
        <v>8</v>
      </c>
      <c r="Q108" s="19" t="n">
        <f aca="false">IF(F108=1,(((1-((P108-3)/12))*0.5)+0.5),((P108/15)*0.5))</f>
        <v>0.266666666666667</v>
      </c>
      <c r="R108" s="1" t="n">
        <v>1</v>
      </c>
      <c r="S108" s="17" t="n">
        <v>0</v>
      </c>
      <c r="T108" s="1" t="n">
        <v>0</v>
      </c>
      <c r="U108" s="19" t="n">
        <f aca="false">IFERROR(T108/S108, 1)</f>
        <v>1</v>
      </c>
      <c r="V108" s="20" t="n">
        <v>0</v>
      </c>
      <c r="W108" s="21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1" t="n">
        <v>46087</v>
      </c>
      <c r="B109" s="1" t="n">
        <v>27</v>
      </c>
      <c r="C109" s="15" t="s">
        <v>30</v>
      </c>
      <c r="D109" s="15" t="s">
        <v>66</v>
      </c>
      <c r="E109" s="16" t="n">
        <v>2</v>
      </c>
      <c r="F109" s="17" t="n">
        <v>0</v>
      </c>
      <c r="G109" s="1" t="n">
        <v>3</v>
      </c>
      <c r="H109" s="1" t="n">
        <v>4</v>
      </c>
      <c r="I109" s="1" t="n">
        <v>0</v>
      </c>
      <c r="J109" s="15" t="n">
        <f aca="false">F109-(1/H109)</f>
        <v>-0.25</v>
      </c>
      <c r="K109" s="15" t="n">
        <f aca="false">((I109-((H109-1)/H109))-(-5/6))/((5-(5/6))-(-5/6))</f>
        <v>0.0166666666666667</v>
      </c>
      <c r="L109" s="15" t="n">
        <f aca="false">E109-((E107+E108+E110)/3)</f>
        <v>-0.666666666666667</v>
      </c>
      <c r="M109" s="18" t="n">
        <f aca="false">0.5 + (L109 * 0.09)</f>
        <v>0.44</v>
      </c>
      <c r="N109" s="15" t="n">
        <f aca="false">((H109-(G109-1))/H109)*(IF(I109&lt;&gt;0,(I109+H109)/H109,1))</f>
        <v>0.5</v>
      </c>
      <c r="O109" s="19" t="n">
        <f aca="false">(N109-(1/6))/(10/6)</f>
        <v>0.2</v>
      </c>
      <c r="P109" s="17" t="n">
        <v>8</v>
      </c>
      <c r="Q109" s="19" t="n">
        <f aca="false">IF(F109=1,(((1-((P109-3)/12))*0.5)+0.5),((P109/15)*0.5))</f>
        <v>0.266666666666667</v>
      </c>
      <c r="R109" s="1" t="n">
        <v>1</v>
      </c>
      <c r="S109" s="17" t="n">
        <v>0</v>
      </c>
      <c r="T109" s="1" t="n">
        <v>0</v>
      </c>
      <c r="U109" s="19" t="n">
        <f aca="false">IFERROR(T109/S109, 1)</f>
        <v>1</v>
      </c>
      <c r="V109" s="20" t="n">
        <v>0</v>
      </c>
      <c r="W109" s="21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40" t="n">
        <v>46087</v>
      </c>
      <c r="B110" s="23" t="n">
        <v>27</v>
      </c>
      <c r="C110" s="23" t="s">
        <v>26</v>
      </c>
      <c r="D110" s="23" t="s">
        <v>27</v>
      </c>
      <c r="E110" s="24" t="n">
        <v>4</v>
      </c>
      <c r="F110" s="25" t="n">
        <v>0</v>
      </c>
      <c r="G110" s="23" t="n">
        <v>4</v>
      </c>
      <c r="H110" s="23" t="n">
        <v>4</v>
      </c>
      <c r="I110" s="23" t="n">
        <v>0</v>
      </c>
      <c r="J110" s="23" t="n">
        <f aca="false">F110-(1/H110)</f>
        <v>-0.25</v>
      </c>
      <c r="K110" s="23" t="n">
        <f aca="false">((I110-((H110-1)/H110))-(-5/6))/((5-(5/6))-(-5/6))</f>
        <v>0.0166666666666667</v>
      </c>
      <c r="L110" s="23" t="n">
        <f aca="false">E110-((E107+E108+E109)/3)</f>
        <v>2</v>
      </c>
      <c r="M110" s="26" t="n">
        <f aca="false">0.5 + (L110 * 0.09)</f>
        <v>0.68</v>
      </c>
      <c r="N110" s="23" t="n">
        <f aca="false">((H110-(G110-1))/H110)*(IF(I110&lt;&gt;0,(I110+H110)/H110,1))</f>
        <v>0.25</v>
      </c>
      <c r="O110" s="27" t="n">
        <f aca="false">(N110-(1/6))/(10/6)</f>
        <v>0.05</v>
      </c>
      <c r="P110" s="25" t="n">
        <v>7</v>
      </c>
      <c r="Q110" s="27" t="n">
        <f aca="false">IF(F110=1,(((1-((P110-3)/12))*0.5)+0.5),((P110/15)*0.5))</f>
        <v>0.233333333333333</v>
      </c>
      <c r="R110" s="23" t="n">
        <v>0</v>
      </c>
      <c r="S110" s="25" t="n">
        <v>0</v>
      </c>
      <c r="T110" s="23" t="n">
        <v>0</v>
      </c>
      <c r="U110" s="27" t="n">
        <f aca="false">IFERROR(T110/S110, 1)</f>
        <v>1</v>
      </c>
      <c r="V110" s="28" t="n">
        <v>0</v>
      </c>
      <c r="W110" s="29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1" t="n">
        <v>46096</v>
      </c>
      <c r="B111" s="1" t="n">
        <v>28</v>
      </c>
      <c r="C111" s="15" t="s">
        <v>28</v>
      </c>
      <c r="D111" s="15" t="s">
        <v>67</v>
      </c>
      <c r="E111" s="16" t="n">
        <v>4</v>
      </c>
      <c r="F111" s="17" t="n">
        <v>1</v>
      </c>
      <c r="G111" s="1" t="n">
        <v>1</v>
      </c>
      <c r="H111" s="1" t="n">
        <v>3</v>
      </c>
      <c r="I111" s="1" t="n">
        <v>2</v>
      </c>
      <c r="J111" s="15" t="n">
        <f aca="false">F111-(1/H111)</f>
        <v>0.666666666666667</v>
      </c>
      <c r="K111" s="15" t="n">
        <f aca="false">((I111-((H111-1)/H111))-(-5/6))/((5-(5/6))-(-5/6))</f>
        <v>0.433333333333333</v>
      </c>
      <c r="L111" s="16" t="n">
        <f aca="false">E111-((E112+E113)/2)</f>
        <v>1.5</v>
      </c>
      <c r="M111" s="18" t="n">
        <f aca="false">0.5 + (L111 * 0.09)</f>
        <v>0.635</v>
      </c>
      <c r="N111" s="15" t="n">
        <f aca="false">((H111-(G111-1))/H111)*(IF(I111&lt;&gt;0,(I111+H111)/H111,1))</f>
        <v>1.66666666666667</v>
      </c>
      <c r="O111" s="19" t="n">
        <f aca="false">(N111-(1/6))/(10/6)</f>
        <v>0.9</v>
      </c>
      <c r="P111" s="17" t="n">
        <v>7</v>
      </c>
      <c r="Q111" s="19" t="n">
        <f aca="false">IF(F111=1,(((1-((P111-3)/12))*0.5)+0.5),((P111/15)*0.5))</f>
        <v>0.833333333333333</v>
      </c>
      <c r="R111" s="1" t="n">
        <v>1</v>
      </c>
      <c r="S111" s="17" t="n">
        <v>0</v>
      </c>
      <c r="T111" s="1" t="n">
        <v>0</v>
      </c>
      <c r="U111" s="19" t="n">
        <f aca="false">IFERROR(T111/S111, 1)</f>
        <v>1</v>
      </c>
      <c r="V111" s="20" t="n">
        <v>0</v>
      </c>
      <c r="W111" s="21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1" t="n">
        <v>46096</v>
      </c>
      <c r="B112" s="1" t="n">
        <v>28</v>
      </c>
      <c r="C112" s="15" t="s">
        <v>32</v>
      </c>
      <c r="D112" s="15" t="s">
        <v>61</v>
      </c>
      <c r="E112" s="16" t="n">
        <v>2</v>
      </c>
      <c r="F112" s="17" t="n">
        <v>0</v>
      </c>
      <c r="G112" s="1" t="n">
        <v>2</v>
      </c>
      <c r="H112" s="1" t="n">
        <v>3</v>
      </c>
      <c r="I112" s="1" t="n">
        <v>0</v>
      </c>
      <c r="J112" s="15" t="n">
        <f aca="false">F112-(1/H112)</f>
        <v>-0.333333333333333</v>
      </c>
      <c r="K112" s="15" t="n">
        <f aca="false">((I112-((H112-1)/H112))-(-5/6))/((5-(5/6))-(-5/6))</f>
        <v>0.0333333333333334</v>
      </c>
      <c r="L112" s="15" t="n">
        <f aca="false">E112-((E111+E113)/2)</f>
        <v>-1.5</v>
      </c>
      <c r="M112" s="18" t="n">
        <f aca="false">0.5 + (L112 * 0.09)</f>
        <v>0.365</v>
      </c>
      <c r="N112" s="15" t="n">
        <f aca="false">((H112-(G112-1))/H112)*(IF(I112&lt;&gt;0,(I112+H112)/H112,1))</f>
        <v>0.666666666666667</v>
      </c>
      <c r="O112" s="19" t="n">
        <f aca="false">(N112-(1/6))/(10/6)</f>
        <v>0.3</v>
      </c>
      <c r="P112" s="17" t="n">
        <v>7</v>
      </c>
      <c r="Q112" s="19" t="n">
        <f aca="false">IF(F112=1,(((1-((P112-3)/12))*0.5)+0.5),((P112/15)*0.5))</f>
        <v>0.233333333333333</v>
      </c>
      <c r="R112" s="1" t="n">
        <v>0</v>
      </c>
      <c r="S112" s="17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21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40" t="n">
        <v>46096</v>
      </c>
      <c r="B113" s="23" t="n">
        <v>28</v>
      </c>
      <c r="C113" s="23" t="s">
        <v>30</v>
      </c>
      <c r="D113" s="23" t="s">
        <v>34</v>
      </c>
      <c r="E113" s="24" t="n">
        <v>3</v>
      </c>
      <c r="F113" s="25" t="n">
        <v>0</v>
      </c>
      <c r="G113" s="23" t="n">
        <v>3</v>
      </c>
      <c r="H113" s="23" t="n">
        <v>3</v>
      </c>
      <c r="I113" s="23" t="n">
        <v>0</v>
      </c>
      <c r="J113" s="23" t="n">
        <f aca="false">F113-(1/H113)</f>
        <v>-0.333333333333333</v>
      </c>
      <c r="K113" s="23" t="n">
        <f aca="false">((I113-((H113-1)/H113))-(-5/6))/((5-(5/6))-(-5/6))</f>
        <v>0.0333333333333334</v>
      </c>
      <c r="L113" s="23" t="n">
        <f aca="false">E113-((E111+E112)/2)</f>
        <v>0</v>
      </c>
      <c r="M113" s="26" t="n">
        <f aca="false">0.5 + (L113 * 0.09)</f>
        <v>0.5</v>
      </c>
      <c r="N113" s="23" t="n">
        <f aca="false">((H113-(G113-1))/H113)*(IF(I113&lt;&gt;0,(I113+H113)/H113,1))</f>
        <v>0.333333333333333</v>
      </c>
      <c r="O113" s="27" t="n">
        <f aca="false">(N113-(1/6))/(10/6)</f>
        <v>0.1</v>
      </c>
      <c r="P113" s="25" t="n">
        <v>7</v>
      </c>
      <c r="Q113" s="27" t="n">
        <f aca="false">IF(F113=1,(((1-((P113-3)/12))*0.5)+0.5),((P113/15)*0.5))</f>
        <v>0.233333333333333</v>
      </c>
      <c r="R113" s="23" t="n">
        <v>0</v>
      </c>
      <c r="S113" s="25" t="n">
        <v>0</v>
      </c>
      <c r="T113" s="23" t="n">
        <v>0</v>
      </c>
      <c r="U113" s="27" t="n">
        <f aca="false">IFERROR(T113/S113, 1)</f>
        <v>1</v>
      </c>
      <c r="V113" s="28" t="n">
        <v>0</v>
      </c>
      <c r="W113" s="29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1" t="n">
        <v>46101</v>
      </c>
      <c r="B114" s="1" t="n">
        <v>29</v>
      </c>
      <c r="C114" s="15" t="s">
        <v>30</v>
      </c>
      <c r="D114" s="15" t="s">
        <v>46</v>
      </c>
      <c r="E114" s="16" t="n">
        <v>2</v>
      </c>
      <c r="F114" s="17" t="n">
        <v>1</v>
      </c>
      <c r="G114" s="1" t="n">
        <v>1</v>
      </c>
      <c r="H114" s="1" t="n">
        <v>8</v>
      </c>
      <c r="I114" s="1" t="n">
        <v>4</v>
      </c>
      <c r="J114" s="15" t="n">
        <f aca="false">F114-(1/H114)</f>
        <v>0.875</v>
      </c>
      <c r="K114" s="15" t="n">
        <f aca="false">((I114-((H114-1)/H114))-(-5/6))/((5-(5/6))-(-5/6))</f>
        <v>0.791666666666667</v>
      </c>
      <c r="L114" s="16" t="n">
        <f aca="false">E114-((E115+E116+E117+E118+E119+E120+E121)/7)</f>
        <v>-1</v>
      </c>
      <c r="M114" s="18" t="n">
        <f aca="false">0.5 + (L114 * 0.09)</f>
        <v>0.41</v>
      </c>
      <c r="N114" s="15" t="n">
        <f aca="false">((H114-(G114-1))/H114)*(IF(I114&lt;&gt;0,(I114+H114)/H114,1))</f>
        <v>1.5</v>
      </c>
      <c r="O114" s="19" t="n">
        <f aca="false">(N114-(1/6))/(10/6)</f>
        <v>0.8</v>
      </c>
      <c r="P114" s="17" t="n">
        <v>8</v>
      </c>
      <c r="Q114" s="19" t="n">
        <f aca="false">IF(F114=1,(((1-((P114-3)/12))*0.5)+0.5),((P114/15)*0.5))</f>
        <v>0.791666666666667</v>
      </c>
      <c r="R114" s="1" t="n">
        <v>1</v>
      </c>
      <c r="S114" s="17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21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1" t="n">
        <v>46101</v>
      </c>
      <c r="B115" s="1" t="n">
        <v>29</v>
      </c>
      <c r="C115" s="15" t="s">
        <v>28</v>
      </c>
      <c r="D115" s="15" t="s">
        <v>68</v>
      </c>
      <c r="E115" s="16" t="n">
        <v>3</v>
      </c>
      <c r="F115" s="17" t="n">
        <v>0</v>
      </c>
      <c r="G115" s="1" t="n">
        <v>4</v>
      </c>
      <c r="H115" s="1" t="n">
        <v>8</v>
      </c>
      <c r="I115" s="1" t="n">
        <v>0</v>
      </c>
      <c r="J115" s="15" t="n">
        <f aca="false">F115-(1/H115)</f>
        <v>-0.125</v>
      </c>
      <c r="K115" s="15" t="n">
        <f aca="false">((I115-((H115-1)/H115))-(-5/6))/((5-(5/6))-(-5/6))</f>
        <v>-0.00833333333333333</v>
      </c>
      <c r="L115" s="15" t="n">
        <f aca="false">E115-((E114+E116+E117+E118+E119+E120+E121)/7)</f>
        <v>0.142857142857143</v>
      </c>
      <c r="M115" s="18" t="n">
        <f aca="false">0.5 + (L115 * 0.09)</f>
        <v>0.512857142857143</v>
      </c>
      <c r="N115" s="15" t="n">
        <f aca="false">((H115-(G115-1))/H115)*(IF(I115&lt;&gt;0,(I115+H115)/H115,1))</f>
        <v>0.625</v>
      </c>
      <c r="O115" s="19" t="n">
        <f aca="false">(N115-(1/6))/(10/6)</f>
        <v>0.275</v>
      </c>
      <c r="P115" s="17" t="n">
        <v>7</v>
      </c>
      <c r="Q115" s="19" t="n">
        <f aca="false">IF(F115=1,(((1-((P115-3)/12))*0.5)+0.5),((P115/15)*0.5))</f>
        <v>0.233333333333333</v>
      </c>
      <c r="R115" s="1" t="n">
        <v>0</v>
      </c>
      <c r="S115" s="17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21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1" t="n">
        <v>46101</v>
      </c>
      <c r="B116" s="1" t="n">
        <v>29</v>
      </c>
      <c r="C116" s="15" t="s">
        <v>32</v>
      </c>
      <c r="D116" s="15" t="s">
        <v>61</v>
      </c>
      <c r="E116" s="16" t="n">
        <v>2</v>
      </c>
      <c r="F116" s="17" t="n">
        <v>0</v>
      </c>
      <c r="G116" s="1" t="n">
        <v>3</v>
      </c>
      <c r="H116" s="1" t="n">
        <v>8</v>
      </c>
      <c r="I116" s="1" t="n">
        <v>0</v>
      </c>
      <c r="J116" s="15" t="n">
        <f aca="false">F116-(1/H116)</f>
        <v>-0.125</v>
      </c>
      <c r="K116" s="15" t="n">
        <f aca="false">((I116-((H116-1)/H116))-(-5/6))/((5-(5/6))-(-5/6))</f>
        <v>-0.00833333333333333</v>
      </c>
      <c r="L116" s="15" t="n">
        <f aca="false">E116-((E114+E115+E117+E118+E119+E120+E121)/7)</f>
        <v>-1</v>
      </c>
      <c r="M116" s="18" t="n">
        <f aca="false">0.5 + (L116 * 0.09)</f>
        <v>0.41</v>
      </c>
      <c r="N116" s="15" t="n">
        <f aca="false">((H116-(G116-1))/H116)*(IF(I116&lt;&gt;0,(I116+H116)/H116,1))</f>
        <v>0.75</v>
      </c>
      <c r="O116" s="19" t="n">
        <f aca="false">(N116-(1/6))/(10/6)</f>
        <v>0.35</v>
      </c>
      <c r="P116" s="17" t="n">
        <v>7</v>
      </c>
      <c r="Q116" s="19" t="n">
        <f aca="false">IF(F116=1,(((1-((P116-3)/12))*0.5)+0.5),((P116/15)*0.5))</f>
        <v>0.233333333333333</v>
      </c>
      <c r="R116" s="1" t="n">
        <v>0</v>
      </c>
      <c r="S116" s="17" t="n">
        <v>1</v>
      </c>
      <c r="T116" s="1" t="n">
        <v>0</v>
      </c>
      <c r="U116" s="19" t="n">
        <f aca="false">IFERROR(T116/S116, 1)</f>
        <v>0</v>
      </c>
      <c r="V116" s="20" t="n">
        <v>0</v>
      </c>
      <c r="W116" s="21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1" t="n">
        <v>46101</v>
      </c>
      <c r="B117" s="1" t="n">
        <v>29</v>
      </c>
      <c r="C117" s="15" t="s">
        <v>26</v>
      </c>
      <c r="D117" s="15" t="s">
        <v>27</v>
      </c>
      <c r="E117" s="16" t="n">
        <v>4</v>
      </c>
      <c r="F117" s="17" t="n">
        <v>0</v>
      </c>
      <c r="G117" s="1" t="n">
        <v>4</v>
      </c>
      <c r="H117" s="1" t="n">
        <v>8</v>
      </c>
      <c r="I117" s="1" t="n">
        <v>0</v>
      </c>
      <c r="J117" s="15" t="n">
        <f aca="false">F117-(1/H117)</f>
        <v>-0.125</v>
      </c>
      <c r="K117" s="15" t="n">
        <f aca="false">((I117-((H117-1)/H117))-(-5/6))/((5-(5/6))-(-5/6))</f>
        <v>-0.00833333333333333</v>
      </c>
      <c r="L117" s="15" t="n">
        <f aca="false">E117-((E114+E115+E116+E118+E119+E120+E121)/7)</f>
        <v>1.28571428571429</v>
      </c>
      <c r="M117" s="18" t="n">
        <f aca="false">0.5 + (L117 * 0.09)</f>
        <v>0.615714285714286</v>
      </c>
      <c r="N117" s="15" t="n">
        <f aca="false">((H117-(G117-1))/H117)*(IF(I117&lt;&gt;0,(I117+H117)/H117,1))</f>
        <v>0.625</v>
      </c>
      <c r="O117" s="19" t="n">
        <f aca="false">(N117-(1/6))/(10/6)</f>
        <v>0.275</v>
      </c>
      <c r="P117" s="17" t="n">
        <v>7</v>
      </c>
      <c r="Q117" s="19" t="n">
        <f aca="false">IF(F117=1,(((1-((P117-3)/12))*0.5)+0.5),((P117/15)*0.5))</f>
        <v>0.233333333333333</v>
      </c>
      <c r="R117" s="1" t="n">
        <v>0</v>
      </c>
      <c r="S117" s="17" t="n">
        <v>0</v>
      </c>
      <c r="T117" s="1" t="n">
        <v>0</v>
      </c>
      <c r="U117" s="19" t="n">
        <f aca="false">IFERROR(T117/S117, 1)</f>
        <v>1</v>
      </c>
      <c r="V117" s="20" t="n">
        <v>0</v>
      </c>
      <c r="W117" s="21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1" t="n">
        <v>46101</v>
      </c>
      <c r="B118" s="1" t="n">
        <v>29</v>
      </c>
      <c r="C118" s="15" t="s">
        <v>51</v>
      </c>
      <c r="D118" s="15" t="s">
        <v>52</v>
      </c>
      <c r="E118" s="16" t="n">
        <v>2</v>
      </c>
      <c r="F118" s="17" t="n">
        <v>0</v>
      </c>
      <c r="G118" s="1" t="n">
        <v>4</v>
      </c>
      <c r="H118" s="1" t="n">
        <v>8</v>
      </c>
      <c r="I118" s="1" t="n">
        <v>0</v>
      </c>
      <c r="J118" s="15" t="n">
        <f aca="false">F118-(1/H118)</f>
        <v>-0.125</v>
      </c>
      <c r="K118" s="15" t="n">
        <f aca="false">((I118-((H118-1)/H118))-(-5/6))/((5-(5/6))-(-5/6))</f>
        <v>-0.00833333333333333</v>
      </c>
      <c r="L118" s="15" t="n">
        <f aca="false">E118-((E114+E115+E116+E117+E119+E120+E121)/7)</f>
        <v>-1</v>
      </c>
      <c r="M118" s="18" t="n">
        <f aca="false">0.5 + (L118 * 0.09)</f>
        <v>0.41</v>
      </c>
      <c r="N118" s="15" t="n">
        <f aca="false">((H118-(G118-1))/H118)*(IF(I118&lt;&gt;0,(I118+H118)/H118,1))</f>
        <v>0.625</v>
      </c>
      <c r="O118" s="19" t="n">
        <f aca="false">(N118-(1/6))/(10/6)</f>
        <v>0.275</v>
      </c>
      <c r="P118" s="17" t="n">
        <v>7</v>
      </c>
      <c r="Q118" s="19" t="n">
        <f aca="false">IF(F118=1,(((1-((P118-3)/12))*0.5)+0.5),((P118/15)*0.5))</f>
        <v>0.233333333333333</v>
      </c>
      <c r="R118" s="1" t="n">
        <v>0</v>
      </c>
      <c r="S118" s="17" t="n">
        <v>1</v>
      </c>
      <c r="T118" s="1" t="n">
        <v>0</v>
      </c>
      <c r="U118" s="19" t="n">
        <f aca="false">IFERROR(T118/S118, 1)</f>
        <v>0</v>
      </c>
      <c r="V118" s="20" t="n">
        <v>0</v>
      </c>
      <c r="W118" s="21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1" t="n">
        <v>46101</v>
      </c>
      <c r="B119" s="1" t="n">
        <v>29</v>
      </c>
      <c r="C119" s="15" t="s">
        <v>38</v>
      </c>
      <c r="D119" s="15" t="s">
        <v>64</v>
      </c>
      <c r="E119" s="16" t="n">
        <v>3</v>
      </c>
      <c r="F119" s="17" t="n">
        <v>0</v>
      </c>
      <c r="G119" s="1" t="n">
        <v>4</v>
      </c>
      <c r="H119" s="1" t="n">
        <v>8</v>
      </c>
      <c r="I119" s="1" t="n">
        <v>0</v>
      </c>
      <c r="J119" s="15" t="n">
        <f aca="false">F119-(1/H119)</f>
        <v>-0.125</v>
      </c>
      <c r="K119" s="15" t="n">
        <f aca="false">((I119-((H119-1)/H119))-(-5/6))/((5-(5/6))-(-5/6))</f>
        <v>-0.00833333333333333</v>
      </c>
      <c r="L119" s="15" t="n">
        <f aca="false">E119-((E114+E115+E116+E117+E118+E120+E121)/7)</f>
        <v>0.142857142857143</v>
      </c>
      <c r="M119" s="18" t="n">
        <f aca="false">0.5 + (L119 * 0.09)</f>
        <v>0.512857142857143</v>
      </c>
      <c r="N119" s="15" t="n">
        <f aca="false">((H119-(G119-1))/H119)*(IF(I119&lt;&gt;0,(I119+H119)/H119,1))</f>
        <v>0.625</v>
      </c>
      <c r="O119" s="19" t="n">
        <f aca="false">(N119-(1/6))/(10/6)</f>
        <v>0.275</v>
      </c>
      <c r="P119" s="17" t="n">
        <v>7</v>
      </c>
      <c r="Q119" s="19" t="n">
        <f aca="false">IF(F119=1,(((1-((P119-3)/12))*0.5)+0.5),((P119/15)*0.5))</f>
        <v>0.233333333333333</v>
      </c>
      <c r="R119" s="1" t="n">
        <v>0</v>
      </c>
      <c r="S119" s="17" t="n">
        <v>0</v>
      </c>
      <c r="T119" s="1" t="n">
        <v>0</v>
      </c>
      <c r="U119" s="19" t="n">
        <f aca="false">IFERROR(T119/S119, 1)</f>
        <v>1</v>
      </c>
      <c r="V119" s="20" t="n">
        <v>0</v>
      </c>
      <c r="W119" s="21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1" t="n">
        <v>46101</v>
      </c>
      <c r="B120" s="1" t="n">
        <v>29</v>
      </c>
      <c r="C120" s="15" t="s">
        <v>59</v>
      </c>
      <c r="D120" s="15" t="s">
        <v>69</v>
      </c>
      <c r="E120" s="16" t="n">
        <v>3</v>
      </c>
      <c r="F120" s="17" t="n">
        <v>0</v>
      </c>
      <c r="G120" s="1" t="n">
        <v>4</v>
      </c>
      <c r="H120" s="1" t="n">
        <v>8</v>
      </c>
      <c r="I120" s="1" t="n">
        <v>0</v>
      </c>
      <c r="J120" s="15" t="n">
        <f aca="false">F120-(1/H120)</f>
        <v>-0.125</v>
      </c>
      <c r="K120" s="15" t="n">
        <f aca="false">((I120-((H120-1)/H120))-(-5/6))/((5-(5/6))-(-5/6))</f>
        <v>-0.00833333333333333</v>
      </c>
      <c r="L120" s="15" t="n">
        <f aca="false">E120-((E114+E115+E116+E117+E118+E119+E121)/7)</f>
        <v>0.142857142857143</v>
      </c>
      <c r="M120" s="18" t="n">
        <f aca="false">0.5 + (L120 * 0.09)</f>
        <v>0.512857142857143</v>
      </c>
      <c r="N120" s="15" t="n">
        <f aca="false">((H120-(G120-1))/H120)*(IF(I120&lt;&gt;0,(I120+H120)/H120,1))</f>
        <v>0.625</v>
      </c>
      <c r="O120" s="19" t="n">
        <f aca="false">(N120-(1/6))/(10/6)</f>
        <v>0.275</v>
      </c>
      <c r="P120" s="17" t="n">
        <v>7</v>
      </c>
      <c r="Q120" s="19" t="n">
        <f aca="false">IF(F120=1,(((1-((P120-3)/12))*0.5)+0.5),((P120/15)*0.5))</f>
        <v>0.233333333333333</v>
      </c>
      <c r="R120" s="1" t="n">
        <v>1</v>
      </c>
      <c r="S120" s="17" t="n">
        <v>0</v>
      </c>
      <c r="T120" s="1" t="n">
        <v>0</v>
      </c>
      <c r="U120" s="19" t="n">
        <f aca="false">IFERROR(T120/S120, 1)</f>
        <v>1</v>
      </c>
      <c r="V120" s="20" t="n">
        <v>0</v>
      </c>
      <c r="W120" s="21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40" t="n">
        <v>46101</v>
      </c>
      <c r="B121" s="23" t="n">
        <v>29</v>
      </c>
      <c r="C121" s="23" t="s">
        <v>70</v>
      </c>
      <c r="D121" s="23" t="s">
        <v>71</v>
      </c>
      <c r="E121" s="24" t="n">
        <v>4</v>
      </c>
      <c r="F121" s="25" t="n">
        <v>0</v>
      </c>
      <c r="G121" s="23" t="n">
        <v>2</v>
      </c>
      <c r="H121" s="23" t="n">
        <v>8</v>
      </c>
      <c r="I121" s="23" t="n">
        <v>3</v>
      </c>
      <c r="J121" s="23" t="n">
        <f aca="false">F121-(1/H121)</f>
        <v>-0.125</v>
      </c>
      <c r="K121" s="23" t="n">
        <f aca="false">((I121-((H121-1)/H121))-(-5/6))/((5-(5/6))-(-5/6))</f>
        <v>0.591666666666667</v>
      </c>
      <c r="L121" s="23" t="n">
        <f aca="false">E121-((E114+E115+E116+E117+E118+E119+E120)/7)</f>
        <v>1.28571428571429</v>
      </c>
      <c r="M121" s="26" t="n">
        <f aca="false">0.5 + (L121 * 0.09)</f>
        <v>0.615714285714286</v>
      </c>
      <c r="N121" s="23" t="n">
        <f aca="false">((H121-(G121-1))/H121)*(IF(I121&lt;&gt;0,(I121+H121)/H121,1))</f>
        <v>1.203125</v>
      </c>
      <c r="O121" s="27" t="n">
        <f aca="false">(N121-(1/6))/(10/6)</f>
        <v>0.621875</v>
      </c>
      <c r="P121" s="25" t="n">
        <v>8</v>
      </c>
      <c r="Q121" s="27" t="n">
        <f aca="false">IF(F121=1,(((1-((P121-3)/12))*0.5)+0.5),((P121/15)*0.5))</f>
        <v>0.266666666666667</v>
      </c>
      <c r="R121" s="23" t="n">
        <v>1</v>
      </c>
      <c r="S121" s="25" t="n">
        <v>0</v>
      </c>
      <c r="T121" s="23" t="n">
        <v>0</v>
      </c>
      <c r="U121" s="27" t="n">
        <f aca="false">IFERROR(T121/S121, 1)</f>
        <v>1</v>
      </c>
      <c r="V121" s="28" t="n">
        <v>0</v>
      </c>
      <c r="W121" s="29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1" t="n">
        <v>46101</v>
      </c>
      <c r="B122" s="1" t="n">
        <v>30</v>
      </c>
      <c r="C122" s="15" t="s">
        <v>30</v>
      </c>
      <c r="D122" s="15" t="s">
        <v>57</v>
      </c>
      <c r="E122" s="16" t="n">
        <v>4</v>
      </c>
      <c r="F122" s="17" t="n">
        <v>1</v>
      </c>
      <c r="G122" s="1" t="n">
        <v>1</v>
      </c>
      <c r="H122" s="1" t="n">
        <v>5</v>
      </c>
      <c r="I122" s="1" t="n">
        <v>2</v>
      </c>
      <c r="J122" s="15" t="n">
        <f aca="false">F122-(1/H122)</f>
        <v>0.8</v>
      </c>
      <c r="K122" s="15" t="n">
        <f aca="false">((I122-((H122-1)/H122))-(-5/6))/((5-(5/6))-(-5/6))</f>
        <v>0.406666666666667</v>
      </c>
      <c r="L122" s="35" t="n">
        <f aca="false">E122-((E123+E124+E125+E126)/4)</f>
        <v>0.5</v>
      </c>
      <c r="M122" s="42" t="n">
        <f aca="false">0.5 + (L122 * 0.09)</f>
        <v>0.545</v>
      </c>
      <c r="N122" s="15" t="n">
        <f aca="false">((H122-(G122-1))/H122)*(IF(I122&lt;&gt;0,(I122+H122)/H122,1))</f>
        <v>1.4</v>
      </c>
      <c r="O122" s="19" t="n">
        <f aca="false">(N122-(1/6))/(10/6)</f>
        <v>0.74</v>
      </c>
      <c r="P122" s="17" t="n">
        <v>13</v>
      </c>
      <c r="Q122" s="19" t="n">
        <f aca="false">IF(F122=1,(((1-((P122-3)/12))*0.5)+0.5),((P122/15)*0.5))</f>
        <v>0.583333333333333</v>
      </c>
      <c r="R122" s="1" t="n">
        <v>1</v>
      </c>
      <c r="S122" s="17" t="n">
        <v>1</v>
      </c>
      <c r="T122" s="1" t="n">
        <v>0</v>
      </c>
      <c r="U122" s="19" t="n">
        <f aca="false">IFERROR(T122/S122, 1)</f>
        <v>0</v>
      </c>
      <c r="V122" s="20" t="n">
        <v>0</v>
      </c>
      <c r="W122" s="21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1" t="n">
        <v>46101</v>
      </c>
      <c r="B123" s="1" t="n">
        <v>30</v>
      </c>
      <c r="C123" s="15" t="s">
        <v>32</v>
      </c>
      <c r="D123" s="15" t="s">
        <v>41</v>
      </c>
      <c r="E123" s="16" t="n">
        <v>3</v>
      </c>
      <c r="F123" s="17" t="n">
        <v>0</v>
      </c>
      <c r="G123" s="1" t="n">
        <v>2</v>
      </c>
      <c r="H123" s="1" t="n">
        <v>5</v>
      </c>
      <c r="I123" s="1" t="n">
        <v>0</v>
      </c>
      <c r="J123" s="15" t="n">
        <f aca="false">F123-(1/H123)</f>
        <v>-0.2</v>
      </c>
      <c r="K123" s="15" t="n">
        <f aca="false">((I123-((H123-1)/H123))-(-5/6))/((5-(5/6))-(-5/6))</f>
        <v>0.00666666666666667</v>
      </c>
      <c r="L123" s="15" t="n">
        <f aca="false">E123-((E122+E124+E125+E126)/4)</f>
        <v>-0.75</v>
      </c>
      <c r="M123" s="18" t="n">
        <f aca="false">0.5 + (L123 * 0.09)</f>
        <v>0.4325</v>
      </c>
      <c r="N123" s="15" t="n">
        <f aca="false">((H123-(G123-1))/H123)*(IF(I123&lt;&gt;0,(I123+H123)/H123,1))</f>
        <v>0.8</v>
      </c>
      <c r="O123" s="19" t="n">
        <f aca="false">(N123-(1/6))/(10/6)</f>
        <v>0.38</v>
      </c>
      <c r="P123" s="17" t="n">
        <v>13</v>
      </c>
      <c r="Q123" s="19" t="n">
        <f aca="false">IF(F123=1,(((1-((P123-3)/12))*0.5)+0.5),((P123/15)*0.5))</f>
        <v>0.433333333333333</v>
      </c>
      <c r="R123" s="1" t="n">
        <v>0</v>
      </c>
      <c r="S123" s="17" t="n">
        <v>1</v>
      </c>
      <c r="T123" s="1" t="n">
        <v>1</v>
      </c>
      <c r="U123" s="19" t="n">
        <f aca="false">IFERROR(T123/S123, 1)</f>
        <v>1</v>
      </c>
      <c r="V123" s="20" t="n">
        <v>0</v>
      </c>
      <c r="W123" s="21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1" t="n">
        <v>46101</v>
      </c>
      <c r="B124" s="1" t="n">
        <v>30</v>
      </c>
      <c r="C124" s="15" t="s">
        <v>70</v>
      </c>
      <c r="D124" s="15" t="s">
        <v>71</v>
      </c>
      <c r="E124" s="16" t="n">
        <v>4</v>
      </c>
      <c r="F124" s="17" t="n">
        <v>0</v>
      </c>
      <c r="G124" s="1" t="n">
        <v>3</v>
      </c>
      <c r="H124" s="1" t="n">
        <v>5</v>
      </c>
      <c r="I124" s="1" t="n">
        <v>1</v>
      </c>
      <c r="J124" s="15" t="n">
        <f aca="false">F124-(1/H124)</f>
        <v>-0.2</v>
      </c>
      <c r="K124" s="15" t="n">
        <f aca="false">((I124-((H124-1)/H124))-(-5/6))/((5-(5/6))-(-5/6))</f>
        <v>0.206666666666667</v>
      </c>
      <c r="L124" s="15" t="n">
        <f aca="false">E124-((E122+E123+E125+E126)/4)</f>
        <v>0.5</v>
      </c>
      <c r="M124" s="18" t="n">
        <f aca="false">0.5 + (L124 * 0.09)</f>
        <v>0.545</v>
      </c>
      <c r="N124" s="15" t="n">
        <f aca="false">((H124-(G124-1))/H124)*(IF(I124&lt;&gt;0,(I124+H124)/H124,1))</f>
        <v>0.72</v>
      </c>
      <c r="O124" s="19" t="n">
        <f aca="false">(N124-(1/6))/(10/6)</f>
        <v>0.332</v>
      </c>
      <c r="P124" s="17" t="n">
        <v>12</v>
      </c>
      <c r="Q124" s="19" t="n">
        <f aca="false">IF(F124=1,(((1-((P124-3)/12))*0.5)+0.5),((P124/15)*0.5))</f>
        <v>0.4</v>
      </c>
      <c r="R124" s="1" t="n">
        <v>1</v>
      </c>
      <c r="S124" s="17" t="n">
        <v>0</v>
      </c>
      <c r="T124" s="1" t="n">
        <v>0</v>
      </c>
      <c r="U124" s="19" t="n">
        <f aca="false">IFERROR(T124/S124, 1)</f>
        <v>1</v>
      </c>
      <c r="V124" s="20" t="n">
        <v>0</v>
      </c>
      <c r="W124" s="21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1" t="n">
        <v>46101</v>
      </c>
      <c r="B125" s="1" t="n">
        <v>30</v>
      </c>
      <c r="C125" s="15" t="s">
        <v>59</v>
      </c>
      <c r="D125" s="15" t="s">
        <v>69</v>
      </c>
      <c r="E125" s="16" t="n">
        <v>3</v>
      </c>
      <c r="F125" s="17" t="n">
        <v>0</v>
      </c>
      <c r="G125" s="1" t="n">
        <v>4</v>
      </c>
      <c r="H125" s="1" t="n">
        <v>5</v>
      </c>
      <c r="I125" s="1" t="n">
        <v>1</v>
      </c>
      <c r="J125" s="15" t="n">
        <f aca="false">F125-(1/H125)</f>
        <v>-0.2</v>
      </c>
      <c r="K125" s="15" t="n">
        <f aca="false">((I125-((H125-1)/H125))-(-5/6))/((5-(5/6))-(-5/6))</f>
        <v>0.206666666666667</v>
      </c>
      <c r="L125" s="15" t="n">
        <f aca="false">E125-((E122+E123+E124+E126)/4)</f>
        <v>-0.75</v>
      </c>
      <c r="M125" s="18" t="n">
        <f aca="false">0.5 + (L125 * 0.09)</f>
        <v>0.4325</v>
      </c>
      <c r="N125" s="15" t="n">
        <f aca="false">((H125-(G125-1))/H125)*(IF(I125&lt;&gt;0,(I125+H125)/H125,1))</f>
        <v>0.48</v>
      </c>
      <c r="O125" s="19" t="n">
        <f aca="false">(N125-(1/6))/(10/6)</f>
        <v>0.188</v>
      </c>
      <c r="P125" s="17" t="n">
        <v>9</v>
      </c>
      <c r="Q125" s="19" t="n">
        <f aca="false">IF(F125=1,(((1-((P125-3)/12))*0.5)+0.5),((P125/15)*0.5))</f>
        <v>0.3</v>
      </c>
      <c r="R125" s="1" t="n">
        <v>1</v>
      </c>
      <c r="S125" s="17" t="n">
        <v>0</v>
      </c>
      <c r="T125" s="1" t="n">
        <v>0</v>
      </c>
      <c r="U125" s="19" t="n">
        <f aca="false">IFERROR(T125/S125, 1)</f>
        <v>1</v>
      </c>
      <c r="V125" s="20" t="n">
        <v>0</v>
      </c>
      <c r="W125" s="21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40" t="n">
        <v>46101</v>
      </c>
      <c r="B126" s="23" t="n">
        <v>30</v>
      </c>
      <c r="C126" s="23" t="s">
        <v>28</v>
      </c>
      <c r="D126" s="23" t="s">
        <v>67</v>
      </c>
      <c r="E126" s="24" t="n">
        <v>4</v>
      </c>
      <c r="F126" s="25" t="n">
        <v>0</v>
      </c>
      <c r="G126" s="23" t="n">
        <v>5</v>
      </c>
      <c r="H126" s="23" t="n">
        <v>5</v>
      </c>
      <c r="I126" s="23" t="n">
        <v>0</v>
      </c>
      <c r="J126" s="23" t="n">
        <f aca="false">F126-(1/H126)</f>
        <v>-0.2</v>
      </c>
      <c r="K126" s="23" t="n">
        <f aca="false">((I126-((H126-1)/H126))-(-5/6))/((5-(5/6))-(-5/6))</f>
        <v>0.00666666666666667</v>
      </c>
      <c r="L126" s="23" t="n">
        <f aca="false">E126-((E122+E123+E124+E125)/4)</f>
        <v>0.5</v>
      </c>
      <c r="M126" s="26" t="n">
        <f aca="false">0.5 + (L126 * 0.09)</f>
        <v>0.545</v>
      </c>
      <c r="N126" s="23" t="n">
        <f aca="false">((H126-(G126-1))/H126)*(IF(I126&lt;&gt;0,(I126+H126)/H126,1))</f>
        <v>0.2</v>
      </c>
      <c r="O126" s="27" t="n">
        <f aca="false">(N126-(1/6))/(10/6)</f>
        <v>0.02</v>
      </c>
      <c r="P126" s="25" t="n">
        <v>8</v>
      </c>
      <c r="Q126" s="27" t="n">
        <f aca="false">IF(F126=1,(((1-((P126-3)/12))*0.5)+0.5),((P126/15)*0.5))</f>
        <v>0.266666666666667</v>
      </c>
      <c r="R126" s="23" t="n">
        <v>1</v>
      </c>
      <c r="S126" s="25" t="n">
        <v>0</v>
      </c>
      <c r="T126" s="23" t="n">
        <v>0</v>
      </c>
      <c r="U126" s="27" t="n">
        <f aca="false">IFERROR(T126/S126, 1)</f>
        <v>1</v>
      </c>
      <c r="V126" s="28" t="n">
        <v>0</v>
      </c>
      <c r="W126" s="29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46114</v>
      </c>
      <c r="B3" s="1" t="n">
        <v>1</v>
      </c>
      <c r="C3" s="15" t="s">
        <v>26</v>
      </c>
      <c r="D3" s="15" t="s">
        <v>45</v>
      </c>
      <c r="E3" s="16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5" t="n">
        <f aca="false">F3-(1/H3)</f>
        <v>0.8</v>
      </c>
      <c r="K3" s="15" t="n">
        <f aca="false">((I3-((H3-1)/H3))-(-5/6))/((5-(5/6))-(-5/6))</f>
        <v>0.206666666666667</v>
      </c>
      <c r="L3" s="35" t="n">
        <f aca="false">E3-((E4+E5+E6+E7)/4)</f>
        <v>-0.75</v>
      </c>
      <c r="M3" s="42" t="n">
        <f aca="false">0.5 + (L3 * 0.09)</f>
        <v>0.4325</v>
      </c>
      <c r="N3" s="15" t="n">
        <f aca="false">((H3-(G3-1))/H3)*(IF(I3&lt;&gt;0,(I3+H3)/H3,1))</f>
        <v>1.2</v>
      </c>
      <c r="O3" s="19" t="n">
        <f aca="false">(N3-(1/6))/(10/6)</f>
        <v>0.62</v>
      </c>
      <c r="P3" s="1" t="n">
        <v>12</v>
      </c>
      <c r="Q3" s="19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1" t="n">
        <v>46114</v>
      </c>
      <c r="B4" s="1" t="n">
        <v>1</v>
      </c>
      <c r="C4" s="15" t="s">
        <v>30</v>
      </c>
      <c r="D4" s="15" t="s">
        <v>73</v>
      </c>
      <c r="E4" s="16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5" t="n">
        <f aca="false">F4-(1/H4)</f>
        <v>-0.2</v>
      </c>
      <c r="K4" s="15" t="n">
        <f aca="false">((I4-((H4-1)/H4))-(-5/6))/((5-(5/6))-(-5/6))</f>
        <v>0.206666666666667</v>
      </c>
      <c r="L4" s="15" t="n">
        <f aca="false">E4-((E3+E5+E6+E7)/4)</f>
        <v>-0.75</v>
      </c>
      <c r="M4" s="18" t="n">
        <f aca="false">0.5 + (L4 * 0.09)</f>
        <v>0.4325</v>
      </c>
      <c r="N4" s="15" t="n">
        <f aca="false">((H4-(G4-1))/H4)*(IF(I4&lt;&gt;0,(I4+H4)/H4,1))</f>
        <v>0.96</v>
      </c>
      <c r="O4" s="19" t="n">
        <f aca="false">(N4-(1/6))/(10/6)</f>
        <v>0.476</v>
      </c>
      <c r="P4" s="1" t="n">
        <v>12</v>
      </c>
      <c r="Q4" s="19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9" t="n">
        <f aca="false">IFERROR(T4/S4, 1)</f>
        <v>0</v>
      </c>
      <c r="V4" s="20" t="n">
        <v>0</v>
      </c>
      <c r="W4" s="1" t="n">
        <v>2</v>
      </c>
      <c r="X4" s="30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1" t="n">
        <v>46114</v>
      </c>
      <c r="B5" s="1" t="n">
        <v>1</v>
      </c>
      <c r="C5" s="15" t="s">
        <v>28</v>
      </c>
      <c r="D5" s="15" t="s">
        <v>68</v>
      </c>
      <c r="E5" s="16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5" t="n">
        <f aca="false">F5-(1/H5)</f>
        <v>-0.2</v>
      </c>
      <c r="K5" s="15" t="n">
        <f aca="false">((I5-((H5-1)/H5))-(-5/6))/((5-(5/6))-(-5/6))</f>
        <v>0.206666666666667</v>
      </c>
      <c r="L5" s="15" t="n">
        <f aca="false">E5-((E3+E4+E6+E7)/4)</f>
        <v>0.5</v>
      </c>
      <c r="M5" s="18" t="n">
        <f aca="false">0.5 + (L5 * 0.09)</f>
        <v>0.545</v>
      </c>
      <c r="N5" s="15" t="n">
        <f aca="false">((H5-(G5-1))/H5)*(IF(I5&lt;&gt;0,(I5+H5)/H5,1))</f>
        <v>0.72</v>
      </c>
      <c r="O5" s="19" t="n">
        <f aca="false">(N5-(1/6))/(10/6)</f>
        <v>0.332</v>
      </c>
      <c r="P5" s="1" t="n">
        <v>11</v>
      </c>
      <c r="Q5" s="19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3</v>
      </c>
      <c r="X5" s="30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1" t="n">
        <v>46114</v>
      </c>
      <c r="B6" s="1" t="n">
        <v>1</v>
      </c>
      <c r="C6" s="15" t="s">
        <v>32</v>
      </c>
      <c r="D6" s="15" t="s">
        <v>36</v>
      </c>
      <c r="E6" s="16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5" t="n">
        <f aca="false">F6-(1/H6)</f>
        <v>-0.2</v>
      </c>
      <c r="K6" s="15" t="n">
        <f aca="false">((I6-((H6-1)/H6))-(-5/6))/((5-(5/6))-(-5/6))</f>
        <v>0.206666666666667</v>
      </c>
      <c r="L6" s="15" t="n">
        <f aca="false">E6-((E3+E4+E5+E7)/4)</f>
        <v>0.5</v>
      </c>
      <c r="M6" s="18" t="n">
        <f aca="false">0.5 + (L6 * 0.09)</f>
        <v>0.545</v>
      </c>
      <c r="N6" s="15" t="n">
        <f aca="false">((H6-(G6-1))/H6)*(IF(I6&lt;&gt;0,(I6+H6)/H6,1))</f>
        <v>0.48</v>
      </c>
      <c r="O6" s="19" t="n">
        <f aca="false">(N6-(1/6))/(10/6)</f>
        <v>0.188</v>
      </c>
      <c r="P6" s="1" t="n">
        <v>9</v>
      </c>
      <c r="Q6" s="19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9" t="n">
        <f aca="false">IFERROR(T6/S6, 1)</f>
        <v>1</v>
      </c>
      <c r="V6" s="20" t="n">
        <v>0</v>
      </c>
      <c r="W6" s="1" t="n">
        <v>3</v>
      </c>
      <c r="X6" s="30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40" t="n">
        <v>46114</v>
      </c>
      <c r="B7" s="23" t="n">
        <v>1</v>
      </c>
      <c r="C7" s="23" t="s">
        <v>70</v>
      </c>
      <c r="D7" s="23" t="s">
        <v>71</v>
      </c>
      <c r="E7" s="24" t="n">
        <v>3</v>
      </c>
      <c r="F7" s="23" t="n">
        <v>0</v>
      </c>
      <c r="G7" s="23" t="n">
        <v>5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0.5</v>
      </c>
      <c r="M7" s="26" t="n">
        <f aca="false">0.5 + (L7 * 0.09)</f>
        <v>0.545</v>
      </c>
      <c r="N7" s="23" t="n">
        <f aca="false">((H7-(G7-1))/H7)*(IF(I7&lt;&gt;0,(I7+H7)/H7,1))</f>
        <v>0.2</v>
      </c>
      <c r="O7" s="27" t="n">
        <f aca="false">(N7-(1/6))/(10/6)</f>
        <v>0.02</v>
      </c>
      <c r="P7" s="23" t="n">
        <v>7</v>
      </c>
      <c r="Q7" s="27" t="n">
        <f aca="false">IF(F7=1,(((1-((P7-3)/15))*0.5)+0.5),((P7/18)*0.5))</f>
        <v>0.194444444444444</v>
      </c>
      <c r="R7" s="23" t="n">
        <v>1</v>
      </c>
      <c r="S7" s="23" t="n">
        <v>0</v>
      </c>
      <c r="T7" s="23" t="n">
        <v>0</v>
      </c>
      <c r="U7" s="27" t="n">
        <f aca="false">IFERROR(T7/S7, 1)</f>
        <v>1</v>
      </c>
      <c r="V7" s="28" t="n">
        <v>0</v>
      </c>
      <c r="W7" s="25" t="n">
        <v>4</v>
      </c>
      <c r="X7" s="33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1" t="n">
        <v>46115</v>
      </c>
      <c r="B8" s="1" t="n">
        <v>2</v>
      </c>
      <c r="C8" s="15" t="s">
        <v>32</v>
      </c>
      <c r="D8" s="15" t="s">
        <v>62</v>
      </c>
      <c r="E8" s="16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5" t="n">
        <f aca="false">F8-(1/H8)</f>
        <v>0.833333333333333</v>
      </c>
      <c r="K8" s="15" t="n">
        <f aca="false">((I8-((H8-1)/H8))-(-5/6))/((5-(5/6))-(-5/6))</f>
        <v>0.2</v>
      </c>
      <c r="L8" s="15" t="n">
        <f aca="false">E8-((E9+E10+E11+E12+E13)/5)</f>
        <v>0.4</v>
      </c>
      <c r="M8" s="18" t="n">
        <f aca="false">0.5 + (L8 * 0.09)</f>
        <v>0.536</v>
      </c>
      <c r="N8" s="15" t="n">
        <f aca="false">((H8-(G8-1))/H8)*(IF(I8&lt;&gt;0,(I8+H8)/H8,1))</f>
        <v>1.16666666666667</v>
      </c>
      <c r="O8" s="19" t="n">
        <f aca="false">(N8-(1/6))/(10/6)</f>
        <v>0.6</v>
      </c>
      <c r="P8" s="1" t="n">
        <v>13</v>
      </c>
      <c r="Q8" s="19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9" t="n">
        <f aca="false">IFERROR(T8/S8, 1)</f>
        <v>0</v>
      </c>
      <c r="V8" s="20" t="n">
        <v>0</v>
      </c>
      <c r="W8" s="17" t="n">
        <v>3</v>
      </c>
      <c r="X8" s="30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1" t="n">
        <v>46115</v>
      </c>
      <c r="B9" s="1" t="n">
        <v>2</v>
      </c>
      <c r="C9" s="15" t="s">
        <v>30</v>
      </c>
      <c r="D9" s="15" t="s">
        <v>66</v>
      </c>
      <c r="E9" s="16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5" t="n">
        <f aca="false">F9-(1/H9)</f>
        <v>-0.166666666666667</v>
      </c>
      <c r="K9" s="15" t="n">
        <f aca="false">((I9-((H9-1)/H9))-(-5/6))/((5-(5/6))-(-5/6))</f>
        <v>0.8</v>
      </c>
      <c r="L9" s="15" t="n">
        <f aca="false">E9-((E8+E10+E11+E12+E13)/5)</f>
        <v>-0.8</v>
      </c>
      <c r="M9" s="18" t="n">
        <f aca="false">0.5 + (L9 * 0.09)</f>
        <v>0.428</v>
      </c>
      <c r="N9" s="15" t="n">
        <f aca="false">((H9-(G9-1))/H9)*(IF(I9&lt;&gt;0,(I9+H9)/H9,1))</f>
        <v>1.38888888888889</v>
      </c>
      <c r="O9" s="19" t="n">
        <f aca="false">(N9-(1/6))/(10/6)</f>
        <v>0.733333333333333</v>
      </c>
      <c r="P9" s="1" t="n">
        <v>13</v>
      </c>
      <c r="Q9" s="19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9" t="n">
        <f aca="false">IFERROR(T9/S9, 1)</f>
        <v>0</v>
      </c>
      <c r="V9" s="20" t="n">
        <v>0</v>
      </c>
      <c r="W9" s="17" t="n">
        <v>2</v>
      </c>
      <c r="X9" s="30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1" t="n">
        <v>46115</v>
      </c>
      <c r="B10" s="1" t="n">
        <v>2</v>
      </c>
      <c r="C10" s="15" t="s">
        <v>38</v>
      </c>
      <c r="D10" s="15" t="s">
        <v>49</v>
      </c>
      <c r="E10" s="16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5" t="n">
        <f aca="false">F10-(1/H10)</f>
        <v>-0.166666666666667</v>
      </c>
      <c r="K10" s="15" t="n">
        <f aca="false">((I10-((H10-1)/H10))-(-5/6))/((5-(5/6))-(-5/6))</f>
        <v>0</v>
      </c>
      <c r="L10" s="15" t="n">
        <f aca="false">E10-((E8+E9+E11+E12+E13)/5)</f>
        <v>0.4</v>
      </c>
      <c r="M10" s="18" t="n">
        <f aca="false">0.5 + (L10 * 0.09)</f>
        <v>0.536</v>
      </c>
      <c r="N10" s="15" t="n">
        <f aca="false">((H10-(G10-1))/H10)*(IF(I10&lt;&gt;0,(I10+H10)/H10,1))</f>
        <v>0.666666666666667</v>
      </c>
      <c r="O10" s="19" t="n">
        <f aca="false">(N10-(1/6))/(10/6)</f>
        <v>0.3</v>
      </c>
      <c r="P10" s="1" t="n">
        <v>12</v>
      </c>
      <c r="Q10" s="19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9" t="n">
        <f aca="false">IFERROR(T10/S10, 1)</f>
        <v>0.5</v>
      </c>
      <c r="V10" s="20" t="n">
        <v>1</v>
      </c>
      <c r="W10" s="17" t="n">
        <v>3</v>
      </c>
      <c r="X10" s="30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1" t="n">
        <v>46115</v>
      </c>
      <c r="B11" s="1" t="n">
        <v>2</v>
      </c>
      <c r="C11" s="15" t="s">
        <v>59</v>
      </c>
      <c r="D11" s="15" t="s">
        <v>33</v>
      </c>
      <c r="E11" s="16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5" t="n">
        <f aca="false">F11-(1/H11)</f>
        <v>-0.166666666666667</v>
      </c>
      <c r="K11" s="15" t="n">
        <f aca="false">((I11-((H11-1)/H11))-(-5/6))/((5-(5/6))-(-5/6))</f>
        <v>0</v>
      </c>
      <c r="L11" s="15" t="n">
        <f aca="false">E11-((E8+E9+E10+E12+E13)/5)</f>
        <v>-0.8</v>
      </c>
      <c r="M11" s="18" t="n">
        <f aca="false">0.5 + (L11 * 0.09)</f>
        <v>0.428</v>
      </c>
      <c r="N11" s="15" t="n">
        <f aca="false">((H11-(G11-1))/H11)*(IF(I11&lt;&gt;0,(I11+H11)/H11,1))</f>
        <v>0.666666666666667</v>
      </c>
      <c r="O11" s="19" t="n">
        <f aca="false">(N11-(1/6))/(10/6)</f>
        <v>0.3</v>
      </c>
      <c r="P11" s="1" t="n">
        <v>12</v>
      </c>
      <c r="Q11" s="19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9" t="n">
        <f aca="false">IFERROR(T11/S11, 1)</f>
        <v>1</v>
      </c>
      <c r="V11" s="20" t="n">
        <v>1</v>
      </c>
      <c r="W11" s="17" t="n">
        <v>2</v>
      </c>
      <c r="X11" s="30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1" t="n">
        <v>46115</v>
      </c>
      <c r="B12" s="1" t="n">
        <v>2</v>
      </c>
      <c r="C12" s="15" t="s">
        <v>70</v>
      </c>
      <c r="D12" s="15" t="s">
        <v>71</v>
      </c>
      <c r="E12" s="16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5" t="n">
        <f aca="false">F12-(1/H12)</f>
        <v>-0.166666666666667</v>
      </c>
      <c r="K12" s="15" t="n">
        <f aca="false">((I12-((H12-1)/H12))-(-5/6))/((5-(5/6))-(-5/6))</f>
        <v>0</v>
      </c>
      <c r="L12" s="15" t="n">
        <f aca="false">E12-((E8+E9+E10+E11+E13)/5)</f>
        <v>0.4</v>
      </c>
      <c r="M12" s="18" t="n">
        <f aca="false">0.5 + (L12 * 0.09)</f>
        <v>0.536</v>
      </c>
      <c r="N12" s="15" t="n">
        <f aca="false">((H12-(G12-1))/H12)*(IF(I12&lt;&gt;0,(I12+H12)/H12,1))</f>
        <v>0.333333333333333</v>
      </c>
      <c r="O12" s="19" t="n">
        <f aca="false">(N12-(1/6))/(10/6)</f>
        <v>0.1</v>
      </c>
      <c r="P12" s="1" t="n">
        <v>11</v>
      </c>
      <c r="Q12" s="19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4</v>
      </c>
      <c r="X12" s="30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40" t="n">
        <v>46115</v>
      </c>
      <c r="B13" s="23" t="n">
        <v>2</v>
      </c>
      <c r="C13" s="23" t="s">
        <v>28</v>
      </c>
      <c r="D13" s="23" t="s">
        <v>42</v>
      </c>
      <c r="E13" s="24" t="n">
        <v>3</v>
      </c>
      <c r="F13" s="23" t="n">
        <v>0</v>
      </c>
      <c r="G13" s="23" t="n">
        <v>6</v>
      </c>
      <c r="H13" s="23" t="n">
        <v>6</v>
      </c>
      <c r="I13" s="23" t="n">
        <v>0</v>
      </c>
      <c r="J13" s="23" t="n">
        <f aca="false">F13-(1/H13)</f>
        <v>-0.166666666666667</v>
      </c>
      <c r="K13" s="23" t="n">
        <f aca="false">((I13-((H13-1)/H13))-(-5/6))/((5-(5/6))-(-5/6))</f>
        <v>0</v>
      </c>
      <c r="L13" s="23" t="n">
        <f aca="false">E13-((E8+E9+E10+E11+E12)/5)</f>
        <v>0.4</v>
      </c>
      <c r="M13" s="26" t="n">
        <f aca="false">0.5 + (L13 * 0.09)</f>
        <v>0.536</v>
      </c>
      <c r="N13" s="23" t="n">
        <f aca="false">((H13-(G13-1))/H13)*(IF(I13&lt;&gt;0,(I13+H13)/H13,1))</f>
        <v>0.166666666666667</v>
      </c>
      <c r="O13" s="27" t="n">
        <f aca="false">(N13-(1/6))/(10/6)</f>
        <v>0</v>
      </c>
      <c r="P13" s="23" t="n">
        <v>11</v>
      </c>
      <c r="Q13" s="27" t="n">
        <f aca="false">IF(F13=1,(((1-((P13-3)/15))*0.5)+0.5),((P13/18)*0.5))</f>
        <v>0.305555555555556</v>
      </c>
      <c r="R13" s="23" t="n">
        <v>1</v>
      </c>
      <c r="S13" s="23" t="n">
        <v>0</v>
      </c>
      <c r="T13" s="23" t="n">
        <v>0</v>
      </c>
      <c r="U13" s="27" t="n">
        <f aca="false">IFERROR(T13/S13, 1)</f>
        <v>1</v>
      </c>
      <c r="V13" s="28" t="n">
        <v>0</v>
      </c>
      <c r="W13" s="25" t="n">
        <v>3</v>
      </c>
      <c r="X13" s="33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1" t="n">
        <v>46122</v>
      </c>
      <c r="B14" s="1" t="n">
        <v>3</v>
      </c>
      <c r="C14" s="15" t="s">
        <v>30</v>
      </c>
      <c r="D14" s="15" t="s">
        <v>31</v>
      </c>
      <c r="E14" s="16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5" t="n">
        <f aca="false">F14-(1/H14)</f>
        <v>0.666666666666667</v>
      </c>
      <c r="K14" s="15" t="n">
        <f aca="false">((I14-((H14-1)/H14))-(-5/6))/((5-(5/6))-(-5/6))</f>
        <v>0.433333333333333</v>
      </c>
      <c r="L14" s="16" t="n">
        <f aca="false">E14-((E15+E16)/2)</f>
        <v>0.5</v>
      </c>
      <c r="M14" s="18" t="n">
        <f aca="false">0.5 + (L14 * 0.09)</f>
        <v>0.545</v>
      </c>
      <c r="N14" s="15" t="n">
        <f aca="false">((H14-(G14-1))/H14)*(IF(I14&lt;&gt;0,(I14+H14)/H14,1))</f>
        <v>1.66666666666667</v>
      </c>
      <c r="O14" s="19" t="n">
        <f aca="false">(N14-(1/6))/(10/6)</f>
        <v>0.9</v>
      </c>
      <c r="P14" s="1" t="n">
        <v>9</v>
      </c>
      <c r="Q14" s="19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9" t="n">
        <f aca="false">IFERROR(T14/S14, 1)</f>
        <v>1</v>
      </c>
      <c r="V14" s="20" t="n">
        <v>0</v>
      </c>
      <c r="W14" s="17" t="n">
        <v>3</v>
      </c>
      <c r="X14" s="30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1" t="n">
        <v>46122</v>
      </c>
      <c r="B15" s="1" t="n">
        <v>3</v>
      </c>
      <c r="C15" s="15" t="s">
        <v>26</v>
      </c>
      <c r="D15" s="15" t="s">
        <v>27</v>
      </c>
      <c r="E15" s="16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5" t="n">
        <f aca="false">F15-(1/H15)</f>
        <v>-0.333333333333333</v>
      </c>
      <c r="K15" s="15" t="n">
        <f aca="false">((I15-((H15-1)/H15))-(-5/6))/((5-(5/6))-(-5/6))</f>
        <v>0.0333333333333334</v>
      </c>
      <c r="L15" s="15" t="n">
        <f aca="false">E15-((E14+E16)/2)</f>
        <v>0.5</v>
      </c>
      <c r="M15" s="18" t="n">
        <f aca="false">0.5 + (L15 * 0.09)</f>
        <v>0.545</v>
      </c>
      <c r="N15" s="15" t="n">
        <f aca="false">((H15-(G15-1))/H15)*(IF(I15&lt;&gt;0,(I15+H15)/H15,1))</f>
        <v>0.666666666666667</v>
      </c>
      <c r="O15" s="19" t="n">
        <f aca="false">(N15-(1/6))/(10/6)</f>
        <v>0.3</v>
      </c>
      <c r="P15" s="1" t="n">
        <v>9</v>
      </c>
      <c r="Q15" s="19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9" t="n">
        <f aca="false">IFERROR(T15/S15, 1)</f>
        <v>1</v>
      </c>
      <c r="V15" s="20" t="n">
        <v>0</v>
      </c>
      <c r="W15" s="17" t="n">
        <v>4</v>
      </c>
      <c r="X15" s="30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40" t="n">
        <v>46122</v>
      </c>
      <c r="B16" s="23" t="n">
        <v>3</v>
      </c>
      <c r="C16" s="23" t="s">
        <v>32</v>
      </c>
      <c r="D16" s="23" t="s">
        <v>61</v>
      </c>
      <c r="E16" s="24" t="n">
        <v>2</v>
      </c>
      <c r="F16" s="23" t="n">
        <v>0</v>
      </c>
      <c r="G16" s="23" t="n">
        <v>3</v>
      </c>
      <c r="H16" s="23" t="n">
        <v>3</v>
      </c>
      <c r="I16" s="23" t="n">
        <v>0</v>
      </c>
      <c r="J16" s="23" t="n">
        <f aca="false">F16-(1/H16)</f>
        <v>-0.333333333333333</v>
      </c>
      <c r="K16" s="23" t="n">
        <f aca="false">((I16-((H16-1)/H16))-(-5/6))/((5-(5/6))-(-5/6))</f>
        <v>0.0333333333333334</v>
      </c>
      <c r="L16" s="23" t="n">
        <f aca="false">E16-((E14+E15)/2)</f>
        <v>-1</v>
      </c>
      <c r="M16" s="26" t="n">
        <f aca="false">0.5 + (L16 * 0.09)</f>
        <v>0.41</v>
      </c>
      <c r="N16" s="23" t="n">
        <f aca="false">((H16-(G16-1))/H16)*(IF(I16&lt;&gt;0,(I16+H16)/H16,1))</f>
        <v>0.333333333333333</v>
      </c>
      <c r="O16" s="27" t="n">
        <f aca="false">(N16-(1/6))/(10/6)</f>
        <v>0.1</v>
      </c>
      <c r="P16" s="23" t="n">
        <v>8</v>
      </c>
      <c r="Q16" s="27" t="n">
        <f aca="false">IF(F16=1,(((1-((P16-3)/15))*0.5)+0.5),((P16/18)*0.5))</f>
        <v>0.222222222222222</v>
      </c>
      <c r="R16" s="23" t="n">
        <v>1</v>
      </c>
      <c r="S16" s="23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5" t="n">
        <v>2</v>
      </c>
      <c r="X16" s="33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1" t="n">
        <v>46122</v>
      </c>
      <c r="B17" s="1" t="n">
        <v>4</v>
      </c>
      <c r="C17" s="15" t="s">
        <v>32</v>
      </c>
      <c r="D17" s="15" t="s">
        <v>33</v>
      </c>
      <c r="E17" s="16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5" t="n">
        <f aca="false">F17-(1/H17)</f>
        <v>0.666666666666667</v>
      </c>
      <c r="K17" s="15" t="n">
        <f aca="false">((I17-((H17-1)/H17))-(-5/6))/((5-(5/6))-(-5/6))</f>
        <v>0.433333333333333</v>
      </c>
      <c r="L17" s="16" t="n">
        <f aca="false">E17-((E18+E19)/2)</f>
        <v>0.7</v>
      </c>
      <c r="M17" s="18" t="n">
        <f aca="false">0.5 + (L17 * 0.09)</f>
        <v>0.563</v>
      </c>
      <c r="N17" s="15" t="n">
        <f aca="false">((H17-(G17-1))/H17)*(IF(I17&lt;&gt;0,(I17+H17)/H17,1))</f>
        <v>1.66666666666667</v>
      </c>
      <c r="O17" s="19" t="n">
        <f aca="false">(N17-(1/6))/(10/6)</f>
        <v>0.9</v>
      </c>
      <c r="P17" s="1" t="n">
        <v>12</v>
      </c>
      <c r="Q17" s="19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9" t="n">
        <f aca="false">IFERROR(T17/S17, 1)</f>
        <v>1</v>
      </c>
      <c r="V17" s="20" t="n">
        <v>0</v>
      </c>
      <c r="W17" s="17" t="n">
        <v>3</v>
      </c>
      <c r="X17" s="30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1" t="n">
        <v>46122</v>
      </c>
      <c r="B18" s="1" t="n">
        <v>4</v>
      </c>
      <c r="C18" s="15" t="s">
        <v>26</v>
      </c>
      <c r="D18" s="15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5" t="n">
        <f aca="false">F18-(1/H18)</f>
        <v>-0.333333333333333</v>
      </c>
      <c r="K18" s="15" t="n">
        <f aca="false">((I18-((H18-1)/H18))-(-5/6))/((5-(5/6))-(-5/6))</f>
        <v>0.0333333333333334</v>
      </c>
      <c r="L18" s="15" t="n">
        <f aca="false">E18-((E17+E19)/2)</f>
        <v>0.1</v>
      </c>
      <c r="M18" s="18" t="n">
        <f aca="false">0.5 + (L18 * 0.09)</f>
        <v>0.509</v>
      </c>
      <c r="N18" s="15" t="n">
        <f aca="false">((H18-(G18-1))/H18)*(IF(I18&lt;&gt;0,(I18+H18)/H18,1))</f>
        <v>0.666666666666667</v>
      </c>
      <c r="O18" s="19" t="n">
        <f aca="false">(N18-(1/6))/(10/6)</f>
        <v>0.3</v>
      </c>
      <c r="P18" s="1" t="n">
        <v>12</v>
      </c>
      <c r="Q18" s="19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9" t="n">
        <f aca="false">IFERROR(T18/S18, 1)</f>
        <v>0</v>
      </c>
      <c r="V18" s="20" t="n">
        <v>0</v>
      </c>
      <c r="W18" s="17" t="n">
        <v>2</v>
      </c>
      <c r="X18" s="30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40" t="n">
        <v>46122</v>
      </c>
      <c r="B19" s="23" t="n">
        <v>4</v>
      </c>
      <c r="C19" s="23" t="s">
        <v>30</v>
      </c>
      <c r="D19" s="23" t="s">
        <v>34</v>
      </c>
      <c r="E19" s="24" t="n">
        <v>2</v>
      </c>
      <c r="F19" s="23" t="n">
        <v>0</v>
      </c>
      <c r="G19" s="23" t="n">
        <v>3</v>
      </c>
      <c r="H19" s="23" t="n">
        <v>3</v>
      </c>
      <c r="I19" s="23" t="n">
        <v>0</v>
      </c>
      <c r="J19" s="23" t="n">
        <f aca="false">F19-(1/H19)</f>
        <v>-0.333333333333333</v>
      </c>
      <c r="K19" s="23" t="n">
        <f aca="false">((I19-((H19-1)/H19))-(-5/6))/((5-(5/6))-(-5/6))</f>
        <v>0.0333333333333334</v>
      </c>
      <c r="L19" s="23" t="n">
        <f aca="false">E19-((E17+E18)/2)</f>
        <v>-0.8</v>
      </c>
      <c r="M19" s="26" t="n">
        <f aca="false">0.5 + (L19 * 0.09)</f>
        <v>0.428</v>
      </c>
      <c r="N19" s="23" t="n">
        <f aca="false">((H19-(G19-1))/H19)*(IF(I19&lt;&gt;0,(I19+H19)/H19,1))</f>
        <v>0.333333333333333</v>
      </c>
      <c r="O19" s="27" t="n">
        <f aca="false">(N19-(1/6))/(10/6)</f>
        <v>0.1</v>
      </c>
      <c r="P19" s="23" t="n">
        <v>8</v>
      </c>
      <c r="Q19" s="27" t="n">
        <f aca="false">IF(F19=1,(((1-((P19-3)/15))*0.5)+0.5),((P19/18)*0.5))</f>
        <v>0.222222222222222</v>
      </c>
      <c r="R19" s="23" t="n">
        <v>1</v>
      </c>
      <c r="S19" s="23" t="n">
        <v>1</v>
      </c>
      <c r="T19" s="23" t="n">
        <v>0</v>
      </c>
      <c r="U19" s="27" t="n">
        <f aca="false">IFERROR(T19/S19, 1)</f>
        <v>0</v>
      </c>
      <c r="V19" s="28" t="n">
        <v>0</v>
      </c>
      <c r="W19" s="25" t="n">
        <v>3</v>
      </c>
      <c r="X19" s="33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1" t="n">
        <v>46129</v>
      </c>
      <c r="B20" s="1" t="n">
        <v>5</v>
      </c>
      <c r="C20" s="15" t="s">
        <v>30</v>
      </c>
      <c r="D20" s="15" t="s">
        <v>74</v>
      </c>
      <c r="E20" s="16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5" t="n">
        <f aca="false">F20-(1/H20)</f>
        <v>0.833333333333333</v>
      </c>
      <c r="K20" s="15" t="n">
        <f aca="false">((I20-((H20-1)/H20))-(-5/6))/((5-(5/6))-(-5/6))</f>
        <v>0.8</v>
      </c>
      <c r="L20" s="15" t="n">
        <f aca="false">E20-((E21+E22+E23+E24+E25)/5)</f>
        <v>-0.52</v>
      </c>
      <c r="M20" s="18" t="n">
        <f aca="false">0.5 + (L20 * 0.09)</f>
        <v>0.4532</v>
      </c>
      <c r="N20" s="15" t="n">
        <f aca="false">((H20-(G20-1))/H20)*(IF(I20&lt;&gt;0,(I20+H20)/H20,1))</f>
        <v>1.66666666666667</v>
      </c>
      <c r="O20" s="19" t="n">
        <f aca="false">(N20-(1/6))/(10/6)</f>
        <v>0.9</v>
      </c>
      <c r="P20" s="1" t="n">
        <v>8</v>
      </c>
      <c r="Q20" s="19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9" t="n">
        <f aca="false">IFERROR(T20/S20, 1)</f>
        <v>1</v>
      </c>
      <c r="V20" s="20" t="n">
        <v>0</v>
      </c>
      <c r="W20" s="17" t="n">
        <v>2</v>
      </c>
      <c r="X20" s="30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1" t="n">
        <v>46129</v>
      </c>
      <c r="B21" s="1" t="n">
        <v>5</v>
      </c>
      <c r="C21" s="15" t="s">
        <v>26</v>
      </c>
      <c r="D21" s="15" t="s">
        <v>75</v>
      </c>
      <c r="E21" s="16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5" t="n">
        <f aca="false">F21-(1/H21)</f>
        <v>-0.166666666666667</v>
      </c>
      <c r="K21" s="15" t="n">
        <f aca="false">((I21-((H21-1)/H21))-(-5/6))/((5-(5/6))-(-5/6))</f>
        <v>0</v>
      </c>
      <c r="L21" s="15" t="n">
        <f aca="false">E21-((E20+E22+E23+E24+E25)/5)</f>
        <v>-0.52</v>
      </c>
      <c r="M21" s="18" t="n">
        <f aca="false">0.5 + (L21 * 0.09)</f>
        <v>0.4532</v>
      </c>
      <c r="N21" s="15" t="n">
        <f aca="false">((H21-(G21-1))/H21)*(IF(I21&lt;&gt;0,(I21+H21)/H21,1))</f>
        <v>0.833333333333333</v>
      </c>
      <c r="O21" s="19" t="n">
        <f aca="false">(N21-(1/6))/(10/6)</f>
        <v>0.4</v>
      </c>
      <c r="P21" s="1" t="n">
        <v>8</v>
      </c>
      <c r="Q21" s="19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9" t="n">
        <f aca="false">IFERROR(T21/S21, 1)</f>
        <v>0</v>
      </c>
      <c r="V21" s="20" t="n">
        <v>0</v>
      </c>
      <c r="W21" s="17" t="n">
        <v>2</v>
      </c>
      <c r="X21" s="30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1" t="n">
        <v>46129</v>
      </c>
      <c r="B22" s="1" t="n">
        <v>5</v>
      </c>
      <c r="C22" s="15" t="s">
        <v>70</v>
      </c>
      <c r="D22" s="15" t="s">
        <v>57</v>
      </c>
      <c r="E22" s="16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5" t="n">
        <f aca="false">F22-(1/H22)</f>
        <v>-0.166666666666667</v>
      </c>
      <c r="K22" s="15" t="n">
        <f aca="false">((I22-((H22-1)/H22))-(-5/6))/((5-(5/6))-(-5/6))</f>
        <v>0</v>
      </c>
      <c r="L22" s="15" t="n">
        <f aca="false">E22-((E20+E21+E23+E24+E25)/5)</f>
        <v>0.68</v>
      </c>
      <c r="M22" s="18" t="n">
        <f aca="false">0.5 + (L22 * 0.09)</f>
        <v>0.5612</v>
      </c>
      <c r="N22" s="15" t="n">
        <f aca="false">((H22-(G22-1))/H22)*(IF(I22&lt;&gt;0,(I22+H22)/H22,1))</f>
        <v>0.833333333333333</v>
      </c>
      <c r="O22" s="19" t="n">
        <f aca="false">(N22-(1/6))/(10/6)</f>
        <v>0.4</v>
      </c>
      <c r="P22" s="1" t="n">
        <v>8</v>
      </c>
      <c r="Q22" s="19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17" t="n">
        <v>4</v>
      </c>
      <c r="X22" s="30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1" t="n">
        <v>46129</v>
      </c>
      <c r="B23" s="1" t="n">
        <v>5</v>
      </c>
      <c r="C23" s="15" t="s">
        <v>38</v>
      </c>
      <c r="D23" s="15" t="s">
        <v>76</v>
      </c>
      <c r="E23" s="16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5" t="n">
        <f aca="false">F23-(1/H23)</f>
        <v>-0.166666666666667</v>
      </c>
      <c r="K23" s="15" t="n">
        <f aca="false">((I23-((H23-1)/H23))-(-5/6))/((5-(5/6))-(-5/6))</f>
        <v>0</v>
      </c>
      <c r="L23" s="15" t="n">
        <f aca="false">E23-((E20+E21+E22+E24+E25)/5)</f>
        <v>-0.52</v>
      </c>
      <c r="M23" s="18" t="n">
        <f aca="false">0.5 + (L23 * 0.09)</f>
        <v>0.4532</v>
      </c>
      <c r="N23" s="15" t="n">
        <f aca="false">((H23-(G23-1))/H23)*(IF(I23&lt;&gt;0,(I23+H23)/H23,1))</f>
        <v>0.833333333333333</v>
      </c>
      <c r="O23" s="19" t="n">
        <f aca="false">(N23-(1/6))/(10/6)</f>
        <v>0.4</v>
      </c>
      <c r="P23" s="1" t="n">
        <v>8</v>
      </c>
      <c r="Q23" s="19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9" t="n">
        <f aca="false">IFERROR(T23/S23, 1)</f>
        <v>0</v>
      </c>
      <c r="V23" s="20" t="n">
        <v>1</v>
      </c>
      <c r="W23" s="17" t="n">
        <v>2</v>
      </c>
      <c r="X23" s="30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1" t="n">
        <v>46129</v>
      </c>
      <c r="B24" s="1" t="n">
        <v>5</v>
      </c>
      <c r="C24" s="15" t="s">
        <v>32</v>
      </c>
      <c r="D24" s="15" t="s">
        <v>62</v>
      </c>
      <c r="E24" s="16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5" t="n">
        <f aca="false">F24-(1/H24)</f>
        <v>-0.166666666666667</v>
      </c>
      <c r="K24" s="15" t="n">
        <f aca="false">((I24-((H24-1)/H24))-(-5/6))/((5-(5/6))-(-5/6))</f>
        <v>0</v>
      </c>
      <c r="L24" s="15" t="n">
        <f aca="false">E24-((E20+E21+E22+E23+E25)/5)</f>
        <v>1.4</v>
      </c>
      <c r="M24" s="18" t="n">
        <f aca="false">0.5 + (L24 * 0.09)</f>
        <v>0.626</v>
      </c>
      <c r="N24" s="15" t="n">
        <f aca="false">((H24-(G24-1))/H24)*(IF(I24&lt;&gt;0,(I24+H24)/H24,1))</f>
        <v>0.333333333333333</v>
      </c>
      <c r="O24" s="19" t="n">
        <f aca="false">(N24-(1/6))/(10/6)</f>
        <v>0.1</v>
      </c>
      <c r="P24" s="1" t="n">
        <v>7</v>
      </c>
      <c r="Q24" s="19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9" t="n">
        <f aca="false">IFERROR(T24/S24, 1)</f>
        <v>0</v>
      </c>
      <c r="V24" s="20" t="n">
        <v>0</v>
      </c>
      <c r="W24" s="17" t="n">
        <v>3</v>
      </c>
      <c r="X24" s="30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40" t="n">
        <v>46129</v>
      </c>
      <c r="B25" s="23" t="n">
        <v>5</v>
      </c>
      <c r="C25" s="23" t="s">
        <v>51</v>
      </c>
      <c r="D25" s="23" t="s">
        <v>52</v>
      </c>
      <c r="E25" s="24" t="n">
        <v>2</v>
      </c>
      <c r="F25" s="23" t="n">
        <v>0</v>
      </c>
      <c r="G25" s="23" t="n">
        <v>6</v>
      </c>
      <c r="H25" s="23" t="n">
        <v>6</v>
      </c>
      <c r="I25" s="23" t="n">
        <v>0</v>
      </c>
      <c r="J25" s="23" t="n">
        <f aca="false">F25-(1/H25)</f>
        <v>-0.166666666666667</v>
      </c>
      <c r="K25" s="23" t="n">
        <f aca="false">((I25-((H25-1)/H25))-(-5/6))/((5-(5/6))-(-5/6))</f>
        <v>0</v>
      </c>
      <c r="L25" s="23" t="n">
        <f aca="false">E25-((E20+E21+E22+E23+E24)/5)</f>
        <v>-0.52</v>
      </c>
      <c r="M25" s="26" t="n">
        <f aca="false">0.5 + (L25 * 0.09)</f>
        <v>0.4532</v>
      </c>
      <c r="N25" s="23" t="n">
        <f aca="false">((H25-(G25-1))/H25)*(IF(I25&lt;&gt;0,(I25+H25)/H25,1))</f>
        <v>0.166666666666667</v>
      </c>
      <c r="O25" s="27" t="n">
        <f aca="false">(N25-(1/6))/(10/6)</f>
        <v>0</v>
      </c>
      <c r="P25" s="23" t="n">
        <v>5</v>
      </c>
      <c r="Q25" s="27" t="n">
        <f aca="false">IF(F25=1,(((1-((P25-3)/15))*0.5)+0.5),((P25/18)*0.5))</f>
        <v>0.138888888888889</v>
      </c>
      <c r="R25" s="23" t="n">
        <v>0</v>
      </c>
      <c r="S25" s="23" t="n">
        <v>0</v>
      </c>
      <c r="T25" s="23" t="n">
        <v>0</v>
      </c>
      <c r="U25" s="27" t="n">
        <f aca="false">IFERROR(T25/S25, 1)</f>
        <v>1</v>
      </c>
      <c r="V25" s="28" t="n">
        <v>0</v>
      </c>
      <c r="W25" s="25" t="n">
        <v>2</v>
      </c>
      <c r="X25" s="33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1" t="n">
        <v>46129</v>
      </c>
      <c r="B26" s="1" t="n">
        <v>6</v>
      </c>
      <c r="C26" s="15" t="s">
        <v>30</v>
      </c>
      <c r="D26" s="15" t="s">
        <v>57</v>
      </c>
      <c r="E26" s="16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5" t="n">
        <f aca="false">F26-(1/H26)</f>
        <v>0.8</v>
      </c>
      <c r="K26" s="15" t="n">
        <f aca="false">((I26-((H26-1)/H26))-(-5/6))/((5-(5/6))-(-5/6))</f>
        <v>0.606666666666667</v>
      </c>
      <c r="L26" s="35" t="n">
        <f aca="false">E26-((E27+E28+E29+E30)/4)</f>
        <v>0.625</v>
      </c>
      <c r="M26" s="42" t="n">
        <f aca="false">0.5 + (L26 * 0.09)</f>
        <v>0.55625</v>
      </c>
      <c r="N26" s="15" t="n">
        <f aca="false">((H26-(G26-1))/H26)*(IF(I26&lt;&gt;0,(I26+H26)/H26,1))</f>
        <v>1.6</v>
      </c>
      <c r="O26" s="19" t="n">
        <f aca="false">(N26-(1/6))/(10/6)</f>
        <v>0.86</v>
      </c>
      <c r="P26" s="1" t="n">
        <v>11</v>
      </c>
      <c r="Q26" s="19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9" t="n">
        <f aca="false">IFERROR(T26/S26, 1)</f>
        <v>1</v>
      </c>
      <c r="V26" s="20" t="n">
        <v>0</v>
      </c>
      <c r="W26" s="17" t="n">
        <v>4</v>
      </c>
      <c r="X26" s="30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1" t="n">
        <v>46129</v>
      </c>
      <c r="B27" s="1" t="n">
        <v>6</v>
      </c>
      <c r="C27" s="15" t="s">
        <v>32</v>
      </c>
      <c r="D27" s="15" t="s">
        <v>41</v>
      </c>
      <c r="E27" s="16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5" t="n">
        <f aca="false">F27-(1/H27)</f>
        <v>-0.2</v>
      </c>
      <c r="K27" s="15" t="n">
        <f aca="false">((I27-((H27-1)/H27))-(-5/6))/((5-(5/6))-(-5/6))</f>
        <v>0.00666666666666667</v>
      </c>
      <c r="L27" s="15" t="n">
        <f aca="false">E27-((E26+E28+E29+E30)/4)</f>
        <v>0.625</v>
      </c>
      <c r="M27" s="18" t="n">
        <f aca="false">0.5 + (L27 * 0.09)</f>
        <v>0.55625</v>
      </c>
      <c r="N27" s="15" t="n">
        <f aca="false">((H27-(G27-1))/H27)*(IF(I27&lt;&gt;0,(I27+H27)/H27,1))</f>
        <v>0.8</v>
      </c>
      <c r="O27" s="19" t="n">
        <f aca="false">(N27-(1/6))/(10/6)</f>
        <v>0.38</v>
      </c>
      <c r="P27" s="1" t="n">
        <v>11</v>
      </c>
      <c r="Q27" s="19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9" t="n">
        <f aca="false">IFERROR(T27/S27, 1)</f>
        <v>0.5</v>
      </c>
      <c r="V27" s="20" t="n">
        <v>1</v>
      </c>
      <c r="W27" s="17" t="n">
        <v>3</v>
      </c>
      <c r="X27" s="30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1" t="n">
        <v>46129</v>
      </c>
      <c r="B28" s="1" t="n">
        <v>6</v>
      </c>
      <c r="C28" s="15" t="s">
        <v>26</v>
      </c>
      <c r="D28" s="15" t="s">
        <v>75</v>
      </c>
      <c r="E28" s="16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5" t="n">
        <f aca="false">F28-(1/H28)</f>
        <v>-0.2</v>
      </c>
      <c r="K28" s="15" t="n">
        <f aca="false">((I28-((H28-1)/H28))-(-5/6))/((5-(5/6))-(-5/6))</f>
        <v>0.00666666666666667</v>
      </c>
      <c r="L28" s="15" t="n">
        <f aca="false">E28-((E26+E27+E29+E30)/4)</f>
        <v>0</v>
      </c>
      <c r="M28" s="18" t="n">
        <f aca="false">0.5 + (L28 * 0.09)</f>
        <v>0.5</v>
      </c>
      <c r="N28" s="15" t="n">
        <f aca="false">((H28-(G28-1))/H28)*(IF(I28&lt;&gt;0,(I28+H28)/H28,1))</f>
        <v>0.8</v>
      </c>
      <c r="O28" s="19" t="n">
        <f aca="false">(N28-(1/6))/(10/6)</f>
        <v>0.38</v>
      </c>
      <c r="P28" s="1" t="n">
        <v>11</v>
      </c>
      <c r="Q28" s="19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9" t="n">
        <f aca="false">IFERROR(T28/S28, 1)</f>
        <v>1</v>
      </c>
      <c r="V28" s="20" t="n">
        <v>0</v>
      </c>
      <c r="W28" s="17" t="n">
        <v>2</v>
      </c>
      <c r="X28" s="30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1" t="n">
        <v>46129</v>
      </c>
      <c r="B29" s="1" t="n">
        <v>6</v>
      </c>
      <c r="C29" s="15" t="s">
        <v>38</v>
      </c>
      <c r="D29" s="15" t="s">
        <v>77</v>
      </c>
      <c r="E29" s="16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5" t="n">
        <f aca="false">F29-(1/H29)</f>
        <v>-0.2</v>
      </c>
      <c r="K29" s="15" t="n">
        <f aca="false">((I29-((H29-1)/H29))-(-5/6))/((5-(5/6))-(-5/6))</f>
        <v>0.00666666666666667</v>
      </c>
      <c r="L29" s="15" t="n">
        <f aca="false">E29-((E26+E27+E28+E30)/4)</f>
        <v>-0.625</v>
      </c>
      <c r="M29" s="18" t="n">
        <f aca="false">0.5 + (L29 * 0.09)</f>
        <v>0.44375</v>
      </c>
      <c r="N29" s="15" t="n">
        <f aca="false">((H29-(G29-1))/H29)*(IF(I29&lt;&gt;0,(I29+H29)/H29,1))</f>
        <v>0.4</v>
      </c>
      <c r="O29" s="19" t="n">
        <f aca="false">(N29-(1/6))/(10/6)</f>
        <v>0.14</v>
      </c>
      <c r="P29" s="1" t="n">
        <v>9</v>
      </c>
      <c r="Q29" s="19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9" t="n">
        <f aca="false">IFERROR(T29/S29, 1)</f>
        <v>0</v>
      </c>
      <c r="V29" s="20" t="n">
        <v>0</v>
      </c>
      <c r="W29" s="17" t="n">
        <v>2</v>
      </c>
      <c r="X29" s="30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40" t="n">
        <v>46129</v>
      </c>
      <c r="B30" s="23" t="n">
        <v>6</v>
      </c>
      <c r="C30" s="23" t="s">
        <v>70</v>
      </c>
      <c r="D30" s="23" t="s">
        <v>78</v>
      </c>
      <c r="E30" s="24" t="n">
        <v>2</v>
      </c>
      <c r="F30" s="23" t="n">
        <v>0</v>
      </c>
      <c r="G30" s="23" t="n">
        <v>5</v>
      </c>
      <c r="H30" s="23" t="n">
        <v>5</v>
      </c>
      <c r="I30" s="23" t="n">
        <v>0</v>
      </c>
      <c r="J30" s="23" t="n">
        <f aca="false">F30-(1/H30)</f>
        <v>-0.2</v>
      </c>
      <c r="K30" s="23" t="n">
        <f aca="false">((I30-((H30-1)/H30))-(-5/6))/((5-(5/6))-(-5/6))</f>
        <v>0.00666666666666667</v>
      </c>
      <c r="L30" s="23" t="n">
        <f aca="false">E30-((E26+E27+E28+E29)/4)</f>
        <v>-0.625</v>
      </c>
      <c r="M30" s="26" t="n">
        <f aca="false">0.5 + (L30 * 0.09)</f>
        <v>0.44375</v>
      </c>
      <c r="N30" s="23" t="n">
        <f aca="false">((H30-(G30-1))/H30)*(IF(I30&lt;&gt;0,(I30+H30)/H30,1))</f>
        <v>0.2</v>
      </c>
      <c r="O30" s="27" t="n">
        <f aca="false">(N30-(1/6))/(10/6)</f>
        <v>0.02</v>
      </c>
      <c r="P30" s="23" t="n">
        <v>9</v>
      </c>
      <c r="Q30" s="27" t="n">
        <f aca="false">IF(F30=1,(((1-((P30-3)/15))*0.5)+0.5),((P30/18)*0.5))</f>
        <v>0.25</v>
      </c>
      <c r="R30" s="23" t="n">
        <v>0</v>
      </c>
      <c r="S30" s="23" t="n">
        <v>2</v>
      </c>
      <c r="T30" s="23" t="n">
        <v>0</v>
      </c>
      <c r="U30" s="27" t="n">
        <f aca="false">IFERROR(T30/S30, 1)</f>
        <v>0</v>
      </c>
      <c r="V30" s="28" t="n">
        <v>0</v>
      </c>
      <c r="W30" s="25" t="n">
        <v>2</v>
      </c>
      <c r="X30" s="33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1" t="n">
        <v>46134</v>
      </c>
      <c r="B31" s="1" t="n">
        <v>7</v>
      </c>
      <c r="C31" s="15" t="s">
        <v>28</v>
      </c>
      <c r="D31" s="15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5" t="n">
        <f aca="false">F31-(1/H31)</f>
        <v>0.75</v>
      </c>
      <c r="K31" s="15" t="n">
        <f aca="false">((I31-((H31-1)/H31))-(-5/6))/((5-(5/6))-(-5/6))</f>
        <v>0.616666666666667</v>
      </c>
      <c r="L31" s="15" t="n">
        <f aca="false">E31-((E32+E33+E34)/3)</f>
        <v>1.1</v>
      </c>
      <c r="M31" s="18" t="n">
        <f aca="false">0.5 + (L31 * 0.09)</f>
        <v>0.599</v>
      </c>
      <c r="N31" s="15" t="n">
        <f aca="false">((H31-(G31-1))/H31)*(IF(I31&lt;&gt;0,(I31+H31)/H31,1))</f>
        <v>1.75</v>
      </c>
      <c r="O31" s="19" t="n">
        <f aca="false">(N31-(1/6))/(10/6)</f>
        <v>0.95</v>
      </c>
      <c r="P31" s="1" t="n">
        <v>9</v>
      </c>
      <c r="Q31" s="19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17" t="n">
        <v>3</v>
      </c>
      <c r="X31" s="30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1" t="n">
        <v>46134</v>
      </c>
      <c r="B32" s="1" t="n">
        <v>7</v>
      </c>
      <c r="C32" s="15" t="s">
        <v>38</v>
      </c>
      <c r="D32" s="15" t="s">
        <v>76</v>
      </c>
      <c r="E32" s="16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5" t="n">
        <f aca="false">F32-(1/H32)</f>
        <v>-0.25</v>
      </c>
      <c r="K32" s="15" t="n">
        <f aca="false">((I32-((H32-1)/H32))-(-5/6))/((5-(5/6))-(-5/6))</f>
        <v>0.0166666666666667</v>
      </c>
      <c r="L32" s="15" t="n">
        <f aca="false">E32-((E31+E33+E34)/3)</f>
        <v>-0.9</v>
      </c>
      <c r="M32" s="18" t="n">
        <f aca="false">0.5 + (L32 * 0.09)</f>
        <v>0.419</v>
      </c>
      <c r="N32" s="15" t="n">
        <f aca="false">((H32-(G32-1))/H32)*(IF(I32&lt;&gt;0,(I32+H32)/H32,1))</f>
        <v>0.75</v>
      </c>
      <c r="O32" s="19" t="n">
        <f aca="false">(N32-(1/6))/(10/6)</f>
        <v>0.35</v>
      </c>
      <c r="P32" s="1" t="n">
        <v>9</v>
      </c>
      <c r="Q32" s="19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2</v>
      </c>
      <c r="X32" s="30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1" t="n">
        <v>46134</v>
      </c>
      <c r="B33" s="1" t="n">
        <v>7</v>
      </c>
      <c r="C33" s="15" t="s">
        <v>32</v>
      </c>
      <c r="D33" s="15" t="s">
        <v>62</v>
      </c>
      <c r="E33" s="16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5" t="n">
        <f aca="false">F33-(1/H33)</f>
        <v>-0.25</v>
      </c>
      <c r="K33" s="15" t="n">
        <f aca="false">((I33-((H33-1)/H33))-(-5/6))/((5-(5/6))-(-5/6))</f>
        <v>0.0166666666666667</v>
      </c>
      <c r="L33" s="15" t="n">
        <f aca="false">E33-((E31+E32+E34)/3)</f>
        <v>0.699999999999999</v>
      </c>
      <c r="M33" s="18" t="n">
        <f aca="false">0.5 + (L33 * 0.09)</f>
        <v>0.563</v>
      </c>
      <c r="N33" s="15" t="n">
        <f aca="false">((H33-(G33-1))/H33)*(IF(I33&lt;&gt;0,(I33+H33)/H33,1))</f>
        <v>0.75</v>
      </c>
      <c r="O33" s="19" t="n">
        <f aca="false">(N33-(1/6))/(10/6)</f>
        <v>0.35</v>
      </c>
      <c r="P33" s="1" t="n">
        <v>9</v>
      </c>
      <c r="Q33" s="19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9" t="n">
        <f aca="false">IFERROR(T33/S33, 1)</f>
        <v>0.666666666666667</v>
      </c>
      <c r="V33" s="20" t="n">
        <v>0</v>
      </c>
      <c r="W33" s="17" t="n">
        <v>3</v>
      </c>
      <c r="X33" s="30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40" t="n">
        <v>46134</v>
      </c>
      <c r="B34" s="23" t="n">
        <v>7</v>
      </c>
      <c r="C34" s="23" t="s">
        <v>70</v>
      </c>
      <c r="D34" s="23" t="s">
        <v>78</v>
      </c>
      <c r="E34" s="24" t="n">
        <v>2.2</v>
      </c>
      <c r="F34" s="23" t="n">
        <v>0</v>
      </c>
      <c r="G34" s="23" t="n">
        <v>4</v>
      </c>
      <c r="H34" s="23" t="n">
        <v>4</v>
      </c>
      <c r="I34" s="23" t="n">
        <v>0</v>
      </c>
      <c r="J34" s="23" t="n">
        <f aca="false">F34-(1/H34)</f>
        <v>-0.25</v>
      </c>
      <c r="K34" s="23" t="n">
        <f aca="false">((I34-((H34-1)/H34))-(-5/6))/((5-(5/6))-(-5/6))</f>
        <v>0.0166666666666667</v>
      </c>
      <c r="L34" s="23" t="n">
        <f aca="false">E34-((E31+E32+E33)/3)</f>
        <v>-0.9</v>
      </c>
      <c r="M34" s="26" t="n">
        <f aca="false">0.5 + (L34 * 0.09)</f>
        <v>0.419</v>
      </c>
      <c r="N34" s="23" t="n">
        <f aca="false">((H34-(G34-1))/H34)*(IF(I34&lt;&gt;0,(I34+H34)/H34,1))</f>
        <v>0.25</v>
      </c>
      <c r="O34" s="27" t="n">
        <f aca="false">(N34-(1/6))/(10/6)</f>
        <v>0.05</v>
      </c>
      <c r="P34" s="23" t="n">
        <v>8</v>
      </c>
      <c r="Q34" s="27" t="n">
        <f aca="false">IF(F34=1,(((1-((P34-3)/15))*0.5)+0.5),((P34/18)*0.5))</f>
        <v>0.222222222222222</v>
      </c>
      <c r="R34" s="23" t="n">
        <v>0</v>
      </c>
      <c r="S34" s="23" t="n">
        <v>1</v>
      </c>
      <c r="T34" s="23" t="n">
        <v>0</v>
      </c>
      <c r="U34" s="27" t="n">
        <f aca="false">IFERROR(T34/S34, 1)</f>
        <v>0</v>
      </c>
      <c r="V34" s="28" t="n">
        <v>0</v>
      </c>
      <c r="W34" s="25" t="n">
        <v>2</v>
      </c>
      <c r="X34" s="33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1" t="n">
        <v>46143</v>
      </c>
      <c r="B35" s="1" t="n">
        <v>8</v>
      </c>
      <c r="C35" s="15" t="s">
        <v>32</v>
      </c>
      <c r="D35" s="15" t="s">
        <v>79</v>
      </c>
      <c r="E35" s="16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5" t="n">
        <f aca="false">F35-(1/H35)</f>
        <v>0.833333333333333</v>
      </c>
      <c r="K35" s="15" t="n">
        <f aca="false">((I35-((H35-1)/H35))-(-5/6))/((5-(5/6))-(-5/6))</f>
        <v>0.6</v>
      </c>
      <c r="L35" s="15" t="n">
        <f aca="false">E35-((E36+E37+E38+E39+E40)/5)</f>
        <v>-0.520000000000001</v>
      </c>
      <c r="M35" s="18" t="n">
        <f aca="false">0.5 + (L35 * 0.09)</f>
        <v>0.4532</v>
      </c>
      <c r="N35" s="15" t="n">
        <f aca="false">((H35-(G35-1))/H35)*(IF(I35&lt;&gt;0,(I35+H35)/H35,1))</f>
        <v>1.5</v>
      </c>
      <c r="O35" s="19" t="n">
        <f aca="false">(N35-(1/6))/(10/6)</f>
        <v>0.8</v>
      </c>
      <c r="P35" s="1" t="n">
        <v>14</v>
      </c>
      <c r="Q35" s="19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9" t="n">
        <f aca="false">IFERROR(T35/S35, 1)</f>
        <v>0</v>
      </c>
      <c r="V35" s="20" t="n">
        <v>0</v>
      </c>
      <c r="W35" s="17" t="n">
        <v>2</v>
      </c>
      <c r="X35" s="30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1" t="n">
        <v>46143</v>
      </c>
      <c r="B36" s="1" t="n">
        <v>8</v>
      </c>
      <c r="C36" s="15" t="s">
        <v>30</v>
      </c>
      <c r="D36" s="15" t="s">
        <v>80</v>
      </c>
      <c r="E36" s="16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5" t="n">
        <f aca="false">F36-(1/H36)</f>
        <v>-0.166666666666667</v>
      </c>
      <c r="K36" s="15" t="n">
        <f aca="false">((I36-((H36-1)/H36))-(-5/6))/((5-(5/6))-(-5/6))</f>
        <v>0.2</v>
      </c>
      <c r="L36" s="15" t="n">
        <f aca="false">E36-((E35+E37+E38+E39+E40)/5)</f>
        <v>-0.520000000000001</v>
      </c>
      <c r="M36" s="18" t="n">
        <f aca="false">0.5 + (L36 * 0.09)</f>
        <v>0.4532</v>
      </c>
      <c r="N36" s="15" t="n">
        <f aca="false">((H36-(G36-1))/H36)*(IF(I36&lt;&gt;0,(I36+H36)/H36,1))</f>
        <v>0.972222222222222</v>
      </c>
      <c r="O36" s="19" t="n">
        <f aca="false">(N36-(1/6))/(10/6)</f>
        <v>0.483333333333333</v>
      </c>
      <c r="P36" s="1" t="n">
        <v>14</v>
      </c>
      <c r="Q36" s="19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17" t="n">
        <v>2</v>
      </c>
      <c r="X36" s="30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1" t="n">
        <v>46143</v>
      </c>
      <c r="B37" s="1" t="n">
        <v>8</v>
      </c>
      <c r="C37" s="15" t="s">
        <v>38</v>
      </c>
      <c r="D37" s="15" t="s">
        <v>77</v>
      </c>
      <c r="E37" s="16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5" t="n">
        <f aca="false">F37-(1/H37)</f>
        <v>-0.166666666666667</v>
      </c>
      <c r="K37" s="15" t="n">
        <f aca="false">((I37-((H37-1)/H37))-(-5/6))/((5-(5/6))-(-5/6))</f>
        <v>0.2</v>
      </c>
      <c r="L37" s="15" t="n">
        <f aca="false">E37-((E35+E36+E38+E39+E40)/5)</f>
        <v>-0.04</v>
      </c>
      <c r="M37" s="18" t="n">
        <f aca="false">0.5 + (L37 * 0.09)</f>
        <v>0.4964</v>
      </c>
      <c r="N37" s="15" t="n">
        <f aca="false">((H37-(G37-1))/H37)*(IF(I37&lt;&gt;0,(I37+H37)/H37,1))</f>
        <v>0.777777777777778</v>
      </c>
      <c r="O37" s="19" t="n">
        <f aca="false">(N37-(1/6))/(10/6)</f>
        <v>0.366666666666667</v>
      </c>
      <c r="P37" s="1" t="n">
        <v>14</v>
      </c>
      <c r="Q37" s="19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17" t="n">
        <v>2</v>
      </c>
      <c r="X37" s="30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1" t="n">
        <v>46143</v>
      </c>
      <c r="B38" s="1" t="n">
        <v>8</v>
      </c>
      <c r="C38" s="15" t="s">
        <v>28</v>
      </c>
      <c r="D38" s="15" t="s">
        <v>67</v>
      </c>
      <c r="E38" s="16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5" t="n">
        <f aca="false">F38-(1/H38)</f>
        <v>-0.166666666666667</v>
      </c>
      <c r="K38" s="15" t="n">
        <f aca="false">((I38-((H38-1)/H38))-(-5/6))/((5-(5/6))-(-5/6))</f>
        <v>0</v>
      </c>
      <c r="L38" s="15" t="n">
        <f aca="false">E38-((E35+E36+E37+E39+E40)/5)</f>
        <v>0.68</v>
      </c>
      <c r="M38" s="18" t="n">
        <f aca="false">0.5 + (L38 * 0.09)</f>
        <v>0.5612</v>
      </c>
      <c r="N38" s="15" t="n">
        <f aca="false">((H38-(G38-1))/H38)*(IF(I38&lt;&gt;0,(I38+H38)/H38,1))</f>
        <v>0.5</v>
      </c>
      <c r="O38" s="19" t="n">
        <f aca="false">(N38-(1/6))/(10/6)</f>
        <v>0.2</v>
      </c>
      <c r="P38" s="1" t="n">
        <v>11</v>
      </c>
      <c r="Q38" s="19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9" t="n">
        <f aca="false">IFERROR(T38/S38, 1)</f>
        <v>1</v>
      </c>
      <c r="V38" s="20" t="n">
        <v>1</v>
      </c>
      <c r="W38" s="17" t="n">
        <v>3</v>
      </c>
      <c r="X38" s="30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1" t="n">
        <v>46143</v>
      </c>
      <c r="B39" s="1" t="n">
        <v>8</v>
      </c>
      <c r="C39" s="15" t="s">
        <v>70</v>
      </c>
      <c r="D39" s="15" t="s">
        <v>78</v>
      </c>
      <c r="E39" s="16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5" t="n">
        <f aca="false">F39-(1/H39)</f>
        <v>-0.166666666666667</v>
      </c>
      <c r="K39" s="15" t="n">
        <f aca="false">((I39-((H39-1)/H39))-(-5/6))/((5-(5/6))-(-5/6))</f>
        <v>0</v>
      </c>
      <c r="L39" s="15" t="n">
        <f aca="false">E39-((E35+E36+E37+E38+E40)/5)</f>
        <v>-0.28</v>
      </c>
      <c r="M39" s="18" t="n">
        <f aca="false">0.5 + (L39 * 0.09)</f>
        <v>0.4748</v>
      </c>
      <c r="N39" s="15" t="n">
        <f aca="false">((H39-(G39-1))/H39)*(IF(I39&lt;&gt;0,(I39+H39)/H39,1))</f>
        <v>0.333333333333333</v>
      </c>
      <c r="O39" s="19" t="n">
        <f aca="false">(N39-(1/6))/(10/6)</f>
        <v>0.1</v>
      </c>
      <c r="P39" s="1" t="n">
        <v>9</v>
      </c>
      <c r="Q39" s="19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9" t="n">
        <f aca="false">IFERROR(T39/S39, 1)</f>
        <v>0</v>
      </c>
      <c r="V39" s="20" t="n">
        <v>0</v>
      </c>
      <c r="W39" s="17" t="n">
        <v>2</v>
      </c>
      <c r="X39" s="30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40" t="n">
        <v>46143</v>
      </c>
      <c r="B40" s="23" t="n">
        <v>8</v>
      </c>
      <c r="C40" s="23" t="s">
        <v>59</v>
      </c>
      <c r="D40" s="23" t="s">
        <v>69</v>
      </c>
      <c r="E40" s="24" t="n">
        <v>3</v>
      </c>
      <c r="F40" s="23" t="n">
        <v>0</v>
      </c>
      <c r="G40" s="23" t="n">
        <v>6</v>
      </c>
      <c r="H40" s="23" t="n">
        <v>6</v>
      </c>
      <c r="I40" s="23" t="n">
        <v>0</v>
      </c>
      <c r="J40" s="23" t="n">
        <f aca="false">F40-(1/H40)</f>
        <v>-0.166666666666667</v>
      </c>
      <c r="K40" s="23" t="n">
        <f aca="false">((I40-((H40-1)/H40))-(-5/6))/((5-(5/6))-(-5/6))</f>
        <v>0</v>
      </c>
      <c r="L40" s="23" t="n">
        <f aca="false">E40-((E35+E36+E37+E38+E39)/5)</f>
        <v>0.68</v>
      </c>
      <c r="M40" s="26" t="n">
        <f aca="false">0.5 + (L40 * 0.09)</f>
        <v>0.5612</v>
      </c>
      <c r="N40" s="23" t="n">
        <f aca="false">((H40-(G40-1))/H40)*(IF(I40&lt;&gt;0,(I40+H40)/H40,1))</f>
        <v>0.166666666666667</v>
      </c>
      <c r="O40" s="27" t="n">
        <f aca="false">(N40-(1/6))/(10/6)</f>
        <v>0</v>
      </c>
      <c r="P40" s="23" t="n">
        <v>9</v>
      </c>
      <c r="Q40" s="27" t="n">
        <f aca="false">IF(F40=1,(((1-((P40-3)/15))*0.5)+0.5),((P40/18)*0.5))</f>
        <v>0.25</v>
      </c>
      <c r="R40" s="23" t="n">
        <v>1</v>
      </c>
      <c r="S40" s="23" t="n">
        <v>1</v>
      </c>
      <c r="T40" s="23" t="n">
        <v>1</v>
      </c>
      <c r="U40" s="27" t="n">
        <f aca="false">IFERROR(T40/S40, 1)</f>
        <v>1</v>
      </c>
      <c r="V40" s="28" t="n">
        <v>0</v>
      </c>
      <c r="W40" s="25" t="n">
        <v>3</v>
      </c>
      <c r="X40" s="33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1" t="n">
        <v>46157</v>
      </c>
      <c r="B41" s="1" t="n">
        <v>9</v>
      </c>
      <c r="C41" s="15" t="s">
        <v>28</v>
      </c>
      <c r="D41" s="15" t="s">
        <v>42</v>
      </c>
      <c r="E41" s="16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5" t="n">
        <f aca="false">F41-(1/H41)</f>
        <v>0.8</v>
      </c>
      <c r="K41" s="15" t="n">
        <f aca="false">((I41-((H41-1)/H41))-(-5/6))/((5-(5/6))-(-5/6))</f>
        <v>0.606666666666667</v>
      </c>
      <c r="L41" s="35" t="n">
        <f aca="false">E41-((E42+E43+E44+E45)/4)</f>
        <v>0.475</v>
      </c>
      <c r="M41" s="42" t="n">
        <f aca="false">0.5 + (L41 * 0.09)</f>
        <v>0.54275</v>
      </c>
      <c r="N41" s="15" t="n">
        <f aca="false">((H41-(G41-1))/H41)*(IF(I41&lt;&gt;0,(I41+H41)/H41,1))</f>
        <v>1.6</v>
      </c>
      <c r="O41" s="19" t="n">
        <f aca="false">(N41-(1/6))/(10/6)</f>
        <v>0.86</v>
      </c>
      <c r="P41" s="1" t="n">
        <v>18</v>
      </c>
      <c r="Q41" s="19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9" t="n">
        <f aca="false">IFERROR(T41/S41, 1)</f>
        <v>1</v>
      </c>
      <c r="V41" s="20" t="n">
        <v>0</v>
      </c>
      <c r="W41" s="17" t="n">
        <v>3</v>
      </c>
      <c r="X41" s="30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1" t="n">
        <v>46157</v>
      </c>
      <c r="B42" s="1" t="n">
        <v>9</v>
      </c>
      <c r="C42" s="15" t="s">
        <v>26</v>
      </c>
      <c r="D42" s="15" t="s">
        <v>75</v>
      </c>
      <c r="E42" s="16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5" t="n">
        <f aca="false">F42-(1/H42)</f>
        <v>-0.2</v>
      </c>
      <c r="K42" s="15" t="n">
        <f aca="false">((I42-((H42-1)/H42))-(-5/6))/((5-(5/6))-(-5/6))</f>
        <v>0.00666666666666667</v>
      </c>
      <c r="L42" s="15" t="n">
        <f aca="false">E42-((E41+E43+E44+E45)/4)</f>
        <v>-0.65</v>
      </c>
      <c r="M42" s="18" t="n">
        <f aca="false">0.5 + (L42 * 0.09)</f>
        <v>0.4415</v>
      </c>
      <c r="N42" s="15" t="n">
        <f aca="false">((H42-(G42-1))/H42)*(IF(I42&lt;&gt;0,(I42+H42)/H42,1))</f>
        <v>0.8</v>
      </c>
      <c r="O42" s="19" t="n">
        <f aca="false">(N42-(1/6))/(10/6)</f>
        <v>0.38</v>
      </c>
      <c r="P42" s="1" t="n">
        <v>18</v>
      </c>
      <c r="Q42" s="19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9" t="n">
        <f aca="false">IFERROR(T42/S42, 1)</f>
        <v>0.666666666666667</v>
      </c>
      <c r="V42" s="20" t="n">
        <v>0</v>
      </c>
      <c r="W42" s="17" t="n">
        <v>2</v>
      </c>
      <c r="X42" s="30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1" t="n">
        <v>46157</v>
      </c>
      <c r="B43" s="1" t="n">
        <v>9</v>
      </c>
      <c r="C43" s="15" t="s">
        <v>32</v>
      </c>
      <c r="D43" s="15" t="s">
        <v>41</v>
      </c>
      <c r="E43" s="16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5" t="n">
        <f aca="false">F43-(1/H43)</f>
        <v>-0.2</v>
      </c>
      <c r="K43" s="15" t="n">
        <f aca="false">((I43-((H43-1)/H43))-(-5/6))/((5-(5/6))-(-5/6))</f>
        <v>0.00666666666666667</v>
      </c>
      <c r="L43" s="15" t="n">
        <f aca="false">E43-((E41+E42+E44+E45)/4)</f>
        <v>0.0999999999999996</v>
      </c>
      <c r="M43" s="18" t="n">
        <f aca="false">0.5 + (L43 * 0.09)</f>
        <v>0.509</v>
      </c>
      <c r="N43" s="15" t="n">
        <f aca="false">((H43-(G43-1))/H43)*(IF(I43&lt;&gt;0,(I43+H43)/H43,1))</f>
        <v>0.6</v>
      </c>
      <c r="O43" s="19" t="n">
        <f aca="false">(N43-(1/6))/(10/6)</f>
        <v>0.26</v>
      </c>
      <c r="P43" s="1" t="n">
        <v>14</v>
      </c>
      <c r="Q43" s="19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9" t="n">
        <f aca="false">IFERROR(T43/S43, 1)</f>
        <v>0.5</v>
      </c>
      <c r="V43" s="20" t="n">
        <v>0</v>
      </c>
      <c r="W43" s="17" t="n">
        <v>3</v>
      </c>
      <c r="X43" s="30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1" t="n">
        <v>46157</v>
      </c>
      <c r="B44" s="1" t="n">
        <v>9</v>
      </c>
      <c r="C44" s="15" t="s">
        <v>30</v>
      </c>
      <c r="D44" s="15" t="s">
        <v>74</v>
      </c>
      <c r="E44" s="16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5" t="n">
        <f aca="false">F44-(1/H44)</f>
        <v>-0.2</v>
      </c>
      <c r="K44" s="15" t="n">
        <f aca="false">((I44-((H44-1)/H44))-(-5/6))/((5-(5/6))-(-5/6))</f>
        <v>0.206666666666667</v>
      </c>
      <c r="L44" s="15" t="n">
        <f aca="false">E44-((E41+E42+E43+E45)/4)</f>
        <v>-0.4</v>
      </c>
      <c r="M44" s="18" t="n">
        <f aca="false">0.5 + (L44 * 0.09)</f>
        <v>0.464</v>
      </c>
      <c r="N44" s="15" t="n">
        <f aca="false">((H44-(G44-1))/H44)*(IF(I44&lt;&gt;0,(I44+H44)/H44,1))</f>
        <v>0.48</v>
      </c>
      <c r="O44" s="19" t="n">
        <f aca="false">(N44-(1/6))/(10/6)</f>
        <v>0.188</v>
      </c>
      <c r="P44" s="1" t="n">
        <v>11</v>
      </c>
      <c r="Q44" s="19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17" t="n">
        <v>2</v>
      </c>
      <c r="X44" s="30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40" t="n">
        <v>46157</v>
      </c>
      <c r="B45" s="23" t="n">
        <v>9</v>
      </c>
      <c r="C45" s="23" t="s">
        <v>59</v>
      </c>
      <c r="D45" s="23" t="s">
        <v>69</v>
      </c>
      <c r="E45" s="24" t="n">
        <v>3.6</v>
      </c>
      <c r="F45" s="23" t="n">
        <v>0</v>
      </c>
      <c r="G45" s="23" t="n">
        <v>5</v>
      </c>
      <c r="H45" s="23" t="n">
        <v>5</v>
      </c>
      <c r="I45" s="23" t="n">
        <v>0</v>
      </c>
      <c r="J45" s="23" t="n">
        <f aca="false">F45-(1/H45)</f>
        <v>-0.2</v>
      </c>
      <c r="K45" s="23" t="n">
        <f aca="false">((I45-((H45-1)/H45))-(-5/6))/((5-(5/6))-(-5/6))</f>
        <v>0.00666666666666667</v>
      </c>
      <c r="L45" s="23" t="n">
        <f aca="false">E45-((E41+E42+E43+E44)/4)</f>
        <v>0.475</v>
      </c>
      <c r="M45" s="26" t="n">
        <f aca="false">0.5 + (L45 * 0.09)</f>
        <v>0.54275</v>
      </c>
      <c r="N45" s="23" t="n">
        <f aca="false">((H45-(G45-1))/H45)*(IF(I45&lt;&gt;0,(I45+H45)/H45,1))</f>
        <v>0.2</v>
      </c>
      <c r="O45" s="27" t="n">
        <f aca="false">(N45-(1/6))/(10/6)</f>
        <v>0.02</v>
      </c>
      <c r="P45" s="23" t="n">
        <v>11</v>
      </c>
      <c r="Q45" s="27" t="n">
        <f aca="false">IF(F45=1,(((1-((P45-3)/15))*0.5)+0.5),((P45/18)*0.5))</f>
        <v>0.305555555555556</v>
      </c>
      <c r="R45" s="23" t="n">
        <v>0</v>
      </c>
      <c r="S45" s="23" t="n">
        <v>3</v>
      </c>
      <c r="T45" s="23" t="n">
        <v>1</v>
      </c>
      <c r="U45" s="27" t="n">
        <f aca="false">IFERROR(T45/S45, 1)</f>
        <v>0.333333333333333</v>
      </c>
      <c r="V45" s="28" t="n">
        <v>0</v>
      </c>
      <c r="W45" s="25" t="n">
        <v>3</v>
      </c>
      <c r="X45" s="33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1" t="n">
        <v>46157</v>
      </c>
      <c r="B46" s="1" t="n">
        <v>10</v>
      </c>
      <c r="C46" s="15" t="s">
        <v>30</v>
      </c>
      <c r="D46" s="15" t="s">
        <v>81</v>
      </c>
      <c r="E46" s="16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5" t="n">
        <f aca="false">F46-(1/H46)</f>
        <v>0.666666666666667</v>
      </c>
      <c r="K46" s="15" t="n">
        <f aca="false">((I46-((H46-1)/H46))-(-5/6))/((5-(5/6))-(-5/6))</f>
        <v>0.433333333333333</v>
      </c>
      <c r="L46" s="16" t="n">
        <f aca="false">E46-((E47+E48)/2)</f>
        <v>-1.45</v>
      </c>
      <c r="M46" s="18" t="n">
        <f aca="false">0.5 + (L46 * 0.09)</f>
        <v>0.3695</v>
      </c>
      <c r="N46" s="15" t="n">
        <f aca="false">((H46-(G46-1))/H46)*(IF(I46&lt;&gt;0,(I46+H46)/H46,1))</f>
        <v>1.66666666666667</v>
      </c>
      <c r="O46" s="19" t="n">
        <f aca="false">(N46-(1/6))/(10/6)</f>
        <v>0.9</v>
      </c>
      <c r="P46" s="1" t="n">
        <v>10</v>
      </c>
      <c r="Q46" s="19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9" t="n">
        <f aca="false">IFERROR(T46/S46, 1)</f>
        <v>1</v>
      </c>
      <c r="V46" s="20" t="n">
        <v>0</v>
      </c>
      <c r="W46" s="17" t="n">
        <v>2</v>
      </c>
      <c r="X46" s="30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1" t="n">
        <v>46157</v>
      </c>
      <c r="B47" s="1" t="n">
        <v>10</v>
      </c>
      <c r="C47" s="15" t="s">
        <v>32</v>
      </c>
      <c r="D47" s="15" t="s">
        <v>36</v>
      </c>
      <c r="E47" s="16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5" t="n">
        <f aca="false">F47-(1/H47)</f>
        <v>-0.333333333333333</v>
      </c>
      <c r="K47" s="15" t="n">
        <f aca="false">((I47-((H47-1)/H47))-(-5/6))/((5-(5/6))-(-5/6))</f>
        <v>0.0333333333333334</v>
      </c>
      <c r="L47" s="15" t="n">
        <f aca="false">E47-((E46+E48)/2)</f>
        <v>0.95</v>
      </c>
      <c r="M47" s="18" t="n">
        <f aca="false">0.5 + (L47 * 0.09)</f>
        <v>0.5855</v>
      </c>
      <c r="N47" s="15" t="n">
        <f aca="false">((H47-(G47-1))/H47)*(IF(I47&lt;&gt;0,(I47+H47)/H47,1))</f>
        <v>0.666666666666667</v>
      </c>
      <c r="O47" s="19" t="n">
        <f aca="false">(N47-(1/6))/(10/6)</f>
        <v>0.3</v>
      </c>
      <c r="P47" s="1" t="n">
        <v>10</v>
      </c>
      <c r="Q47" s="19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9" t="n">
        <f aca="false">IFERROR(T47/S47, 1)</f>
        <v>1</v>
      </c>
      <c r="V47" s="20" t="n">
        <v>0</v>
      </c>
      <c r="W47" s="17" t="n">
        <v>3</v>
      </c>
      <c r="X47" s="30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40" t="n">
        <v>46157</v>
      </c>
      <c r="B48" s="23" t="n">
        <v>10</v>
      </c>
      <c r="C48" s="23" t="s">
        <v>59</v>
      </c>
      <c r="D48" s="23" t="s">
        <v>69</v>
      </c>
      <c r="E48" s="24" t="n">
        <v>3.3</v>
      </c>
      <c r="F48" s="23" t="n">
        <v>0</v>
      </c>
      <c r="G48" s="23" t="n">
        <v>3</v>
      </c>
      <c r="H48" s="23" t="n">
        <v>3</v>
      </c>
      <c r="I48" s="23" t="n">
        <v>0</v>
      </c>
      <c r="J48" s="23" t="n">
        <f aca="false">F48-(1/H48)</f>
        <v>-0.333333333333333</v>
      </c>
      <c r="K48" s="23" t="n">
        <f aca="false">((I48-((H48-1)/H48))-(-5/6))/((5-(5/6))-(-5/6))</f>
        <v>0.0333333333333334</v>
      </c>
      <c r="L48" s="23" t="n">
        <f aca="false">E48-((E46+E47)/2)</f>
        <v>0.5</v>
      </c>
      <c r="M48" s="26" t="n">
        <f aca="false">0.5 + (L48 * 0.09)</f>
        <v>0.545</v>
      </c>
      <c r="N48" s="23" t="n">
        <f aca="false">((H48-(G48-1))/H48)*(IF(I48&lt;&gt;0,(I48+H48)/H48,1))</f>
        <v>0.333333333333333</v>
      </c>
      <c r="O48" s="27" t="n">
        <f aca="false">(N48-(1/6))/(10/6)</f>
        <v>0.1</v>
      </c>
      <c r="P48" s="23" t="n">
        <v>7</v>
      </c>
      <c r="Q48" s="27" t="n">
        <f aca="false">IF(F48=1,(((1-((P48-3)/15))*0.5)+0.5),((P48/18)*0.5))</f>
        <v>0.194444444444444</v>
      </c>
      <c r="R48" s="23" t="n">
        <v>1</v>
      </c>
      <c r="S48" s="23" t="n">
        <v>0</v>
      </c>
      <c r="T48" s="23" t="n">
        <v>1</v>
      </c>
      <c r="U48" s="27" t="n">
        <f aca="false">IFERROR(T48/S48, 1)</f>
        <v>1</v>
      </c>
      <c r="V48" s="28" t="n">
        <v>0</v>
      </c>
      <c r="W48" s="25" t="n">
        <v>3</v>
      </c>
      <c r="X48" s="33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1" t="n">
        <v>46161</v>
      </c>
      <c r="B49" s="1" t="n">
        <v>11</v>
      </c>
      <c r="C49" s="15" t="s">
        <v>32</v>
      </c>
      <c r="D49" s="15" t="s">
        <v>79</v>
      </c>
      <c r="E49" s="16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5" t="n">
        <f aca="false">F49-(1/H49)</f>
        <v>0.666666666666667</v>
      </c>
      <c r="K49" s="15" t="n">
        <f aca="false">((I49-((H49-1)/H49))-(-5/6))/((5-(5/6))-(-5/6))</f>
        <v>0.433333333333333</v>
      </c>
      <c r="L49" s="16" t="n">
        <f aca="false">E49-((E50+E51)/2)</f>
        <v>-0.0999999999999996</v>
      </c>
      <c r="M49" s="18" t="n">
        <f aca="false">0.5 + (L49 * 0.09)</f>
        <v>0.491</v>
      </c>
      <c r="N49" s="15" t="n">
        <f aca="false">((H49-(G49-1))/H49)*(IF(I49&lt;&gt;0,(I49+H49)/H49,1))</f>
        <v>1.66666666666667</v>
      </c>
      <c r="O49" s="19" t="n">
        <f aca="false">(N49-(1/6))/(10/6)</f>
        <v>0.9</v>
      </c>
      <c r="P49" s="1" t="n">
        <v>11</v>
      </c>
      <c r="Q49" s="19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2</v>
      </c>
      <c r="X49" s="30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1" t="n">
        <v>46161</v>
      </c>
      <c r="B50" s="1" t="n">
        <v>11</v>
      </c>
      <c r="C50" s="15" t="s">
        <v>59</v>
      </c>
      <c r="D50" s="15" t="s">
        <v>69</v>
      </c>
      <c r="E50" s="16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5" t="n">
        <f aca="false">F50-(1/H50)</f>
        <v>-0.333333333333333</v>
      </c>
      <c r="K50" s="15" t="n">
        <f aca="false">((I50-((H50-1)/H50))-(-5/6))/((5-(5/6))-(-5/6))</f>
        <v>0.0333333333333334</v>
      </c>
      <c r="L50" s="15" t="n">
        <f aca="false">E50-((E49+E51)/2)</f>
        <v>1.25</v>
      </c>
      <c r="M50" s="18" t="n">
        <f aca="false">0.5 + (L50 * 0.09)</f>
        <v>0.6125</v>
      </c>
      <c r="N50" s="15" t="n">
        <f aca="false">((H50-(G50-1))/H50)*(IF(I50&lt;&gt;0,(I50+H50)/H50,1))</f>
        <v>0.666666666666667</v>
      </c>
      <c r="O50" s="19" t="n">
        <f aca="false">(N50-(1/6))/(10/6)</f>
        <v>0.3</v>
      </c>
      <c r="P50" s="1" t="n">
        <v>11</v>
      </c>
      <c r="Q50" s="19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17" t="n">
        <v>3</v>
      </c>
      <c r="X50" s="30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40" t="n">
        <v>46161</v>
      </c>
      <c r="B51" s="23" t="n">
        <v>11</v>
      </c>
      <c r="C51" s="23" t="s">
        <v>28</v>
      </c>
      <c r="D51" s="23" t="s">
        <v>82</v>
      </c>
      <c r="E51" s="24" t="n">
        <v>2</v>
      </c>
      <c r="F51" s="23" t="n">
        <v>0</v>
      </c>
      <c r="G51" s="23" t="n">
        <v>3</v>
      </c>
      <c r="H51" s="23" t="n">
        <v>3</v>
      </c>
      <c r="I51" s="23" t="n">
        <v>0</v>
      </c>
      <c r="J51" s="23" t="n">
        <f aca="false">F51-(1/H51)</f>
        <v>-0.333333333333333</v>
      </c>
      <c r="K51" s="23" t="n">
        <f aca="false">((I51-((H51-1)/H51))-(-5/6))/((5-(5/6))-(-5/6))</f>
        <v>0.0333333333333334</v>
      </c>
      <c r="L51" s="23" t="n">
        <f aca="false">E51-((E49+E50)/2)</f>
        <v>-1.15</v>
      </c>
      <c r="M51" s="26" t="n">
        <f aca="false">0.5 + (L51 * 0.09)</f>
        <v>0.3965</v>
      </c>
      <c r="N51" s="23" t="n">
        <f aca="false">((H51-(G51-1))/H51)*(IF(I51&lt;&gt;0,(I51+H51)/H51,1))</f>
        <v>0.333333333333333</v>
      </c>
      <c r="O51" s="27" t="n">
        <f aca="false">(N51-(1/6))/(10/6)</f>
        <v>0.1</v>
      </c>
      <c r="P51" s="23" t="n">
        <v>10</v>
      </c>
      <c r="Q51" s="27" t="n">
        <f aca="false">IF(F51=1,(((1-((P51-3)/15))*0.5)+0.5),((P51/18)*0.5))</f>
        <v>0.277777777777778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33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1" t="n">
        <v>46162</v>
      </c>
      <c r="B52" s="1" t="n">
        <v>12</v>
      </c>
      <c r="C52" s="15" t="s">
        <v>70</v>
      </c>
      <c r="D52" s="15" t="s">
        <v>71</v>
      </c>
      <c r="E52" s="16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5" t="n">
        <f aca="false">F52-(1/H52)</f>
        <v>0.75</v>
      </c>
      <c r="K52" s="15" t="n">
        <f aca="false">((I52-((H52-1)/H52))-(-5/6))/((5-(5/6))-(-5/6))</f>
        <v>0.416666666666667</v>
      </c>
      <c r="L52" s="15" t="n">
        <f aca="false">E52-((E53+E54+E55)/3)</f>
        <v>0</v>
      </c>
      <c r="M52" s="18" t="n">
        <f aca="false">0.5 + (L52 * 0.09)</f>
        <v>0.5</v>
      </c>
      <c r="N52" s="15" t="n">
        <f aca="false">((H52-(G52-1))/H52)*(IF(I52&lt;&gt;0,(I52+H52)/H52,1))</f>
        <v>1.5</v>
      </c>
      <c r="O52" s="19" t="n">
        <f aca="false">(N52-(1/6))/(10/6)</f>
        <v>0.8</v>
      </c>
      <c r="P52" s="1" t="n">
        <v>11</v>
      </c>
      <c r="Q52" s="19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9" t="n">
        <f aca="false">IFERROR(T52/S52, 1)</f>
        <v>1</v>
      </c>
      <c r="V52" s="20" t="n">
        <v>0</v>
      </c>
      <c r="W52" s="17" t="n">
        <v>3</v>
      </c>
      <c r="X52" s="30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1" t="n">
        <v>46162</v>
      </c>
      <c r="B53" s="1" t="n">
        <v>12</v>
      </c>
      <c r="C53" s="15" t="s">
        <v>38</v>
      </c>
      <c r="D53" s="15" t="s">
        <v>64</v>
      </c>
      <c r="E53" s="16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5" t="n">
        <f aca="false">F53-(1/H53)</f>
        <v>-0.25</v>
      </c>
      <c r="K53" s="15" t="n">
        <f aca="false">((I53-((H53-1)/H53))-(-5/6))/((5-(5/6))-(-5/6))</f>
        <v>0.0166666666666667</v>
      </c>
      <c r="L53" s="15" t="n">
        <f aca="false">E53-((E52+E54+E55)/3)</f>
        <v>-0.8</v>
      </c>
      <c r="M53" s="18" t="n">
        <f aca="false">0.5 + (L53 * 0.09)</f>
        <v>0.428</v>
      </c>
      <c r="N53" s="15" t="n">
        <f aca="false">((H53-(G53-1))/H53)*(IF(I53&lt;&gt;0,(I53+H53)/H53,1))</f>
        <v>0.75</v>
      </c>
      <c r="O53" s="19" t="n">
        <f aca="false">(N53-(1/6))/(10/6)</f>
        <v>0.35</v>
      </c>
      <c r="P53" s="1" t="n">
        <v>11</v>
      </c>
      <c r="Q53" s="19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9" t="n">
        <f aca="false">IFERROR(T53/S53, 1)</f>
        <v>0</v>
      </c>
      <c r="V53" s="20" t="n">
        <v>0</v>
      </c>
      <c r="W53" s="17" t="n">
        <v>3</v>
      </c>
      <c r="X53" s="30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1" t="n">
        <v>46162</v>
      </c>
      <c r="B54" s="1" t="n">
        <v>12</v>
      </c>
      <c r="C54" s="15" t="s">
        <v>32</v>
      </c>
      <c r="D54" s="15" t="s">
        <v>33</v>
      </c>
      <c r="E54" s="16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5" t="n">
        <f aca="false">F54-(1/H54)</f>
        <v>-0.25</v>
      </c>
      <c r="K54" s="15" t="n">
        <f aca="false">((I54-((H54-1)/H54))-(-5/6))/((5-(5/6))-(-5/6))</f>
        <v>0.216666666666667</v>
      </c>
      <c r="L54" s="15" t="n">
        <f aca="false">E54-((E52+E53+E55)/3)</f>
        <v>0.4</v>
      </c>
      <c r="M54" s="18" t="n">
        <f aca="false">0.5 + (L54 * 0.09)</f>
        <v>0.536</v>
      </c>
      <c r="N54" s="15" t="n">
        <f aca="false">((H54-(G54-1))/H54)*(IF(I54&lt;&gt;0,(I54+H54)/H54,1))</f>
        <v>0.625</v>
      </c>
      <c r="O54" s="19" t="n">
        <f aca="false">(N54-(1/6))/(10/6)</f>
        <v>0.275</v>
      </c>
      <c r="P54" s="1" t="n">
        <v>11</v>
      </c>
      <c r="Q54" s="19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9" t="n">
        <f aca="false">IFERROR(T54/S54, 1)</f>
        <v>1</v>
      </c>
      <c r="V54" s="20" t="n">
        <v>0</v>
      </c>
      <c r="W54" s="17" t="n">
        <v>3</v>
      </c>
      <c r="X54" s="30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40" t="n">
        <v>46162</v>
      </c>
      <c r="B55" s="23" t="n">
        <v>12</v>
      </c>
      <c r="C55" s="23" t="s">
        <v>28</v>
      </c>
      <c r="D55" s="23" t="s">
        <v>68</v>
      </c>
      <c r="E55" s="24" t="n">
        <v>3.9</v>
      </c>
      <c r="F55" s="23" t="n">
        <v>0</v>
      </c>
      <c r="G55" s="23" t="n">
        <v>4</v>
      </c>
      <c r="H55" s="23" t="n">
        <v>4</v>
      </c>
      <c r="I55" s="23" t="n">
        <v>0</v>
      </c>
      <c r="J55" s="23" t="n">
        <f aca="false">F55-(1/H55)</f>
        <v>-0.25</v>
      </c>
      <c r="K55" s="23" t="n">
        <f aca="false">((I55-((H55-1)/H55))-(-5/6))/((5-(5/6))-(-5/6))</f>
        <v>0.0166666666666667</v>
      </c>
      <c r="L55" s="23" t="n">
        <f aca="false">E55-((E52+E53+E54)/3)</f>
        <v>0.4</v>
      </c>
      <c r="M55" s="26" t="n">
        <f aca="false">0.5 + (L55 * 0.09)</f>
        <v>0.536</v>
      </c>
      <c r="N55" s="23" t="n">
        <f aca="false">((H55-(G55-1))/H55)*(IF(I55&lt;&gt;0,(I55+H55)/H55,1))</f>
        <v>0.25</v>
      </c>
      <c r="O55" s="27" t="n">
        <f aca="false">(N55-(1/6))/(10/6)</f>
        <v>0.05</v>
      </c>
      <c r="P55" s="23" t="n">
        <v>11</v>
      </c>
      <c r="Q55" s="27" t="n">
        <f aca="false">IF(F55=1,(((1-((P55-3)/15))*0.5)+0.5),((P55/18)*0.5))</f>
        <v>0.305555555555556</v>
      </c>
      <c r="R55" s="23" t="n">
        <v>1</v>
      </c>
      <c r="S55" s="23" t="n">
        <v>0</v>
      </c>
      <c r="T55" s="23" t="n">
        <v>0</v>
      </c>
      <c r="U55" s="27" t="n">
        <f aca="false">IFERROR(T55/S55, 1)</f>
        <v>1</v>
      </c>
      <c r="V55" s="28" t="n">
        <v>0</v>
      </c>
      <c r="W55" s="25" t="n">
        <v>3</v>
      </c>
      <c r="X55" s="33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1" t="n">
        <v>46164</v>
      </c>
      <c r="B56" s="1" t="n">
        <v>13</v>
      </c>
      <c r="C56" s="15" t="s">
        <v>38</v>
      </c>
      <c r="D56" s="15" t="s">
        <v>76</v>
      </c>
      <c r="E56" s="16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5" t="n">
        <f aca="false">F56-(1/H56)</f>
        <v>0.8</v>
      </c>
      <c r="K56" s="15" t="n">
        <f aca="false">((I56-((H56-1)/H56))-(-5/6))/((5-(5/6))-(-5/6))</f>
        <v>0.606666666666667</v>
      </c>
      <c r="L56" s="35" t="n">
        <f aca="false">E56-((E57+E58+E59+E60)/4)</f>
        <v>-0.0249999999999999</v>
      </c>
      <c r="M56" s="42" t="n">
        <f aca="false">0.5 + (L56 * 0.09)</f>
        <v>0.49775</v>
      </c>
      <c r="N56" s="15" t="n">
        <f aca="false">((H56-(G56-1))/H56)*(IF(I56&lt;&gt;0,(I56+H56)/H56,1))</f>
        <v>1.6</v>
      </c>
      <c r="O56" s="19" t="n">
        <f aca="false">(N56-(1/6))/(10/6)</f>
        <v>0.86</v>
      </c>
      <c r="P56" s="1" t="n">
        <v>17</v>
      </c>
      <c r="Q56" s="19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9" t="n">
        <f aca="false">IFERROR(T56/S56, 1)</f>
        <v>0.666666666666667</v>
      </c>
      <c r="V56" s="20" t="n">
        <v>0</v>
      </c>
      <c r="W56" s="17" t="n">
        <v>3</v>
      </c>
      <c r="X56" s="30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1" t="n">
        <v>46164</v>
      </c>
      <c r="B57" s="1" t="n">
        <v>13</v>
      </c>
      <c r="C57" s="15" t="s">
        <v>30</v>
      </c>
      <c r="D57" s="15" t="s">
        <v>83</v>
      </c>
      <c r="E57" s="16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5" t="n">
        <f aca="false">F57-(1/H57)</f>
        <v>-0.2</v>
      </c>
      <c r="K57" s="15" t="n">
        <f aca="false">((I57-((H57-1)/H57))-(-5/6))/((5-(5/6))-(-5/6))</f>
        <v>0.00666666666666667</v>
      </c>
      <c r="L57" s="15" t="n">
        <f aca="false">E57-((E56+E58+E59+E60)/4)</f>
        <v>-0.0249999999999999</v>
      </c>
      <c r="M57" s="18" t="n">
        <f aca="false">0.5 + (L57 * 0.09)</f>
        <v>0.49775</v>
      </c>
      <c r="N57" s="15" t="n">
        <f aca="false">((H57-(G57-1))/H57)*(IF(I57&lt;&gt;0,(I57+H57)/H57,1))</f>
        <v>0.8</v>
      </c>
      <c r="O57" s="19" t="n">
        <f aca="false">(N57-(1/6))/(10/6)</f>
        <v>0.38</v>
      </c>
      <c r="P57" s="1" t="n">
        <v>17</v>
      </c>
      <c r="Q57" s="19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9" t="n">
        <f aca="false">IFERROR(T57/S57, 1)</f>
        <v>0.666666666666667</v>
      </c>
      <c r="V57" s="20" t="n">
        <v>0</v>
      </c>
      <c r="W57" s="17" t="n">
        <v>3</v>
      </c>
      <c r="X57" s="30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1" t="n">
        <v>46164</v>
      </c>
      <c r="B58" s="1" t="n">
        <v>13</v>
      </c>
      <c r="C58" s="15" t="s">
        <v>26</v>
      </c>
      <c r="D58" s="15" t="s">
        <v>75</v>
      </c>
      <c r="E58" s="16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5" t="n">
        <f aca="false">F58-(1/H58)</f>
        <v>-0.2</v>
      </c>
      <c r="K58" s="15" t="n">
        <f aca="false">((I58-((H58-1)/H58))-(-5/6))/((5-(5/6))-(-5/6))</f>
        <v>0.206666666666667</v>
      </c>
      <c r="L58" s="15" t="n">
        <f aca="false">E58-((E56+E57+E59+E60)/4)</f>
        <v>-0.65</v>
      </c>
      <c r="M58" s="18" t="n">
        <f aca="false">0.5 + (L58 * 0.09)</f>
        <v>0.4415</v>
      </c>
      <c r="N58" s="15" t="n">
        <f aca="false">((H58-(G58-1))/H58)*(IF(I58&lt;&gt;0,(I58+H58)/H58,1))</f>
        <v>0.72</v>
      </c>
      <c r="O58" s="19" t="n">
        <f aca="false">(N58-(1/6))/(10/6)</f>
        <v>0.332</v>
      </c>
      <c r="P58" s="1" t="n">
        <v>16</v>
      </c>
      <c r="Q58" s="19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17" t="n">
        <v>2</v>
      </c>
      <c r="X58" s="30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1" t="n">
        <v>46164</v>
      </c>
      <c r="B59" s="1" t="n">
        <v>13</v>
      </c>
      <c r="C59" s="15" t="s">
        <v>32</v>
      </c>
      <c r="D59" s="15" t="s">
        <v>41</v>
      </c>
      <c r="E59" s="16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5" t="n">
        <f aca="false">F59-(1/H59)</f>
        <v>-0.2</v>
      </c>
      <c r="K59" s="15" t="n">
        <f aca="false">((I59-((H59-1)/H59))-(-5/6))/((5-(5/6))-(-5/6))</f>
        <v>0.00666666666666667</v>
      </c>
      <c r="L59" s="15" t="n">
        <f aca="false">E59-((E56+E57+E58+E60)/4)</f>
        <v>0.725</v>
      </c>
      <c r="M59" s="18" t="n">
        <f aca="false">0.5 + (L59 * 0.09)</f>
        <v>0.56525</v>
      </c>
      <c r="N59" s="15" t="n">
        <f aca="false">((H59-(G59-1))/H59)*(IF(I59&lt;&gt;0,(I59+H59)/H59,1))</f>
        <v>0.4</v>
      </c>
      <c r="O59" s="19" t="n">
        <f aca="false">(N59-(1/6))/(10/6)</f>
        <v>0.14</v>
      </c>
      <c r="P59" s="1" t="n">
        <v>14</v>
      </c>
      <c r="Q59" s="19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9" t="n">
        <f aca="false">IFERROR(T59/S59, 1)</f>
        <v>0.5</v>
      </c>
      <c r="V59" s="20" t="n">
        <v>0</v>
      </c>
      <c r="W59" s="17" t="n">
        <v>3</v>
      </c>
      <c r="X59" s="30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40" t="n">
        <v>46164</v>
      </c>
      <c r="B60" s="23" t="n">
        <v>13</v>
      </c>
      <c r="C60" s="23" t="s">
        <v>70</v>
      </c>
      <c r="D60" s="23" t="s">
        <v>78</v>
      </c>
      <c r="E60" s="24" t="n">
        <v>3</v>
      </c>
      <c r="F60" s="23" t="n">
        <v>0</v>
      </c>
      <c r="G60" s="23" t="n">
        <v>5</v>
      </c>
      <c r="H60" s="23" t="n">
        <v>5</v>
      </c>
      <c r="I60" s="23" t="n">
        <v>0</v>
      </c>
      <c r="J60" s="23" t="n">
        <f aca="false">F60-(1/H60)</f>
        <v>-0.2</v>
      </c>
      <c r="K60" s="23" t="n">
        <f aca="false">((I60-((H60-1)/H60))-(-5/6))/((5-(5/6))-(-5/6))</f>
        <v>0.00666666666666667</v>
      </c>
      <c r="L60" s="23" t="n">
        <f aca="false">E60-((E56+E57+E58+E59)/4)</f>
        <v>-0.0249999999999999</v>
      </c>
      <c r="M60" s="26" t="n">
        <f aca="false">0.5 + (L60 * 0.09)</f>
        <v>0.49775</v>
      </c>
      <c r="N60" s="23" t="n">
        <f aca="false">((H60-(G60-1))/H60)*(IF(I60&lt;&gt;0,(I60+H60)/H60,1))</f>
        <v>0.2</v>
      </c>
      <c r="O60" s="27" t="n">
        <f aca="false">(N60-(1/6))/(10/6)</f>
        <v>0.02</v>
      </c>
      <c r="P60" s="23" t="n">
        <v>13</v>
      </c>
      <c r="Q60" s="27" t="n">
        <f aca="false">IF(F60=1,(((1-((P60-3)/15))*0.5)+0.5),((P60/18)*0.5))</f>
        <v>0.361111111111111</v>
      </c>
      <c r="R60" s="23" t="n">
        <v>0</v>
      </c>
      <c r="S60" s="23" t="n">
        <v>1</v>
      </c>
      <c r="T60" s="23" t="n">
        <v>0</v>
      </c>
      <c r="U60" s="27" t="n">
        <f aca="false">IFERROR(T60/S60, 1)</f>
        <v>0</v>
      </c>
      <c r="V60" s="28" t="n">
        <v>0</v>
      </c>
      <c r="W60" s="25" t="n">
        <v>3</v>
      </c>
      <c r="X60" s="33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1" t="n">
        <v>46171</v>
      </c>
      <c r="B61" s="1" t="n">
        <v>14</v>
      </c>
      <c r="C61" s="15" t="s">
        <v>32</v>
      </c>
      <c r="D61" s="15" t="s">
        <v>54</v>
      </c>
      <c r="E61" s="16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5" t="n">
        <f aca="false">F61-(1/H61)</f>
        <v>0.833333333333333</v>
      </c>
      <c r="K61" s="15" t="n">
        <f aca="false">((I61-((H61-1)/H61))-(-5/6))/((5-(5/6))-(-5/6))</f>
        <v>0.6</v>
      </c>
      <c r="L61" s="15" t="n">
        <f aca="false">E61-((E62+E63+E64+E65+E66)/5)</f>
        <v>0.22</v>
      </c>
      <c r="M61" s="18" t="n">
        <f aca="false">0.5 + (L61 * 0.09)</f>
        <v>0.5198</v>
      </c>
      <c r="N61" s="15" t="n">
        <f aca="false">((H61-(G61-1))/H61)*(IF(I61&lt;&gt;0,(I61+H61)/H61,1))</f>
        <v>1.5</v>
      </c>
      <c r="O61" s="19" t="n">
        <f aca="false">(N61-(1/6))/(10/6)</f>
        <v>0.8</v>
      </c>
      <c r="P61" s="1" t="n">
        <v>10</v>
      </c>
      <c r="Q61" s="19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9" t="n">
        <f aca="false">IFERROR(T61/S61, 1)</f>
        <v>1</v>
      </c>
      <c r="V61" s="20" t="n">
        <v>0</v>
      </c>
      <c r="W61" s="17" t="n">
        <v>3</v>
      </c>
      <c r="X61" s="30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1" t="n">
        <v>46171</v>
      </c>
      <c r="B62" s="1" t="n">
        <v>14</v>
      </c>
      <c r="C62" s="15" t="s">
        <v>28</v>
      </c>
      <c r="D62" s="15" t="s">
        <v>44</v>
      </c>
      <c r="E62" s="16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5" t="n">
        <f aca="false">F62-(1/H62)</f>
        <v>-0.166666666666667</v>
      </c>
      <c r="K62" s="15" t="n">
        <f aca="false">((I62-((H62-1)/H62))-(-5/6))/((5-(5/6))-(-5/6))</f>
        <v>0.2</v>
      </c>
      <c r="L62" s="15" t="n">
        <f aca="false">E62-((E61+E63+E64+E65+E66)/5)</f>
        <v>0.22</v>
      </c>
      <c r="M62" s="18" t="n">
        <f aca="false">0.5 + (L62 * 0.09)</f>
        <v>0.5198</v>
      </c>
      <c r="N62" s="15" t="n">
        <f aca="false">((H62-(G62-1))/H62)*(IF(I62&lt;&gt;0,(I62+H62)/H62,1))</f>
        <v>0.972222222222222</v>
      </c>
      <c r="O62" s="19" t="n">
        <f aca="false">(N62-(1/6))/(10/6)</f>
        <v>0.483333333333333</v>
      </c>
      <c r="P62" s="1" t="n">
        <v>10</v>
      </c>
      <c r="Q62" s="19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9" t="n">
        <f aca="false">IFERROR(T62/S62, 1)</f>
        <v>1</v>
      </c>
      <c r="V62" s="20" t="n">
        <v>0</v>
      </c>
      <c r="W62" s="17" t="n">
        <v>3</v>
      </c>
      <c r="X62" s="30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1" t="n">
        <v>46171</v>
      </c>
      <c r="B63" s="1" t="n">
        <v>14</v>
      </c>
      <c r="C63" s="15" t="s">
        <v>30</v>
      </c>
      <c r="D63" s="15" t="s">
        <v>83</v>
      </c>
      <c r="E63" s="16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5" t="n">
        <f aca="false">F63-(1/H63)</f>
        <v>-0.166666666666667</v>
      </c>
      <c r="K63" s="15" t="n">
        <f aca="false">((I63-((H63-1)/H63))-(-5/6))/((5-(5/6))-(-5/6))</f>
        <v>0.2</v>
      </c>
      <c r="L63" s="15" t="n">
        <f aca="false">E63-((E61+E62+E64+E65+E66)/5)</f>
        <v>0.82</v>
      </c>
      <c r="M63" s="18" t="n">
        <f aca="false">0.5 + (L63 * 0.09)</f>
        <v>0.5738</v>
      </c>
      <c r="N63" s="15" t="n">
        <f aca="false">((H63-(G63-1))/H63)*(IF(I63&lt;&gt;0,(I63+H63)/H63,1))</f>
        <v>0.777777777777778</v>
      </c>
      <c r="O63" s="19" t="n">
        <f aca="false">(N63-(1/6))/(10/6)</f>
        <v>0.366666666666667</v>
      </c>
      <c r="P63" s="1" t="n">
        <v>10</v>
      </c>
      <c r="Q63" s="19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9" t="n">
        <f aca="false">IFERROR(T63/S63, 1)</f>
        <v>1</v>
      </c>
      <c r="V63" s="20" t="n">
        <v>0</v>
      </c>
      <c r="W63" s="17" t="n">
        <v>3</v>
      </c>
      <c r="X63" s="30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1" t="n">
        <v>46171</v>
      </c>
      <c r="B64" s="1" t="n">
        <v>14</v>
      </c>
      <c r="C64" s="15" t="s">
        <v>70</v>
      </c>
      <c r="D64" s="15" t="s">
        <v>71</v>
      </c>
      <c r="E64" s="16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5" t="n">
        <f aca="false">F64-(1/H64)</f>
        <v>-0.166666666666667</v>
      </c>
      <c r="K64" s="15" t="n">
        <f aca="false">((I64-((H64-1)/H64))-(-5/6))/((5-(5/6))-(-5/6))</f>
        <v>0</v>
      </c>
      <c r="L64" s="15" t="n">
        <f aca="false">E64-((E61+E62+E63+E65+E66)/5)</f>
        <v>1.3</v>
      </c>
      <c r="M64" s="18" t="n">
        <f aca="false">0.5 + (L64 * 0.09)</f>
        <v>0.617</v>
      </c>
      <c r="N64" s="15" t="n">
        <f aca="false">((H64-(G64-1))/H64)*(IF(I64&lt;&gt;0,(I64+H64)/H64,1))</f>
        <v>0.5</v>
      </c>
      <c r="O64" s="19" t="n">
        <f aca="false">(N64-(1/6))/(10/6)</f>
        <v>0.2</v>
      </c>
      <c r="P64" s="1" t="n">
        <v>9</v>
      </c>
      <c r="Q64" s="19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9" t="n">
        <f aca="false">IFERROR(T64/S64, 1)</f>
        <v>1</v>
      </c>
      <c r="V64" s="20" t="n">
        <v>0</v>
      </c>
      <c r="W64" s="17" t="n">
        <v>3</v>
      </c>
      <c r="X64" s="30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1" t="n">
        <v>46171</v>
      </c>
      <c r="B65" s="1" t="n">
        <v>14</v>
      </c>
      <c r="C65" s="15" t="s">
        <v>26</v>
      </c>
      <c r="D65" s="15" t="s">
        <v>75</v>
      </c>
      <c r="E65" s="16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5" t="n">
        <f aca="false">F65-(1/H65)</f>
        <v>-0.166666666666667</v>
      </c>
      <c r="K65" s="15" t="n">
        <f aca="false">((I65-((H65-1)/H65))-(-5/6))/((5-(5/6))-(-5/6))</f>
        <v>0</v>
      </c>
      <c r="L65" s="15" t="n">
        <f aca="false">E65-((E61+E62+E63+E64+E66)/5)</f>
        <v>-0.38</v>
      </c>
      <c r="M65" s="18" t="n">
        <f aca="false">0.5 + (L65 * 0.09)</f>
        <v>0.4658</v>
      </c>
      <c r="N65" s="15" t="n">
        <f aca="false">((H65-(G65-1))/H65)*(IF(I65&lt;&gt;0,(I65+H65)/H65,1))</f>
        <v>0.333333333333333</v>
      </c>
      <c r="O65" s="19" t="n">
        <f aca="false">(N65-(1/6))/(10/6)</f>
        <v>0.1</v>
      </c>
      <c r="P65" s="1" t="n">
        <v>9</v>
      </c>
      <c r="Q65" s="19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9" t="n">
        <f aca="false">IFERROR(T65/S65, 1)</f>
        <v>0</v>
      </c>
      <c r="V65" s="20" t="n">
        <v>0</v>
      </c>
      <c r="W65" s="17" t="n">
        <v>2</v>
      </c>
      <c r="X65" s="30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40" t="n">
        <v>46171</v>
      </c>
      <c r="B66" s="23" t="n">
        <v>14</v>
      </c>
      <c r="C66" s="23" t="s">
        <v>59</v>
      </c>
      <c r="D66" s="23" t="s">
        <v>84</v>
      </c>
      <c r="E66" s="24" t="n">
        <v>1</v>
      </c>
      <c r="F66" s="23" t="n">
        <v>0</v>
      </c>
      <c r="G66" s="23" t="n">
        <v>6</v>
      </c>
      <c r="H66" s="23" t="n">
        <v>6</v>
      </c>
      <c r="I66" s="23" t="n">
        <v>0</v>
      </c>
      <c r="J66" s="23" t="n">
        <f aca="false">F66-(1/H66)</f>
        <v>-0.166666666666667</v>
      </c>
      <c r="K66" s="23" t="n">
        <f aca="false">((I66-((H66-1)/H66))-(-5/6))/((5-(5/6))-(-5/6))</f>
        <v>0</v>
      </c>
      <c r="L66" s="23" t="n">
        <f aca="false">E66-((E61+E62+E63+E64+E65)/5)</f>
        <v>-2.18</v>
      </c>
      <c r="M66" s="26" t="n">
        <f aca="false">0.5 + (L66 * 0.09)</f>
        <v>0.3038</v>
      </c>
      <c r="N66" s="23" t="n">
        <f aca="false">((H66-(G66-1))/H66)*(IF(I66&lt;&gt;0,(I66+H66)/H66,1))</f>
        <v>0.166666666666667</v>
      </c>
      <c r="O66" s="27" t="n">
        <f aca="false">(N66-(1/6))/(10/6)</f>
        <v>0</v>
      </c>
      <c r="P66" s="23" t="n">
        <v>8</v>
      </c>
      <c r="Q66" s="27" t="n">
        <f aca="false">IF(F66=1,(((1-((P66-3)/15))*0.5)+0.5),((P66/18)*0.5))</f>
        <v>0.222222222222222</v>
      </c>
      <c r="R66" s="23" t="n">
        <v>0</v>
      </c>
      <c r="S66" s="23" t="n">
        <v>1</v>
      </c>
      <c r="T66" s="23" t="n">
        <v>0</v>
      </c>
      <c r="U66" s="27" t="n">
        <f aca="false">IFERROR(T66/S66, 1)</f>
        <v>0</v>
      </c>
      <c r="V66" s="28" t="n">
        <v>1</v>
      </c>
      <c r="W66" s="25" t="n">
        <v>1</v>
      </c>
      <c r="X66" s="33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1" t="n">
        <v>46171</v>
      </c>
      <c r="B67" s="1" t="n">
        <v>15</v>
      </c>
      <c r="C67" s="15" t="s">
        <v>30</v>
      </c>
      <c r="D67" s="15" t="s">
        <v>81</v>
      </c>
      <c r="E67" s="16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5" t="n">
        <f aca="false">F67-(1/H67)</f>
        <v>0.8</v>
      </c>
      <c r="K67" s="15" t="n">
        <f aca="false">((I67-((H67-1)/H67))-(-5/6))/((5-(5/6))-(-5/6))</f>
        <v>0.606666666666667</v>
      </c>
      <c r="L67" s="35" t="n">
        <f aca="false">E67-((E68+E69+E70+E71)/4)</f>
        <v>-0.0499999999999998</v>
      </c>
      <c r="M67" s="42" t="n">
        <f aca="false">0.5 + (L67 * 0.09)</f>
        <v>0.4955</v>
      </c>
      <c r="N67" s="15" t="n">
        <f aca="false">((H67-(G67-1))/H67)*(IF(I67&lt;&gt;0,(I67+H67)/H67,1))</f>
        <v>1.6</v>
      </c>
      <c r="O67" s="19" t="n">
        <f aca="false">(N67-(1/6))/(10/6)</f>
        <v>0.86</v>
      </c>
      <c r="P67" s="1" t="n">
        <v>12</v>
      </c>
      <c r="Q67" s="19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17" t="n">
        <v>2</v>
      </c>
      <c r="X67" s="30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1" t="n">
        <v>46171</v>
      </c>
      <c r="B68" s="1" t="n">
        <v>15</v>
      </c>
      <c r="C68" s="15" t="s">
        <v>26</v>
      </c>
      <c r="D68" s="15" t="s">
        <v>45</v>
      </c>
      <c r="E68" s="16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5" t="n">
        <f aca="false">F68-(1/H68)</f>
        <v>-0.2</v>
      </c>
      <c r="K68" s="15" t="n">
        <f aca="false">((I68-((H68-1)/H68))-(-5/6))/((5-(5/6))-(-5/6))</f>
        <v>0.00666666666666667</v>
      </c>
      <c r="L68" s="15" t="n">
        <f aca="false">E68-((E67+E69+E70+E71)/4)</f>
        <v>-0.8</v>
      </c>
      <c r="M68" s="18" t="n">
        <f aca="false">0.5 + (L68 * 0.09)</f>
        <v>0.428</v>
      </c>
      <c r="N68" s="15" t="n">
        <f aca="false">((H68-(G68-1))/H68)*(IF(I68&lt;&gt;0,(I68+H68)/H68,1))</f>
        <v>0.8</v>
      </c>
      <c r="O68" s="19" t="n">
        <f aca="false">(N68-(1/6))/(10/6)</f>
        <v>0.38</v>
      </c>
      <c r="P68" s="1" t="n">
        <v>12</v>
      </c>
      <c r="Q68" s="19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9" t="n">
        <f aca="false">IFERROR(T68/S68, 1)</f>
        <v>1</v>
      </c>
      <c r="V68" s="20" t="n">
        <v>0</v>
      </c>
      <c r="W68" s="17" t="n">
        <v>2</v>
      </c>
      <c r="X68" s="30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1" t="n">
        <v>46171</v>
      </c>
      <c r="B69" s="1" t="n">
        <v>15</v>
      </c>
      <c r="C69" s="15" t="s">
        <v>59</v>
      </c>
      <c r="D69" s="15" t="s">
        <v>33</v>
      </c>
      <c r="E69" s="16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5" t="n">
        <f aca="false">F69-(1/H69)</f>
        <v>-0.2</v>
      </c>
      <c r="K69" s="15" t="n">
        <f aca="false">((I69-((H69-1)/H69))-(-5/6))/((5-(5/6))-(-5/6))</f>
        <v>0.206666666666667</v>
      </c>
      <c r="L69" s="15" t="n">
        <f aca="false">E69-((E67+E68+E70+E71)/4)</f>
        <v>-0.8</v>
      </c>
      <c r="M69" s="18" t="n">
        <f aca="false">0.5 + (L69 * 0.09)</f>
        <v>0.428</v>
      </c>
      <c r="N69" s="15" t="n">
        <f aca="false">((H69-(G69-1))/H69)*(IF(I69&lt;&gt;0,(I69+H69)/H69,1))</f>
        <v>0.72</v>
      </c>
      <c r="O69" s="19" t="n">
        <f aca="false">(N69-(1/6))/(10/6)</f>
        <v>0.332</v>
      </c>
      <c r="P69" s="1" t="n">
        <v>11</v>
      </c>
      <c r="Q69" s="19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9" t="n">
        <f aca="false">IFERROR(T69/S69, 1)</f>
        <v>1</v>
      </c>
      <c r="V69" s="20" t="n">
        <v>0</v>
      </c>
      <c r="W69" s="17" t="n">
        <v>2</v>
      </c>
      <c r="X69" s="30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1" t="n">
        <v>46171</v>
      </c>
      <c r="B70" s="1" t="n">
        <v>15</v>
      </c>
      <c r="C70" s="15" t="s">
        <v>28</v>
      </c>
      <c r="D70" s="15" t="s">
        <v>68</v>
      </c>
      <c r="E70" s="16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5" t="n">
        <f aca="false">F70-(1/H70)</f>
        <v>-0.2</v>
      </c>
      <c r="K70" s="15" t="n">
        <f aca="false">((I70-((H70-1)/H70))-(-5/6))/((5-(5/6))-(-5/6))</f>
        <v>0.00666666666666667</v>
      </c>
      <c r="L70" s="15" t="n">
        <f aca="false">E70-((E67+E68+E69+E71)/4)</f>
        <v>0.825</v>
      </c>
      <c r="M70" s="18" t="n">
        <f aca="false">0.5 + (L70 * 0.09)</f>
        <v>0.57425</v>
      </c>
      <c r="N70" s="15" t="n">
        <f aca="false">((H70-(G70-1))/H70)*(IF(I70&lt;&gt;0,(I70+H70)/H70,1))</f>
        <v>0.4</v>
      </c>
      <c r="O70" s="19" t="n">
        <f aca="false">(N70-(1/6))/(10/6)</f>
        <v>0.14</v>
      </c>
      <c r="P70" s="1" t="n">
        <v>10</v>
      </c>
      <c r="Q70" s="19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9" t="n">
        <f aca="false">IFERROR(T70/S70, 1)</f>
        <v>1</v>
      </c>
      <c r="V70" s="20" t="n">
        <v>0</v>
      </c>
      <c r="W70" s="17" t="n">
        <v>3</v>
      </c>
      <c r="X70" s="30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40" t="n">
        <v>46171</v>
      </c>
      <c r="B71" s="23" t="n">
        <v>15</v>
      </c>
      <c r="C71" s="23" t="s">
        <v>32</v>
      </c>
      <c r="D71" s="23" t="s">
        <v>62</v>
      </c>
      <c r="E71" s="24" t="n">
        <v>3.6</v>
      </c>
      <c r="F71" s="23" t="n">
        <v>0</v>
      </c>
      <c r="G71" s="23" t="n">
        <v>5</v>
      </c>
      <c r="H71" s="23" t="n">
        <v>5</v>
      </c>
      <c r="I71" s="23" t="n">
        <v>0</v>
      </c>
      <c r="J71" s="23" t="n">
        <f aca="false">F71-(1/H71)</f>
        <v>-0.2</v>
      </c>
      <c r="K71" s="23" t="n">
        <f aca="false">((I71-((H71-1)/H71))-(-5/6))/((5-(5/6))-(-5/6))</f>
        <v>0.00666666666666667</v>
      </c>
      <c r="L71" s="23" t="n">
        <f aca="false">E71-((E67+E68+E69+E70)/4)</f>
        <v>0.825</v>
      </c>
      <c r="M71" s="26" t="n">
        <f aca="false">0.5 + (L71 * 0.09)</f>
        <v>0.57425</v>
      </c>
      <c r="N71" s="23" t="n">
        <f aca="false">((H71-(G71-1))/H71)*(IF(I71&lt;&gt;0,(I71+H71)/H71,1))</f>
        <v>0.2</v>
      </c>
      <c r="O71" s="27" t="n">
        <f aca="false">(N71-(1/6))/(10/6)</f>
        <v>0.02</v>
      </c>
      <c r="P71" s="23" t="n">
        <v>9</v>
      </c>
      <c r="Q71" s="27" t="n">
        <f aca="false">IF(F71=1,(((1-((P71-3)/15))*0.5)+0.5),((P71/18)*0.5))</f>
        <v>0.25</v>
      </c>
      <c r="R71" s="23" t="n">
        <v>1</v>
      </c>
      <c r="S71" s="23" t="n">
        <v>3</v>
      </c>
      <c r="T71" s="23" t="n">
        <v>2</v>
      </c>
      <c r="U71" s="27" t="n">
        <f aca="false">IFERROR(T71/S71, 1)</f>
        <v>0.666666666666667</v>
      </c>
      <c r="V71" s="28" t="n">
        <v>0</v>
      </c>
      <c r="W71" s="25" t="n">
        <v>3</v>
      </c>
      <c r="X71" s="33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1" t="n">
        <v>46178</v>
      </c>
      <c r="B72" s="1" t="n">
        <v>16</v>
      </c>
      <c r="C72" s="15" t="s">
        <v>32</v>
      </c>
      <c r="D72" s="15" t="s">
        <v>54</v>
      </c>
      <c r="E72" s="16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5" t="n">
        <f aca="false">F72-(1/H72)</f>
        <v>0.8</v>
      </c>
      <c r="K72" s="15" t="n">
        <f aca="false">((I72-((H72-1)/H72))-(-5/6))/((5-(5/6))-(-5/6))</f>
        <v>0.206666666666667</v>
      </c>
      <c r="L72" s="35" t="n">
        <f aca="false">E72-((E73+E74+E75+E76)/4)</f>
        <v>1</v>
      </c>
      <c r="M72" s="42" t="n">
        <f aca="false">0.5 + (L72 * 0.09)</f>
        <v>0.59</v>
      </c>
      <c r="N72" s="15" t="n">
        <f aca="false">((H72-(G72-1))/H72)*(IF(I72&lt;&gt;0,(I72+H72)/H72,1))</f>
        <v>1.2</v>
      </c>
      <c r="O72" s="19" t="n">
        <f aca="false">(N72-(1/6))/(10/6)</f>
        <v>0.62</v>
      </c>
      <c r="P72" s="1" t="n">
        <v>10</v>
      </c>
      <c r="Q72" s="19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9" t="n">
        <f aca="false">IFERROR(T72/S72, 1)</f>
        <v>0</v>
      </c>
      <c r="V72" s="20" t="n">
        <v>0</v>
      </c>
      <c r="W72" s="17" t="n">
        <v>3</v>
      </c>
      <c r="X72" s="30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1" t="n">
        <v>46178</v>
      </c>
      <c r="B73" s="1" t="n">
        <v>16</v>
      </c>
      <c r="C73" s="15" t="s">
        <v>51</v>
      </c>
      <c r="D73" s="15" t="s">
        <v>52</v>
      </c>
      <c r="E73" s="16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5" t="n">
        <f aca="false">F73-(1/H73)</f>
        <v>-0.2</v>
      </c>
      <c r="K73" s="15" t="n">
        <f aca="false">((I73-((H73-1)/H73))-(-5/6))/((5-(5/6))-(-5/6))</f>
        <v>0.406666666666667</v>
      </c>
      <c r="L73" s="15" t="n">
        <f aca="false">E73-((E72+E74+E75+E76)/4)</f>
        <v>-0.875</v>
      </c>
      <c r="M73" s="18" t="n">
        <f aca="false">0.5 + (L73 * 0.09)</f>
        <v>0.42125</v>
      </c>
      <c r="N73" s="15" t="n">
        <f aca="false">((H73-(G73-1))/H73)*(IF(I73&lt;&gt;0,(I73+H73)/H73,1))</f>
        <v>1.12</v>
      </c>
      <c r="O73" s="19" t="n">
        <f aca="false">(N73-(1/6))/(10/6)</f>
        <v>0.572</v>
      </c>
      <c r="P73" s="1" t="n">
        <v>10</v>
      </c>
      <c r="Q73" s="19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17" t="n">
        <v>2</v>
      </c>
      <c r="X73" s="30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1" t="n">
        <v>46178</v>
      </c>
      <c r="B74" s="1" t="n">
        <v>16</v>
      </c>
      <c r="C74" s="15" t="s">
        <v>28</v>
      </c>
      <c r="D74" s="15" t="s">
        <v>68</v>
      </c>
      <c r="E74" s="16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5" t="n">
        <f aca="false">F74-(1/H74)</f>
        <v>-0.2</v>
      </c>
      <c r="K74" s="15" t="n">
        <f aca="false">((I74-((H74-1)/H74))-(-5/6))/((5-(5/6))-(-5/6))</f>
        <v>0.206666666666667</v>
      </c>
      <c r="L74" s="15" t="n">
        <f aca="false">E74-((E72+E73+E75+E76)/4)</f>
        <v>0.625</v>
      </c>
      <c r="M74" s="18" t="n">
        <f aca="false">0.5 + (L74 * 0.09)</f>
        <v>0.55625</v>
      </c>
      <c r="N74" s="15" t="n">
        <f aca="false">((H74-(G74-1))/H74)*(IF(I74&lt;&gt;0,(I74+H74)/H74,1))</f>
        <v>0.72</v>
      </c>
      <c r="O74" s="19" t="n">
        <f aca="false">(N74-(1/6))/(10/6)</f>
        <v>0.332</v>
      </c>
      <c r="P74" s="1" t="n">
        <v>9</v>
      </c>
      <c r="Q74" s="19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9" t="n">
        <f aca="false">IFERROR(T74/S74, 1)</f>
        <v>1</v>
      </c>
      <c r="V74" s="20" t="n">
        <v>0</v>
      </c>
      <c r="W74" s="17" t="n">
        <v>3</v>
      </c>
      <c r="X74" s="30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1" t="n">
        <v>46178</v>
      </c>
      <c r="B75" s="1" t="n">
        <v>16</v>
      </c>
      <c r="C75" s="15" t="s">
        <v>30</v>
      </c>
      <c r="D75" s="15" t="s">
        <v>74</v>
      </c>
      <c r="E75" s="16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5" t="n">
        <f aca="false">F75-(1/H75)</f>
        <v>-0.2</v>
      </c>
      <c r="K75" s="15" t="n">
        <f aca="false">((I75-((H75-1)/H75))-(-5/6))/((5-(5/6))-(-5/6))</f>
        <v>0.00666666666666667</v>
      </c>
      <c r="L75" s="15" t="n">
        <f aca="false">E75-((E72+E73+E74+E76)/4)</f>
        <v>-0.625</v>
      </c>
      <c r="M75" s="18" t="n">
        <f aca="false">0.5 + (L75 * 0.09)</f>
        <v>0.44375</v>
      </c>
      <c r="N75" s="15" t="n">
        <f aca="false">((H75-(G75-1))/H75)*(IF(I75&lt;&gt;0,(I75+H75)/H75,1))</f>
        <v>0.4</v>
      </c>
      <c r="O75" s="19" t="n">
        <f aca="false">(N75-(1/6))/(10/6)</f>
        <v>0.14</v>
      </c>
      <c r="P75" s="1" t="n">
        <v>9</v>
      </c>
      <c r="Q75" s="19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9" t="n">
        <f aca="false">IFERROR(T75/S75, 1)</f>
        <v>0</v>
      </c>
      <c r="V75" s="20" t="n">
        <v>0</v>
      </c>
      <c r="W75" s="17" t="n">
        <v>2</v>
      </c>
      <c r="X75" s="30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40" t="n">
        <v>46178</v>
      </c>
      <c r="B76" s="23" t="n">
        <v>16</v>
      </c>
      <c r="C76" s="23" t="s">
        <v>70</v>
      </c>
      <c r="D76" s="23" t="s">
        <v>85</v>
      </c>
      <c r="E76" s="24" t="n">
        <v>3</v>
      </c>
      <c r="F76" s="23" t="n">
        <v>0</v>
      </c>
      <c r="G76" s="23" t="n">
        <v>5</v>
      </c>
      <c r="H76" s="23" t="n">
        <v>5</v>
      </c>
      <c r="I76" s="23" t="n">
        <v>0</v>
      </c>
      <c r="J76" s="23" t="n">
        <f aca="false">F76-(1/H76)</f>
        <v>-0.2</v>
      </c>
      <c r="K76" s="23" t="n">
        <f aca="false">((I76-((H76-1)/H76))-(-5/6))/((5-(5/6))-(-5/6))</f>
        <v>0.00666666666666667</v>
      </c>
      <c r="L76" s="23" t="n">
        <f aca="false">E76-((E72+E73+E74+E75)/4)</f>
        <v>-0.125</v>
      </c>
      <c r="M76" s="26" t="n">
        <f aca="false">0.5 + (L76 * 0.09)</f>
        <v>0.48875</v>
      </c>
      <c r="N76" s="23" t="n">
        <f aca="false">((H76-(G76-1))/H76)*(IF(I76&lt;&gt;0,(I76+H76)/H76,1))</f>
        <v>0.2</v>
      </c>
      <c r="O76" s="27" t="n">
        <f aca="false">(N76-(1/6))/(10/6)</f>
        <v>0.02</v>
      </c>
      <c r="P76" s="23" t="n">
        <v>7</v>
      </c>
      <c r="Q76" s="27" t="n">
        <f aca="false">IF(F76=1,(((1-((P76-3)/15))*0.5)+0.5),((P76/18)*0.5))</f>
        <v>0.194444444444444</v>
      </c>
      <c r="R76" s="23" t="n">
        <v>0</v>
      </c>
      <c r="S76" s="23" t="n">
        <v>0</v>
      </c>
      <c r="T76" s="23" t="n">
        <v>0</v>
      </c>
      <c r="U76" s="27" t="n">
        <f aca="false">IFERROR(T76/S76, 1)</f>
        <v>1</v>
      </c>
      <c r="V76" s="28" t="n">
        <v>0</v>
      </c>
      <c r="W76" s="25" t="n">
        <v>3</v>
      </c>
      <c r="X76" s="33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1" t="n">
        <v>46178</v>
      </c>
      <c r="B77" s="1" t="n">
        <v>17</v>
      </c>
      <c r="C77" s="15" t="s">
        <v>30</v>
      </c>
      <c r="D77" s="15" t="s">
        <v>48</v>
      </c>
      <c r="E77" s="16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5" t="n">
        <f aca="false">F77-(1/H77)</f>
        <v>0.833333333333333</v>
      </c>
      <c r="K77" s="15" t="n">
        <f aca="false">((I77-((H77-1)/H77))-(-5/6))/((5-(5/6))-(-5/6))</f>
        <v>0.6</v>
      </c>
      <c r="L77" s="15" t="n">
        <f aca="false">E77-((E78+E79+E80+E81+E82)/5)</f>
        <v>0.1</v>
      </c>
      <c r="M77" s="18" t="n">
        <f aca="false">0.5 + (L77 * 0.09)</f>
        <v>0.509</v>
      </c>
      <c r="N77" s="15" t="n">
        <f aca="false">((H77-(G77-1))/H77)*(IF(I77&lt;&gt;0,(I77+H77)/H77,1))</f>
        <v>1.5</v>
      </c>
      <c r="O77" s="19" t="n">
        <f aca="false">(N77-(1/6))/(10/6)</f>
        <v>0.8</v>
      </c>
      <c r="P77" s="1" t="n">
        <v>10</v>
      </c>
      <c r="Q77" s="19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9" t="n">
        <f aca="false">IFERROR(T77/S77, 1)</f>
        <v>0.333333333333333</v>
      </c>
      <c r="V77" s="20" t="n">
        <v>0</v>
      </c>
      <c r="W77" s="17" t="n">
        <v>3</v>
      </c>
      <c r="X77" s="30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1" t="n">
        <v>46178</v>
      </c>
      <c r="B78" s="1" t="n">
        <v>17</v>
      </c>
      <c r="C78" s="15" t="s">
        <v>32</v>
      </c>
      <c r="D78" s="15" t="s">
        <v>79</v>
      </c>
      <c r="E78" s="16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5" t="n">
        <f aca="false">F78-(1/H78)</f>
        <v>-0.166666666666667</v>
      </c>
      <c r="K78" s="15" t="n">
        <f aca="false">((I78-((H78-1)/H78))-(-5/6))/((5-(5/6))-(-5/6))</f>
        <v>0</v>
      </c>
      <c r="L78" s="15" t="n">
        <f aca="false">E78-((E77+E79+E80+E81+E82)/5)</f>
        <v>-0.0199999999999996</v>
      </c>
      <c r="M78" s="18" t="n">
        <f aca="false">0.5 + (L78 * 0.09)</f>
        <v>0.4982</v>
      </c>
      <c r="N78" s="15" t="n">
        <f aca="false">((H78-(G78-1))/H78)*(IF(I78&lt;&gt;0,(I78+H78)/H78,1))</f>
        <v>0.833333333333333</v>
      </c>
      <c r="O78" s="19" t="n">
        <f aca="false">(N78-(1/6))/(10/6)</f>
        <v>0.4</v>
      </c>
      <c r="P78" s="1" t="n">
        <v>10</v>
      </c>
      <c r="Q78" s="19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9" t="n">
        <f aca="false">IFERROR(T78/S78, 1)</f>
        <v>0.333333333333333</v>
      </c>
      <c r="V78" s="20" t="n">
        <v>0</v>
      </c>
      <c r="W78" s="17" t="n">
        <v>2</v>
      </c>
      <c r="X78" s="30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1" t="n">
        <v>46178</v>
      </c>
      <c r="B79" s="1" t="n">
        <v>17</v>
      </c>
      <c r="C79" s="15" t="s">
        <v>70</v>
      </c>
      <c r="D79" s="15" t="s">
        <v>71</v>
      </c>
      <c r="E79" s="16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5" t="n">
        <f aca="false">F79-(1/H79)</f>
        <v>-0.166666666666667</v>
      </c>
      <c r="K79" s="15" t="n">
        <f aca="false">((I79-((H79-1)/H79))-(-5/6))/((5-(5/6))-(-5/6))</f>
        <v>0</v>
      </c>
      <c r="L79" s="15" t="n">
        <f aca="false">E79-((E77+E78+E80+E81+E82)/5)</f>
        <v>0.82</v>
      </c>
      <c r="M79" s="18" t="n">
        <f aca="false">0.5 + (L79 * 0.09)</f>
        <v>0.5738</v>
      </c>
      <c r="N79" s="15" t="n">
        <f aca="false">((H79-(G79-1))/H79)*(IF(I79&lt;&gt;0,(I79+H79)/H79,1))</f>
        <v>0.833333333333333</v>
      </c>
      <c r="O79" s="19" t="n">
        <f aca="false">(N79-(1/6))/(10/6)</f>
        <v>0.4</v>
      </c>
      <c r="P79" s="1" t="n">
        <v>10</v>
      </c>
      <c r="Q79" s="19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9" t="n">
        <f aca="false">IFERROR(T79/S79, 1)</f>
        <v>0.2</v>
      </c>
      <c r="V79" s="20" t="n">
        <v>0</v>
      </c>
      <c r="W79" s="17" t="n">
        <v>3</v>
      </c>
      <c r="X79" s="30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1" t="n">
        <v>46178</v>
      </c>
      <c r="B80" s="1" t="n">
        <v>17</v>
      </c>
      <c r="C80" s="15" t="s">
        <v>28</v>
      </c>
      <c r="D80" s="15" t="s">
        <v>67</v>
      </c>
      <c r="E80" s="16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5" t="n">
        <f aca="false">F80-(1/H80)</f>
        <v>-0.166666666666667</v>
      </c>
      <c r="K80" s="15" t="n">
        <f aca="false">((I80-((H80-1)/H80))-(-5/6))/((5-(5/6))-(-5/6))</f>
        <v>0</v>
      </c>
      <c r="L80" s="15" t="n">
        <f aca="false">E80-((E77+E78+E79+E81+E82)/5)</f>
        <v>0.46</v>
      </c>
      <c r="M80" s="18" t="n">
        <f aca="false">0.5 + (L80 * 0.09)</f>
        <v>0.5414</v>
      </c>
      <c r="N80" s="15" t="n">
        <f aca="false">((H80-(G80-1))/H80)*(IF(I80&lt;&gt;0,(I80+H80)/H80,1))</f>
        <v>0.833333333333333</v>
      </c>
      <c r="O80" s="19" t="n">
        <f aca="false">(N80-(1/6))/(10/6)</f>
        <v>0.4</v>
      </c>
      <c r="P80" s="1" t="n">
        <v>10</v>
      </c>
      <c r="Q80" s="19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9" t="n">
        <f aca="false">IFERROR(T80/S80, 1)</f>
        <v>0.25</v>
      </c>
      <c r="V80" s="20" t="n">
        <v>0</v>
      </c>
      <c r="W80" s="17" t="n">
        <v>3</v>
      </c>
      <c r="X80" s="30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1" t="n">
        <v>46178</v>
      </c>
      <c r="B81" s="1" t="n">
        <v>17</v>
      </c>
      <c r="C81" s="15" t="s">
        <v>26</v>
      </c>
      <c r="D81" s="15" t="s">
        <v>45</v>
      </c>
      <c r="E81" s="16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5" t="n">
        <f aca="false">F81-(1/H81)</f>
        <v>-0.166666666666667</v>
      </c>
      <c r="K81" s="15" t="n">
        <f aca="false">((I81-((H81-1)/H81))-(-5/6))/((5-(5/6))-(-5/6))</f>
        <v>0</v>
      </c>
      <c r="L81" s="15" t="n">
        <f aca="false">E81-((E77+E78+E79+E80+E82)/5)</f>
        <v>-0.26</v>
      </c>
      <c r="M81" s="18" t="n">
        <f aca="false">0.5 + (L81 * 0.09)</f>
        <v>0.4766</v>
      </c>
      <c r="N81" s="15" t="n">
        <f aca="false">((H81-(G81-1))/H81)*(IF(I81&lt;&gt;0,(I81+H81)/H81,1))</f>
        <v>0.333333333333333</v>
      </c>
      <c r="O81" s="19" t="n">
        <f aca="false">(N81-(1/6))/(10/6)</f>
        <v>0.1</v>
      </c>
      <c r="P81" s="1" t="n">
        <v>10</v>
      </c>
      <c r="Q81" s="19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9" t="n">
        <f aca="false">IFERROR(T81/S81, 1)</f>
        <v>0.666666666666667</v>
      </c>
      <c r="V81" s="20" t="n">
        <v>0</v>
      </c>
      <c r="W81" s="17" t="n">
        <v>2</v>
      </c>
      <c r="X81" s="30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40" t="n">
        <v>46178</v>
      </c>
      <c r="B82" s="23" t="n">
        <v>17</v>
      </c>
      <c r="C82" s="23" t="s">
        <v>51</v>
      </c>
      <c r="D82" s="23" t="s">
        <v>86</v>
      </c>
      <c r="E82" s="24" t="n">
        <v>2</v>
      </c>
      <c r="F82" s="23" t="n">
        <v>0</v>
      </c>
      <c r="G82" s="23" t="n">
        <v>6</v>
      </c>
      <c r="H82" s="23" t="n">
        <v>6</v>
      </c>
      <c r="I82" s="23" t="n">
        <v>0</v>
      </c>
      <c r="J82" s="23" t="n">
        <f aca="false">F82-(1/H82)</f>
        <v>-0.166666666666667</v>
      </c>
      <c r="K82" s="23" t="n">
        <f aca="false">((I82-((H82-1)/H82))-(-5/6))/((5-(5/6))-(-5/6))</f>
        <v>0</v>
      </c>
      <c r="L82" s="23" t="n">
        <f aca="false">E82-((E77+E78+E79+E80+E81)/5)</f>
        <v>-1.1</v>
      </c>
      <c r="M82" s="26" t="n">
        <f aca="false">0.5 + (L82 * 0.09)</f>
        <v>0.401</v>
      </c>
      <c r="N82" s="23" t="n">
        <f aca="false">((H82-(G82-1))/H82)*(IF(I82&lt;&gt;0,(I82+H82)/H82,1))</f>
        <v>0.166666666666667</v>
      </c>
      <c r="O82" s="27" t="n">
        <f aca="false">(N82-(1/6))/(10/6)</f>
        <v>0</v>
      </c>
      <c r="P82" s="23" t="n">
        <v>9</v>
      </c>
      <c r="Q82" s="27" t="n">
        <f aca="false">IF(F82=1,(((1-((P82-3)/15))*0.5)+0.5),((P82/18)*0.5))</f>
        <v>0.25</v>
      </c>
      <c r="R82" s="23" t="n">
        <v>0</v>
      </c>
      <c r="S82" s="23" t="n">
        <v>1</v>
      </c>
      <c r="T82" s="23" t="n">
        <v>0</v>
      </c>
      <c r="U82" s="27" t="n">
        <f aca="false">IFERROR(T82/S82, 1)</f>
        <v>0</v>
      </c>
      <c r="V82" s="28" t="n">
        <v>0</v>
      </c>
      <c r="W82" s="25" t="n">
        <v>2</v>
      </c>
      <c r="X82" s="33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1" t="n">
        <v>46183</v>
      </c>
      <c r="B83" s="1" t="n">
        <v>18</v>
      </c>
      <c r="C83" s="15" t="s">
        <v>28</v>
      </c>
      <c r="D83" s="15" t="s">
        <v>42</v>
      </c>
      <c r="E83" s="16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5" t="n">
        <f aca="false">F83-(1/H83)</f>
        <v>0.666666666666667</v>
      </c>
      <c r="K83" s="15" t="n">
        <f aca="false">((I83-((H83-1)/H83))-(-5/6))/((5-(5/6))-(-5/6))</f>
        <v>0.233333333333333</v>
      </c>
      <c r="L83" s="16" t="n">
        <f aca="false">E83-((E84+E85)/2)</f>
        <v>0.45</v>
      </c>
      <c r="M83" s="18" t="n">
        <f aca="false">0.5 + (L83 * 0.09)</f>
        <v>0.5405</v>
      </c>
      <c r="N83" s="15" t="n">
        <f aca="false">((H83-(G83-1))/H83)*(IF(I83&lt;&gt;0,(I83+H83)/H83,1))</f>
        <v>1.33333333333333</v>
      </c>
      <c r="O83" s="19" t="n">
        <f aca="false">(N83-(1/6))/(10/6)</f>
        <v>0.7</v>
      </c>
      <c r="P83" s="1" t="n">
        <v>13</v>
      </c>
      <c r="Q83" s="19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9" t="n">
        <f aca="false">IFERROR(T83/S83, 1)</f>
        <v>1</v>
      </c>
      <c r="V83" s="20" t="n">
        <v>0</v>
      </c>
      <c r="W83" s="17" t="n">
        <v>3</v>
      </c>
      <c r="X83" s="30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1" t="n">
        <v>46183</v>
      </c>
      <c r="B84" s="1" t="n">
        <v>18</v>
      </c>
      <c r="C84" s="15" t="s">
        <v>32</v>
      </c>
      <c r="D84" s="15" t="s">
        <v>54</v>
      </c>
      <c r="E84" s="16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5" t="n">
        <f aca="false">F84-(1/H84)</f>
        <v>-0.333333333333333</v>
      </c>
      <c r="K84" s="15" t="n">
        <f aca="false">((I84-((H84-1)/H84))-(-5/6))/((5-(5/6))-(-5/6))</f>
        <v>0.233333333333333</v>
      </c>
      <c r="L84" s="15" t="n">
        <f aca="false">E84-((E83+E85)/2)</f>
        <v>0.15</v>
      </c>
      <c r="M84" s="18" t="n">
        <f aca="false">0.5 + (L84 * 0.09)</f>
        <v>0.5135</v>
      </c>
      <c r="N84" s="15" t="n">
        <f aca="false">((H84-(G84-1))/H84)*(IF(I84&lt;&gt;0,(I84+H84)/H84,1))</f>
        <v>0.888888888888889</v>
      </c>
      <c r="O84" s="19" t="n">
        <f aca="false">(N84-(1/6))/(10/6)</f>
        <v>0.433333333333333</v>
      </c>
      <c r="P84" s="1" t="n">
        <v>13</v>
      </c>
      <c r="Q84" s="19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9" t="n">
        <f aca="false">IFERROR(T84/S84, 1)</f>
        <v>1</v>
      </c>
      <c r="V84" s="20" t="n">
        <v>0</v>
      </c>
      <c r="W84" s="17" t="n">
        <v>3</v>
      </c>
      <c r="X84" s="30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40" t="n">
        <v>46183</v>
      </c>
      <c r="B85" s="23" t="n">
        <v>18</v>
      </c>
      <c r="C85" s="23" t="s">
        <v>38</v>
      </c>
      <c r="D85" s="23" t="s">
        <v>49</v>
      </c>
      <c r="E85" s="24" t="n">
        <v>3.2</v>
      </c>
      <c r="F85" s="23" t="n">
        <v>0</v>
      </c>
      <c r="G85" s="23" t="n">
        <v>3</v>
      </c>
      <c r="H85" s="23" t="n">
        <v>3</v>
      </c>
      <c r="I85" s="23" t="n">
        <v>0</v>
      </c>
      <c r="J85" s="23" t="n">
        <f aca="false">F85-(1/H85)</f>
        <v>-0.333333333333333</v>
      </c>
      <c r="K85" s="23" t="n">
        <f aca="false">((I85-((H85-1)/H85))-(-5/6))/((5-(5/6))-(-5/6))</f>
        <v>0.0333333333333334</v>
      </c>
      <c r="L85" s="23" t="n">
        <f aca="false">E85-((E83+E84)/2)</f>
        <v>-0.6</v>
      </c>
      <c r="M85" s="26" t="n">
        <f aca="false">0.5 + (L85 * 0.09)</f>
        <v>0.446</v>
      </c>
      <c r="N85" s="23" t="n">
        <f aca="false">((H85-(G85-1))/H85)*(IF(I85&lt;&gt;0,(I85+H85)/H85,1))</f>
        <v>0.333333333333333</v>
      </c>
      <c r="O85" s="27" t="n">
        <f aca="false">(N85-(1/6))/(10/6)</f>
        <v>0.1</v>
      </c>
      <c r="P85" s="23" t="n">
        <v>10</v>
      </c>
      <c r="Q85" s="27" t="n">
        <f aca="false">IF(F85=1,(((1-((P85-3)/15))*0.5)+0.5),((P85/18)*0.5))</f>
        <v>0.277777777777778</v>
      </c>
      <c r="R85" s="23" t="n">
        <v>1</v>
      </c>
      <c r="S85" s="23" t="n">
        <v>0</v>
      </c>
      <c r="T85" s="23" t="n">
        <v>0</v>
      </c>
      <c r="U85" s="27" t="n">
        <f aca="false">IFERROR(T85/S85, 1)</f>
        <v>1</v>
      </c>
      <c r="V85" s="28" t="n">
        <v>0</v>
      </c>
      <c r="W85" s="25" t="n">
        <v>3</v>
      </c>
      <c r="X85" s="33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1" t="n">
        <v>46185</v>
      </c>
      <c r="B86" s="1" t="n">
        <v>19</v>
      </c>
      <c r="C86" s="15" t="s">
        <v>70</v>
      </c>
      <c r="D86" s="15" t="s">
        <v>85</v>
      </c>
      <c r="E86" s="16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5" t="n">
        <f aca="false">F86-(1/H86)</f>
        <v>0.8</v>
      </c>
      <c r="K86" s="15" t="n">
        <f aca="false">((I86-((H86-1)/H86))-(-5/6))/((5-(5/6))-(-5/6))</f>
        <v>0.406666666666667</v>
      </c>
      <c r="L86" s="35" t="n">
        <f aca="false">E86-((E87+E88+E89+E90)/4)</f>
        <v>0.675</v>
      </c>
      <c r="M86" s="42" t="n">
        <f aca="false">0.5 + (L86 * 0.09)</f>
        <v>0.56075</v>
      </c>
      <c r="N86" s="15" t="n">
        <f aca="false">((H86-(G86-1))/H86)*(IF(I86&lt;&gt;0,(I86+H86)/H86,1))</f>
        <v>1.4</v>
      </c>
      <c r="O86" s="19" t="n">
        <f aca="false">(N86-(1/6))/(10/6)</f>
        <v>0.74</v>
      </c>
      <c r="P86" s="1" t="n">
        <v>12</v>
      </c>
      <c r="Q86" s="19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17" t="n">
        <v>3</v>
      </c>
      <c r="X86" s="30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1" t="n">
        <v>46185</v>
      </c>
      <c r="B87" s="1" t="n">
        <v>19</v>
      </c>
      <c r="C87" s="15" t="s">
        <v>32</v>
      </c>
      <c r="D87" s="15" t="s">
        <v>87</v>
      </c>
      <c r="E87" s="16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5" t="n">
        <f aca="false">F87-(1/H87)</f>
        <v>-0.2</v>
      </c>
      <c r="K87" s="15" t="n">
        <f aca="false">((I87-((H87-1)/H87))-(-5/6))/((5-(5/6))-(-5/6))</f>
        <v>0.206666666666667</v>
      </c>
      <c r="L87" s="15" t="n">
        <f aca="false">E87-((E86+E88+E89+E90)/4)</f>
        <v>-1.075</v>
      </c>
      <c r="M87" s="18" t="n">
        <f aca="false">0.5 + (L87 * 0.09)</f>
        <v>0.40325</v>
      </c>
      <c r="N87" s="15" t="n">
        <f aca="false">((H87-(G87-1))/H87)*(IF(I87&lt;&gt;0,(I87+H87)/H87,1))</f>
        <v>0.96</v>
      </c>
      <c r="O87" s="19" t="n">
        <f aca="false">(N87-(1/6))/(10/6)</f>
        <v>0.476</v>
      </c>
      <c r="P87" s="1" t="n">
        <v>12</v>
      </c>
      <c r="Q87" s="19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9" t="n">
        <f aca="false">IFERROR(T87/S87, 1)</f>
        <v>1</v>
      </c>
      <c r="V87" s="20" t="n">
        <v>0</v>
      </c>
      <c r="W87" s="17" t="n">
        <v>2</v>
      </c>
      <c r="X87" s="30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1" t="n">
        <v>46185</v>
      </c>
      <c r="B88" s="1" t="n">
        <v>19</v>
      </c>
      <c r="C88" s="15" t="s">
        <v>28</v>
      </c>
      <c r="D88" s="15" t="s">
        <v>88</v>
      </c>
      <c r="E88" s="16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5" t="n">
        <f aca="false">F88-(1/H88)</f>
        <v>-0.2</v>
      </c>
      <c r="K88" s="15" t="n">
        <f aca="false">((I88-((H88-1)/H88))-(-5/6))/((5-(5/6))-(-5/6))</f>
        <v>0.00666666666666667</v>
      </c>
      <c r="L88" s="15" t="n">
        <f aca="false">E88-((E86+E87+E89+E90)/4)</f>
        <v>-1.075</v>
      </c>
      <c r="M88" s="18" t="n">
        <f aca="false">0.5 + (L88 * 0.09)</f>
        <v>0.40325</v>
      </c>
      <c r="N88" s="15" t="n">
        <f aca="false">((H88-(G88-1))/H88)*(IF(I88&lt;&gt;0,(I88+H88)/H88,1))</f>
        <v>0.6</v>
      </c>
      <c r="O88" s="19" t="n">
        <f aca="false">(N88-(1/6))/(10/6)</f>
        <v>0.26</v>
      </c>
      <c r="P88" s="1" t="n">
        <v>11</v>
      </c>
      <c r="Q88" s="19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9" t="n">
        <f aca="false">IFERROR(T88/S88, 1)</f>
        <v>1</v>
      </c>
      <c r="V88" s="20" t="n">
        <v>0</v>
      </c>
      <c r="W88" s="17" t="n">
        <v>2</v>
      </c>
      <c r="X88" s="30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1" t="n">
        <v>46185</v>
      </c>
      <c r="B89" s="1" t="n">
        <v>19</v>
      </c>
      <c r="C89" s="15" t="s">
        <v>59</v>
      </c>
      <c r="D89" s="15" t="s">
        <v>69</v>
      </c>
      <c r="E89" s="16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E89-((E86+E87+E88+E90)/4)</f>
        <v>0.8</v>
      </c>
      <c r="M89" s="18" t="n">
        <f aca="false">0.5 + (L89 * 0.09)</f>
        <v>0.572</v>
      </c>
      <c r="N89" s="15" t="n">
        <f aca="false">((H89-(G89-1))/H89)*(IF(I89&lt;&gt;0,(I89+H89)/H89,1))</f>
        <v>0.4</v>
      </c>
      <c r="O89" s="19" t="n">
        <f aca="false">(N89-(1/6))/(10/6)</f>
        <v>0.14</v>
      </c>
      <c r="P89" s="1" t="n">
        <v>10</v>
      </c>
      <c r="Q89" s="19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9" t="n">
        <f aca="false">IFERROR(T89/S89, 1)</f>
        <v>0.5</v>
      </c>
      <c r="V89" s="20" t="n">
        <v>0</v>
      </c>
      <c r="W89" s="17" t="n">
        <v>3</v>
      </c>
      <c r="X89" s="30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40" t="n">
        <v>46185</v>
      </c>
      <c r="B90" s="23" t="n">
        <v>19</v>
      </c>
      <c r="C90" s="23" t="s">
        <v>30</v>
      </c>
      <c r="D90" s="23" t="s">
        <v>34</v>
      </c>
      <c r="E90" s="24" t="n">
        <v>3.4</v>
      </c>
      <c r="F90" s="23" t="n">
        <v>0</v>
      </c>
      <c r="G90" s="23" t="n">
        <v>5</v>
      </c>
      <c r="H90" s="23" t="n">
        <v>5</v>
      </c>
      <c r="I90" s="23" t="n">
        <v>0</v>
      </c>
      <c r="J90" s="23" t="n">
        <f aca="false">F90-(1/H90)</f>
        <v>-0.2</v>
      </c>
      <c r="K90" s="23" t="n">
        <f aca="false">((I90-((H90-1)/H90))-(-5/6))/((5-(5/6))-(-5/6))</f>
        <v>0.00666666666666667</v>
      </c>
      <c r="L90" s="23" t="n">
        <f aca="false">E90-((E86+E87+E88+E89)/4)</f>
        <v>0.675</v>
      </c>
      <c r="M90" s="26" t="n">
        <f aca="false">0.5 + (L90 * 0.09)</f>
        <v>0.56075</v>
      </c>
      <c r="N90" s="23" t="n">
        <f aca="false">((H90-(G90-1))/H90)*(IF(I90&lt;&gt;0,(I90+H90)/H90,1))</f>
        <v>0.2</v>
      </c>
      <c r="O90" s="27" t="n">
        <f aca="false">(N90-(1/6))/(10/6)</f>
        <v>0.02</v>
      </c>
      <c r="P90" s="23" t="n">
        <v>10</v>
      </c>
      <c r="Q90" s="27" t="n">
        <f aca="false">IF(F90=1,(((1-((P90-3)/15))*0.5)+0.5),((P90/18)*0.5))</f>
        <v>0.277777777777778</v>
      </c>
      <c r="R90" s="23" t="n">
        <v>1</v>
      </c>
      <c r="S90" s="23" t="n">
        <v>0</v>
      </c>
      <c r="T90" s="23" t="n">
        <v>0</v>
      </c>
      <c r="U90" s="27" t="n">
        <f aca="false">IFERROR(T90/S90, 1)</f>
        <v>1</v>
      </c>
      <c r="V90" s="28" t="n">
        <v>0</v>
      </c>
      <c r="W90" s="25" t="n">
        <v>3</v>
      </c>
      <c r="X90" s="33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1" t="n">
        <v>46185</v>
      </c>
      <c r="B91" s="1" t="n">
        <v>20</v>
      </c>
      <c r="C91" s="15" t="s">
        <v>26</v>
      </c>
      <c r="D91" s="15" t="s">
        <v>45</v>
      </c>
      <c r="E91" s="16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5" t="n">
        <f aca="false">F91-(1/H91)</f>
        <v>0.8</v>
      </c>
      <c r="K91" s="15" t="n">
        <f aca="false">((I91-((H91-1)/H91))-(-5/6))/((5-(5/6))-(-5/6))</f>
        <v>0.406666666666667</v>
      </c>
      <c r="L91" s="35" t="n">
        <f aca="false">E91-((E92+E93+E94+E95)/4)</f>
        <v>-0.425</v>
      </c>
      <c r="M91" s="42" t="n">
        <f aca="false">0.5 + (L91 * 0.09)</f>
        <v>0.46175</v>
      </c>
      <c r="N91" s="15" t="n">
        <f aca="false">((H91-(G91-1))/H91)*(IF(I91&lt;&gt;0,(I91+H91)/H91,1))</f>
        <v>1.4</v>
      </c>
      <c r="O91" s="19" t="n">
        <f aca="false">(N91-(1/6))/(10/6)</f>
        <v>0.74</v>
      </c>
      <c r="P91" s="1" t="n">
        <v>8</v>
      </c>
      <c r="Q91" s="19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9" t="n">
        <f aca="false">IFERROR(T91/S91, 1)</f>
        <v>1</v>
      </c>
      <c r="V91" s="20" t="n">
        <v>0</v>
      </c>
      <c r="W91" s="17" t="n">
        <v>2</v>
      </c>
      <c r="X91" s="30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1" t="n">
        <v>46185</v>
      </c>
      <c r="B92" s="1" t="n">
        <v>20</v>
      </c>
      <c r="C92" s="15" t="s">
        <v>70</v>
      </c>
      <c r="D92" s="15" t="s">
        <v>57</v>
      </c>
      <c r="E92" s="16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5" t="n">
        <f aca="false">F92-(1/H92)</f>
        <v>-0.2</v>
      </c>
      <c r="K92" s="15" t="n">
        <f aca="false">((I92-((H92-1)/H92))-(-5/6))/((5-(5/6))-(-5/6))</f>
        <v>0.406666666666667</v>
      </c>
      <c r="L92" s="15" t="n">
        <f aca="false">E92-((E91+E93+E94+E95)/4)</f>
        <v>0.7</v>
      </c>
      <c r="M92" s="18" t="n">
        <f aca="false">0.5 + (L92 * 0.09)</f>
        <v>0.563</v>
      </c>
      <c r="N92" s="15" t="n">
        <f aca="false">((H92-(G92-1))/H92)*(IF(I92&lt;&gt;0,(I92+H92)/H92,1))</f>
        <v>1.12</v>
      </c>
      <c r="O92" s="19" t="n">
        <f aca="false">(N92-(1/6))/(10/6)</f>
        <v>0.572</v>
      </c>
      <c r="P92" s="1" t="n">
        <v>8</v>
      </c>
      <c r="Q92" s="19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9" t="n">
        <f aca="false">IFERROR(T92/S92, 1)</f>
        <v>1</v>
      </c>
      <c r="V92" s="20" t="n">
        <v>0</v>
      </c>
      <c r="W92" s="17" t="n">
        <v>3</v>
      </c>
      <c r="X92" s="30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1" t="n">
        <v>46185</v>
      </c>
      <c r="B93" s="1" t="n">
        <v>20</v>
      </c>
      <c r="C93" s="15" t="s">
        <v>28</v>
      </c>
      <c r="D93" s="15" t="s">
        <v>88</v>
      </c>
      <c r="E93" s="16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5" t="n">
        <f aca="false">F93-(1/H93)</f>
        <v>-0.2</v>
      </c>
      <c r="K93" s="15" t="n">
        <f aca="false">((I93-((H93-1)/H93))-(-5/6))/((5-(5/6))-(-5/6))</f>
        <v>0.00666666666666667</v>
      </c>
      <c r="L93" s="15" t="n">
        <f aca="false">E93-((E91+E92+E94+E95)/4)</f>
        <v>-0.0499999999999998</v>
      </c>
      <c r="M93" s="18" t="n">
        <f aca="false">0.5 + (L93 * 0.09)</f>
        <v>0.4955</v>
      </c>
      <c r="N93" s="15" t="n">
        <f aca="false">((H93-(G93-1))/H93)*(IF(I93&lt;&gt;0,(I93+H93)/H93,1))</f>
        <v>0.6</v>
      </c>
      <c r="O93" s="19" t="n">
        <f aca="false">(N93-(1/6))/(10/6)</f>
        <v>0.26</v>
      </c>
      <c r="P93" s="1" t="n">
        <v>8</v>
      </c>
      <c r="Q93" s="19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17" t="n">
        <v>2</v>
      </c>
      <c r="X93" s="30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1" t="n">
        <v>46185</v>
      </c>
      <c r="B94" s="1" t="n">
        <v>20</v>
      </c>
      <c r="C94" s="15" t="s">
        <v>30</v>
      </c>
      <c r="D94" s="15" t="s">
        <v>81</v>
      </c>
      <c r="E94" s="16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5" t="n">
        <f aca="false">F94-(1/H94)</f>
        <v>-0.2</v>
      </c>
      <c r="K94" s="15" t="n">
        <f aca="false">((I94-((H94-1)/H94))-(-5/6))/((5-(5/6))-(-5/6))</f>
        <v>0.00666666666666667</v>
      </c>
      <c r="L94" s="15" t="n">
        <f aca="false">E94-((E91+E92+E93+E95)/4)</f>
        <v>0.2</v>
      </c>
      <c r="M94" s="18" t="n">
        <f aca="false">0.5 + (L94 * 0.09)</f>
        <v>0.518</v>
      </c>
      <c r="N94" s="15" t="n">
        <f aca="false">((H94-(G94-1))/H94)*(IF(I94&lt;&gt;0,(I94+H94)/H94,1))</f>
        <v>0.4</v>
      </c>
      <c r="O94" s="19" t="n">
        <f aca="false">(N94-(1/6))/(10/6)</f>
        <v>0.14</v>
      </c>
      <c r="P94" s="1" t="n">
        <v>8</v>
      </c>
      <c r="Q94" s="19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9" t="n">
        <f aca="false">IFERROR(T94/S94, 1)</f>
        <v>1</v>
      </c>
      <c r="V94" s="20" t="n">
        <v>0</v>
      </c>
      <c r="W94" s="17" t="n">
        <v>2</v>
      </c>
      <c r="X94" s="30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40" t="n">
        <v>46185</v>
      </c>
      <c r="B95" s="23" t="n">
        <v>20</v>
      </c>
      <c r="C95" s="23" t="s">
        <v>32</v>
      </c>
      <c r="D95" s="23" t="s">
        <v>79</v>
      </c>
      <c r="E95" s="24" t="n">
        <v>2.4</v>
      </c>
      <c r="F95" s="23" t="n">
        <v>0</v>
      </c>
      <c r="G95" s="23" t="n">
        <v>5</v>
      </c>
      <c r="H95" s="23" t="n">
        <v>5</v>
      </c>
      <c r="I95" s="23" t="n">
        <v>0</v>
      </c>
      <c r="J95" s="23" t="n">
        <f aca="false">F95-(1/H95)</f>
        <v>-0.2</v>
      </c>
      <c r="K95" s="23" t="n">
        <f aca="false">((I95-((H95-1)/H95))-(-5/6))/((5-(5/6))-(-5/6))</f>
        <v>0.00666666666666667</v>
      </c>
      <c r="L95" s="23" t="n">
        <f aca="false">E95-((E91+E92+E93+E94)/4)</f>
        <v>-0.425</v>
      </c>
      <c r="M95" s="26" t="n">
        <f aca="false">0.5 + (L95 * 0.09)</f>
        <v>0.46175</v>
      </c>
      <c r="N95" s="23" t="n">
        <f aca="false">((H95-(G95-1))/H95)*(IF(I95&lt;&gt;0,(I95+H95)/H95,1))</f>
        <v>0.2</v>
      </c>
      <c r="O95" s="27" t="n">
        <f aca="false">(N95-(1/6))/(10/6)</f>
        <v>0.02</v>
      </c>
      <c r="P95" s="23" t="n">
        <v>8</v>
      </c>
      <c r="Q95" s="27" t="n">
        <f aca="false">IF(F95=1,(((1-((P95-3)/15))*0.5)+0.5),((P95/18)*0.5))</f>
        <v>0.222222222222222</v>
      </c>
      <c r="R95" s="23" t="n">
        <v>0</v>
      </c>
      <c r="S95" s="23" t="n">
        <v>0</v>
      </c>
      <c r="T95" s="23" t="n">
        <v>0</v>
      </c>
      <c r="U95" s="27" t="n">
        <f aca="false">IFERROR(T95/S95, 1)</f>
        <v>1</v>
      </c>
      <c r="V95" s="28" t="n">
        <v>0</v>
      </c>
      <c r="W95" s="25" t="n">
        <v>2</v>
      </c>
      <c r="X95" s="33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1" t="n">
        <v>46186</v>
      </c>
      <c r="B96" s="1" t="n">
        <v>21</v>
      </c>
      <c r="C96" s="15" t="s">
        <v>32</v>
      </c>
      <c r="D96" s="15" t="s">
        <v>41</v>
      </c>
      <c r="E96" s="16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5" t="n">
        <f aca="false">F96-(1/H96)</f>
        <v>0.666666666666667</v>
      </c>
      <c r="K96" s="15" t="n">
        <f aca="false">((I96-((H96-1)/H96))-(-5/6))/((5-(5/6))-(-5/6))</f>
        <v>0.233333333333333</v>
      </c>
      <c r="L96" s="16" t="n">
        <f aca="false">E96-((E97+E98)/2)</f>
        <v>0.5</v>
      </c>
      <c r="M96" s="18" t="n">
        <f aca="false">0.5 + (L96 * 0.09)</f>
        <v>0.545</v>
      </c>
      <c r="N96" s="15" t="n">
        <f aca="false">((H96-(G96-1))/H96)*(IF(I96&lt;&gt;0,(I96+H96)/H96,1))</f>
        <v>1.33333333333333</v>
      </c>
      <c r="O96" s="19" t="n">
        <f aca="false">(N96-(1/6))/(10/6)</f>
        <v>0.7</v>
      </c>
      <c r="P96" s="1" t="n">
        <v>13</v>
      </c>
      <c r="Q96" s="19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9" t="n">
        <f aca="false">IFERROR(T96/S96, 1)</f>
        <v>1</v>
      </c>
      <c r="V96" s="20" t="n">
        <v>0</v>
      </c>
      <c r="W96" s="17" t="n">
        <v>3</v>
      </c>
      <c r="X96" s="30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1" t="n">
        <v>46186</v>
      </c>
      <c r="B97" s="1" t="n">
        <v>21</v>
      </c>
      <c r="C97" s="15" t="s">
        <v>26</v>
      </c>
      <c r="D97" s="15" t="s">
        <v>75</v>
      </c>
      <c r="E97" s="16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5" t="n">
        <f aca="false">F97-(1/H97)</f>
        <v>-0.333333333333333</v>
      </c>
      <c r="K97" s="15" t="n">
        <f aca="false">((I97-((H97-1)/H97))-(-5/6))/((5-(5/6))-(-5/6))</f>
        <v>0.233333333333333</v>
      </c>
      <c r="L97" s="15" t="n">
        <f aca="false">E97-((E96+E98)/2)</f>
        <v>-1.3</v>
      </c>
      <c r="M97" s="18" t="n">
        <f aca="false">0.5 + (L97 * 0.09)</f>
        <v>0.383</v>
      </c>
      <c r="N97" s="15" t="n">
        <f aca="false">((H97-(G97-1))/H97)*(IF(I97&lt;&gt;0,(I97+H97)/H97,1))</f>
        <v>0.888888888888889</v>
      </c>
      <c r="O97" s="19" t="n">
        <f aca="false">(N97-(1/6))/(10/6)</f>
        <v>0.433333333333333</v>
      </c>
      <c r="P97" s="1" t="n">
        <v>13</v>
      </c>
      <c r="Q97" s="19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9" t="n">
        <f aca="false">IFERROR(T97/S97, 1)</f>
        <v>0.5</v>
      </c>
      <c r="V97" s="20" t="n">
        <v>0</v>
      </c>
      <c r="W97" s="17" t="n">
        <v>2</v>
      </c>
      <c r="X97" s="30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40" t="n">
        <v>46186</v>
      </c>
      <c r="B98" s="23" t="n">
        <v>21</v>
      </c>
      <c r="C98" s="23" t="s">
        <v>30</v>
      </c>
      <c r="D98" s="23" t="s">
        <v>34</v>
      </c>
      <c r="E98" s="24" t="n">
        <v>3.6</v>
      </c>
      <c r="F98" s="23" t="n">
        <v>0</v>
      </c>
      <c r="G98" s="23" t="n">
        <v>3</v>
      </c>
      <c r="H98" s="23" t="n">
        <v>3</v>
      </c>
      <c r="I98" s="23" t="n">
        <v>0</v>
      </c>
      <c r="J98" s="23" t="n">
        <f aca="false">F98-(1/H98)</f>
        <v>-0.333333333333333</v>
      </c>
      <c r="K98" s="23" t="n">
        <f aca="false">((I98-((H98-1)/H98))-(-5/6))/((5-(5/6))-(-5/6))</f>
        <v>0.0333333333333334</v>
      </c>
      <c r="L98" s="23" t="n">
        <f aca="false">E98-((E96+E97)/2)</f>
        <v>0.8</v>
      </c>
      <c r="M98" s="26" t="n">
        <f aca="false">0.5 + (L98 * 0.09)</f>
        <v>0.572</v>
      </c>
      <c r="N98" s="23" t="n">
        <f aca="false">((H98-(G98-1))/H98)*(IF(I98&lt;&gt;0,(I98+H98)/H98,1))</f>
        <v>0.333333333333333</v>
      </c>
      <c r="O98" s="27" t="n">
        <f aca="false">(N98-(1/6))/(10/6)</f>
        <v>0.1</v>
      </c>
      <c r="P98" s="23" t="n">
        <v>8</v>
      </c>
      <c r="Q98" s="27" t="n">
        <f aca="false">IF(F98=1,(((1-((P98-3)/15))*0.5)+0.5),((P98/18)*0.5))</f>
        <v>0.222222222222222</v>
      </c>
      <c r="R98" s="23" t="n">
        <v>1</v>
      </c>
      <c r="S98" s="23" t="n">
        <v>0</v>
      </c>
      <c r="T98" s="23" t="n">
        <v>0</v>
      </c>
      <c r="U98" s="27" t="n">
        <f aca="false">IFERROR(T98/S98, 1)</f>
        <v>1</v>
      </c>
      <c r="V98" s="28" t="n">
        <v>0</v>
      </c>
      <c r="W98" s="25" t="n">
        <v>3</v>
      </c>
      <c r="X98" s="33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1" t="n">
        <v>46192</v>
      </c>
      <c r="B99" s="1" t="n">
        <v>22</v>
      </c>
      <c r="C99" s="15" t="s">
        <v>30</v>
      </c>
      <c r="D99" s="15" t="s">
        <v>74</v>
      </c>
      <c r="E99" s="16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5" t="n">
        <f aca="false">F99-(1/H99)</f>
        <v>0.8</v>
      </c>
      <c r="K99" s="15" t="n">
        <f aca="false">((I99-((H99-1)/H99))-(-5/6))/((5-(5/6))-(-5/6))</f>
        <v>0.806666666666667</v>
      </c>
      <c r="L99" s="35" t="n">
        <f aca="false">E99-((E100+E101+E102+E103)/4)</f>
        <v>-0.575</v>
      </c>
      <c r="M99" s="42" t="n">
        <f aca="false">0.5 + (L99 * 0.09)</f>
        <v>0.44825</v>
      </c>
      <c r="N99" s="15" t="n">
        <f aca="false">((H99-(G99-1))/H99)*(IF(I99&lt;&gt;0,(I99+H99)/H99,1))</f>
        <v>1.8</v>
      </c>
      <c r="O99" s="19" t="n">
        <f aca="false">(N99-(1/6))/(10/6)</f>
        <v>0.98</v>
      </c>
      <c r="P99" s="1" t="n">
        <v>12</v>
      </c>
      <c r="Q99" s="19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9" t="n">
        <f aca="false">IFERROR(T99/S99, 1)</f>
        <v>0.75</v>
      </c>
      <c r="V99" s="20" t="n">
        <v>0</v>
      </c>
      <c r="W99" s="17" t="n">
        <v>2</v>
      </c>
      <c r="X99" s="30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1" t="n">
        <v>46192</v>
      </c>
      <c r="B100" s="1" t="n">
        <v>22</v>
      </c>
      <c r="C100" s="15" t="s">
        <v>70</v>
      </c>
      <c r="D100" s="15" t="s">
        <v>71</v>
      </c>
      <c r="E100" s="16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E100-((E99+E101+E102+E103)/4)</f>
        <v>1.05</v>
      </c>
      <c r="M100" s="18" t="n">
        <f aca="false">0.5 + (L100 * 0.09)</f>
        <v>0.5945</v>
      </c>
      <c r="N100" s="15" t="n">
        <f aca="false">((H100-(G100-1))/H100)*(IF(I100&lt;&gt;0,(I100+H100)/H100,1))</f>
        <v>0.8</v>
      </c>
      <c r="O100" s="19" t="n">
        <f aca="false">(N100-(1/6))/(10/6)</f>
        <v>0.38</v>
      </c>
      <c r="P100" s="1" t="n">
        <v>12</v>
      </c>
      <c r="Q100" s="19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9" t="n">
        <f aca="false">IFERROR(T100/S100, 1)</f>
        <v>0.5</v>
      </c>
      <c r="V100" s="20" t="n">
        <v>0</v>
      </c>
      <c r="W100" s="17" t="n">
        <v>3</v>
      </c>
      <c r="X100" s="30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1" t="n">
        <v>46192</v>
      </c>
      <c r="B101" s="1" t="n">
        <v>22</v>
      </c>
      <c r="C101" s="15" t="s">
        <v>32</v>
      </c>
      <c r="D101" s="15" t="s">
        <v>89</v>
      </c>
      <c r="E101" s="16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5" t="n">
        <f aca="false">F101-(1/H101)</f>
        <v>-0.2</v>
      </c>
      <c r="K101" s="15" t="n">
        <f aca="false">((I101-((H101-1)/H101))-(-5/6))/((5-(5/6))-(-5/6))</f>
        <v>0.00666666666666667</v>
      </c>
      <c r="L101" s="15" t="n">
        <f aca="false">E101-((E99+E100+E102+E103)/4)</f>
        <v>0.3</v>
      </c>
      <c r="M101" s="18" t="n">
        <f aca="false">0.5 + (L101 * 0.09)</f>
        <v>0.527</v>
      </c>
      <c r="N101" s="15" t="n">
        <f aca="false">((H101-(G101-1))/H101)*(IF(I101&lt;&gt;0,(I101+H101)/H101,1))</f>
        <v>0.6</v>
      </c>
      <c r="O101" s="19" t="n">
        <f aca="false">(N101-(1/6))/(10/6)</f>
        <v>0.26</v>
      </c>
      <c r="P101" s="1" t="n">
        <v>11</v>
      </c>
      <c r="Q101" s="19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9" t="n">
        <f aca="false">IFERROR(T101/S101, 1)</f>
        <v>1</v>
      </c>
      <c r="V101" s="20" t="n">
        <v>0</v>
      </c>
      <c r="W101" s="17" t="n">
        <v>3</v>
      </c>
      <c r="X101" s="30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1" t="n">
        <v>46192</v>
      </c>
      <c r="B102" s="1" t="n">
        <v>22</v>
      </c>
      <c r="C102" s="15" t="s">
        <v>28</v>
      </c>
      <c r="D102" s="15" t="s">
        <v>48</v>
      </c>
      <c r="E102" s="16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5" t="n">
        <f aca="false">F102-(1/H102)</f>
        <v>-0.2</v>
      </c>
      <c r="K102" s="15" t="n">
        <f aca="false">((I102-((H102-1)/H102))-(-5/6))/((5-(5/6))-(-5/6))</f>
        <v>0.00666666666666667</v>
      </c>
      <c r="L102" s="15" t="n">
        <f aca="false">E102-((E99+E100+E101+E103)/4)</f>
        <v>-0.95</v>
      </c>
      <c r="M102" s="18" t="n">
        <f aca="false">0.5 + (L102 * 0.09)</f>
        <v>0.4145</v>
      </c>
      <c r="N102" s="15" t="n">
        <f aca="false">((H102-(G102-1))/H102)*(IF(I102&lt;&gt;0,(I102+H102)/H102,1))</f>
        <v>0.6</v>
      </c>
      <c r="O102" s="19" t="n">
        <f aca="false">(N102-(1/6))/(10/6)</f>
        <v>0.26</v>
      </c>
      <c r="P102" s="1" t="n">
        <v>11</v>
      </c>
      <c r="Q102" s="19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9" t="n">
        <f aca="false">IFERROR(T102/S102, 1)</f>
        <v>0.666666666666667</v>
      </c>
      <c r="V102" s="20" t="n">
        <v>0</v>
      </c>
      <c r="W102" s="17" t="n">
        <v>2</v>
      </c>
      <c r="X102" s="30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40" t="n">
        <v>46192</v>
      </c>
      <c r="B103" s="23" t="n">
        <v>22</v>
      </c>
      <c r="C103" s="23" t="s">
        <v>26</v>
      </c>
      <c r="D103" s="23" t="s">
        <v>45</v>
      </c>
      <c r="E103" s="24" t="n">
        <v>2.9</v>
      </c>
      <c r="F103" s="23" t="n">
        <v>0</v>
      </c>
      <c r="G103" s="23" t="n">
        <v>3</v>
      </c>
      <c r="H103" s="23" t="n">
        <v>5</v>
      </c>
      <c r="I103" s="23" t="n">
        <v>0</v>
      </c>
      <c r="J103" s="23" t="n">
        <f aca="false">F103-(1/H103)</f>
        <v>-0.2</v>
      </c>
      <c r="K103" s="23" t="n">
        <f aca="false">((I103-((H103-1)/H103))-(-5/6))/((5-(5/6))-(-5/6))</f>
        <v>0.00666666666666667</v>
      </c>
      <c r="L103" s="23" t="n">
        <f aca="false">E103-((E99+E100+E101+E102)/4)</f>
        <v>0.175</v>
      </c>
      <c r="M103" s="26" t="n">
        <f aca="false">0.5 + (L103 * 0.09)</f>
        <v>0.51575</v>
      </c>
      <c r="N103" s="23" t="n">
        <f aca="false">((H103-(G103-1))/H103)*(IF(I103&lt;&gt;0,(I103+H103)/H103,1))</f>
        <v>0.6</v>
      </c>
      <c r="O103" s="27" t="n">
        <f aca="false">(N103-(1/6))/(10/6)</f>
        <v>0.26</v>
      </c>
      <c r="P103" s="23" t="n">
        <v>11</v>
      </c>
      <c r="Q103" s="27" t="n">
        <f aca="false">IF(F103=1,(((1-((P103-3)/15))*0.5)+0.5),((P103/18)*0.5))</f>
        <v>0.305555555555556</v>
      </c>
      <c r="R103" s="23" t="n">
        <v>1</v>
      </c>
      <c r="S103" s="23" t="n">
        <v>3</v>
      </c>
      <c r="T103" s="23" t="n">
        <v>2</v>
      </c>
      <c r="U103" s="27" t="n">
        <f aca="false">IFERROR(T103/S103, 1)</f>
        <v>0.666666666666667</v>
      </c>
      <c r="V103" s="28" t="n">
        <v>0</v>
      </c>
      <c r="W103" s="25" t="n">
        <v>2</v>
      </c>
      <c r="X103" s="33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1" t="n">
        <v>46197</v>
      </c>
      <c r="B104" s="1" t="n">
        <v>23</v>
      </c>
      <c r="C104" s="15" t="s">
        <v>32</v>
      </c>
      <c r="D104" s="15" t="s">
        <v>89</v>
      </c>
      <c r="E104" s="16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5" t="n">
        <f aca="false">F104-(1/H104)</f>
        <v>0.666666666666667</v>
      </c>
      <c r="K104" s="15" t="n">
        <f aca="false">((I104-((H104-1)/H104))-(-5/6))/((5-(5/6))-(-5/6))</f>
        <v>0.233333333333333</v>
      </c>
      <c r="L104" s="16" t="n">
        <f aca="false">E104-((E105+E106)/2)</f>
        <v>0.45</v>
      </c>
      <c r="M104" s="18" t="n">
        <f aca="false">0.5 + (L104 * 0.09)</f>
        <v>0.5405</v>
      </c>
      <c r="N104" s="15" t="n">
        <f aca="false">((H104-(G104-1))/H104)*(IF(I104&lt;&gt;0,(I104+H104)/H104,1))</f>
        <v>1.33333333333333</v>
      </c>
      <c r="O104" s="19" t="n">
        <f aca="false">(N104-(1/6))/(10/6)</f>
        <v>0.7</v>
      </c>
      <c r="P104" s="1" t="n">
        <v>11</v>
      </c>
      <c r="Q104" s="19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9" t="n">
        <f aca="false">IFERROR(T104/S104, 1)</f>
        <v>0</v>
      </c>
      <c r="V104" s="20" t="n">
        <v>0</v>
      </c>
      <c r="W104" s="17" t="n">
        <v>3</v>
      </c>
      <c r="X104" s="30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1" t="n">
        <v>46197</v>
      </c>
      <c r="B105" s="1" t="n">
        <v>23</v>
      </c>
      <c r="C105" s="15" t="s">
        <v>70</v>
      </c>
      <c r="D105" s="15" t="s">
        <v>85</v>
      </c>
      <c r="E105" s="16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5" t="n">
        <f aca="false">F105-(1/H105)</f>
        <v>-0.333333333333333</v>
      </c>
      <c r="K105" s="15" t="n">
        <f aca="false">((I105-((H105-1)/H105))-(-5/6))/((5-(5/6))-(-5/6))</f>
        <v>0.233333333333333</v>
      </c>
      <c r="L105" s="15" t="n">
        <f aca="false">E105-((E104+E106)/2)</f>
        <v>0.75</v>
      </c>
      <c r="M105" s="18" t="n">
        <f aca="false">0.5 + (L105 * 0.09)</f>
        <v>0.5675</v>
      </c>
      <c r="N105" s="15" t="n">
        <f aca="false">((H105-(G105-1))/H105)*(IF(I105&lt;&gt;0,(I105+H105)/H105,1))</f>
        <v>0.888888888888889</v>
      </c>
      <c r="O105" s="19" t="n">
        <f aca="false">(N105-(1/6))/(10/6)</f>
        <v>0.433333333333333</v>
      </c>
      <c r="P105" s="1" t="n">
        <v>11</v>
      </c>
      <c r="Q105" s="19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9" t="n">
        <f aca="false">IFERROR(T105/S105, 1)</f>
        <v>0</v>
      </c>
      <c r="V105" s="20" t="n">
        <v>0</v>
      </c>
      <c r="W105" s="17" t="n">
        <v>3</v>
      </c>
      <c r="X105" s="30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40" t="n">
        <v>46197</v>
      </c>
      <c r="B106" s="23" t="n">
        <v>23</v>
      </c>
      <c r="C106" s="23" t="s">
        <v>26</v>
      </c>
      <c r="D106" s="23" t="s">
        <v>75</v>
      </c>
      <c r="E106" s="24" t="n">
        <v>2.6</v>
      </c>
      <c r="F106" s="23" t="n">
        <v>0</v>
      </c>
      <c r="G106" s="23" t="n">
        <v>3</v>
      </c>
      <c r="H106" s="23" t="n">
        <v>3</v>
      </c>
      <c r="I106" s="23" t="n">
        <v>0</v>
      </c>
      <c r="J106" s="23" t="n">
        <f aca="false">F106-(1/H106)</f>
        <v>-0.333333333333333</v>
      </c>
      <c r="K106" s="23" t="n">
        <f aca="false">((I106-((H106-1)/H106))-(-5/6))/((5-(5/6))-(-5/6))</f>
        <v>0.0333333333333334</v>
      </c>
      <c r="L106" s="23" t="n">
        <f aca="false">E106-((E104+E105)/2)</f>
        <v>-1.2</v>
      </c>
      <c r="M106" s="26" t="n">
        <f aca="false">0.5 + (L106 * 0.09)</f>
        <v>0.392</v>
      </c>
      <c r="N106" s="23" t="n">
        <f aca="false">((H106-(G106-1))/H106)*(IF(I106&lt;&gt;0,(I106+H106)/H106,1))</f>
        <v>0.333333333333333</v>
      </c>
      <c r="O106" s="27" t="n">
        <f aca="false">(N106-(1/6))/(10/6)</f>
        <v>0.1</v>
      </c>
      <c r="P106" s="23" t="n">
        <v>8</v>
      </c>
      <c r="Q106" s="27" t="n">
        <f aca="false">IF(F106=1,(((1-((P106-3)/15))*0.5)+0.5),((P106/18)*0.5))</f>
        <v>0.222222222222222</v>
      </c>
      <c r="R106" s="23" t="n">
        <v>1</v>
      </c>
      <c r="S106" s="23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5" t="n">
        <v>2</v>
      </c>
      <c r="X106" s="33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1" t="n">
        <v>46199</v>
      </c>
      <c r="B107" s="1" t="n">
        <v>24</v>
      </c>
      <c r="C107" s="15" t="s">
        <v>70</v>
      </c>
      <c r="D107" s="15" t="s">
        <v>85</v>
      </c>
      <c r="E107" s="16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5" t="n">
        <f aca="false">F107-(1/H107)</f>
        <v>0.8</v>
      </c>
      <c r="K107" s="15" t="n">
        <f aca="false">((I107-((H107-1)/H107))-(-5/6))/((5-(5/6))-(-5/6))</f>
        <v>0.406666666666667</v>
      </c>
      <c r="L107" s="35" t="n">
        <f aca="false">E107-((E108+E109+E110+E111)/4)</f>
        <v>0.325</v>
      </c>
      <c r="M107" s="42" t="n">
        <f aca="false">0.5 + (L107 * 0.09)</f>
        <v>0.52925</v>
      </c>
      <c r="N107" s="15" t="n">
        <f aca="false">((H107-(G107-1))/H107)*(IF(I107&lt;&gt;0,(I107+H107)/H107,1))</f>
        <v>1.4</v>
      </c>
      <c r="O107" s="19" t="n">
        <f aca="false">(N107-(1/6))/(10/6)</f>
        <v>0.74</v>
      </c>
      <c r="P107" s="1" t="n">
        <v>9</v>
      </c>
      <c r="Q107" s="19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9" t="n">
        <f aca="false">IFERROR(T107/S107, 1)</f>
        <v>1</v>
      </c>
      <c r="V107" s="20" t="n">
        <v>0</v>
      </c>
      <c r="W107" s="17" t="n">
        <v>3</v>
      </c>
      <c r="X107" s="30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1" t="n">
        <v>46199</v>
      </c>
      <c r="B108" s="1" t="n">
        <v>24</v>
      </c>
      <c r="C108" s="15" t="s">
        <v>26</v>
      </c>
      <c r="D108" s="15" t="s">
        <v>75</v>
      </c>
      <c r="E108" s="16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5" t="n">
        <f aca="false">F108-(1/H108)</f>
        <v>-0.2</v>
      </c>
      <c r="K108" s="15" t="n">
        <f aca="false">((I108-((H108-1)/H108))-(-5/6))/((5-(5/6))-(-5/6))</f>
        <v>0.206666666666667</v>
      </c>
      <c r="L108" s="15" t="n">
        <f aca="false">E108-((E107+E109+E110+E111)/4)</f>
        <v>-0.675</v>
      </c>
      <c r="M108" s="18" t="n">
        <f aca="false">0.5 + (L108 * 0.09)</f>
        <v>0.43925</v>
      </c>
      <c r="N108" s="15" t="n">
        <f aca="false">((H108-(G108-1))/H108)*(IF(I108&lt;&gt;0,(I108+H108)/H108,1))</f>
        <v>0.96</v>
      </c>
      <c r="O108" s="19" t="n">
        <f aca="false">(N108-(1/6))/(10/6)</f>
        <v>0.476</v>
      </c>
      <c r="P108" s="1" t="n">
        <v>9</v>
      </c>
      <c r="Q108" s="19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9" t="n">
        <f aca="false">IFERROR(T108/S108, 1)</f>
        <v>1</v>
      </c>
      <c r="V108" s="20" t="n">
        <v>0</v>
      </c>
      <c r="W108" s="17" t="n">
        <v>2</v>
      </c>
      <c r="X108" s="30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1" t="n">
        <v>46199</v>
      </c>
      <c r="B109" s="1" t="n">
        <v>24</v>
      </c>
      <c r="C109" s="15" t="s">
        <v>28</v>
      </c>
      <c r="D109" s="15" t="s">
        <v>37</v>
      </c>
      <c r="E109" s="16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5" t="n">
        <f aca="false">F109-(1/H109)</f>
        <v>-0.2</v>
      </c>
      <c r="K109" s="15" t="n">
        <f aca="false">((I109-((H109-1)/H109))-(-5/6))/((5-(5/6))-(-5/6))</f>
        <v>0.206666666666667</v>
      </c>
      <c r="L109" s="15" t="n">
        <f aca="false">E109-((E107+E108+E110+E111)/4)</f>
        <v>-0.175</v>
      </c>
      <c r="M109" s="18" t="n">
        <f aca="false">0.5 + (L109 * 0.09)</f>
        <v>0.48425</v>
      </c>
      <c r="N109" s="15" t="n">
        <f aca="false">((H109-(G109-1))/H109)*(IF(I109&lt;&gt;0,(I109+H109)/H109,1))</f>
        <v>0.72</v>
      </c>
      <c r="O109" s="19" t="n">
        <f aca="false">(N109-(1/6))/(10/6)</f>
        <v>0.332</v>
      </c>
      <c r="P109" s="1" t="n">
        <v>9</v>
      </c>
      <c r="Q109" s="19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9" t="n">
        <f aca="false">IFERROR(T109/S109, 1)</f>
        <v>0</v>
      </c>
      <c r="V109" s="20" t="n">
        <v>0</v>
      </c>
      <c r="W109" s="17" t="n">
        <v>3</v>
      </c>
      <c r="X109" s="30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1" t="n">
        <v>46199</v>
      </c>
      <c r="B110" s="1" t="n">
        <v>24</v>
      </c>
      <c r="C110" s="15" t="s">
        <v>32</v>
      </c>
      <c r="D110" s="15" t="s">
        <v>54</v>
      </c>
      <c r="E110" s="16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5" t="n">
        <f aca="false">F110-(1/H110)</f>
        <v>-0.2</v>
      </c>
      <c r="K110" s="15" t="n">
        <f aca="false">((I110-((H110-1)/H110))-(-5/6))/((5-(5/6))-(-5/6))</f>
        <v>0.00666666666666667</v>
      </c>
      <c r="L110" s="15" t="n">
        <f aca="false">E110-((E107+E108+E109+E111)/4)</f>
        <v>0.7</v>
      </c>
      <c r="M110" s="18" t="n">
        <f aca="false">0.5 + (L110 * 0.09)</f>
        <v>0.563</v>
      </c>
      <c r="N110" s="15" t="n">
        <f aca="false">((H110-(G110-1))/H110)*(IF(I110&lt;&gt;0,(I110+H110)/H110,1))</f>
        <v>0.4</v>
      </c>
      <c r="O110" s="19" t="n">
        <f aca="false">(N110-(1/6))/(10/6)</f>
        <v>0.14</v>
      </c>
      <c r="P110" s="1" t="n">
        <v>9</v>
      </c>
      <c r="Q110" s="19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9" t="n">
        <f aca="false">IFERROR(T110/S110, 1)</f>
        <v>0.5</v>
      </c>
      <c r="V110" s="20" t="n">
        <v>0</v>
      </c>
      <c r="W110" s="17" t="n">
        <v>3</v>
      </c>
      <c r="X110" s="30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40" t="n">
        <v>46199</v>
      </c>
      <c r="B111" s="23" t="n">
        <v>24</v>
      </c>
      <c r="C111" s="23" t="s">
        <v>30</v>
      </c>
      <c r="D111" s="23" t="s">
        <v>90</v>
      </c>
      <c r="E111" s="24" t="n">
        <v>3</v>
      </c>
      <c r="F111" s="23" t="n">
        <v>0</v>
      </c>
      <c r="G111" s="23" t="n">
        <v>5</v>
      </c>
      <c r="H111" s="23" t="n">
        <v>5</v>
      </c>
      <c r="I111" s="23" t="n">
        <v>0</v>
      </c>
      <c r="J111" s="23" t="n">
        <f aca="false">F111-(1/H111)</f>
        <v>-0.2</v>
      </c>
      <c r="K111" s="23" t="n">
        <f aca="false">((I111-((H111-1)/H111))-(-5/6))/((5-(5/6))-(-5/6))</f>
        <v>0.00666666666666667</v>
      </c>
      <c r="L111" s="23" t="n">
        <f aca="false">E111-((E107+E108+E109+E110)/4)</f>
        <v>-0.175</v>
      </c>
      <c r="M111" s="26" t="n">
        <f aca="false">0.5 + (L111 * 0.09)</f>
        <v>0.48425</v>
      </c>
      <c r="N111" s="23" t="n">
        <f aca="false">((H111-(G111-1))/H111)*(IF(I111&lt;&gt;0,(I111+H111)/H111,1))</f>
        <v>0.2</v>
      </c>
      <c r="O111" s="27" t="n">
        <f aca="false">(N111-(1/6))/(10/6)</f>
        <v>0.02</v>
      </c>
      <c r="P111" s="23" t="n">
        <v>7</v>
      </c>
      <c r="Q111" s="27" t="n">
        <f aca="false">IF(F111=1,(((1-((P111-3)/15))*0.5)+0.5),((P111/18)*0.5))</f>
        <v>0.194444444444444</v>
      </c>
      <c r="R111" s="23" t="n">
        <v>1</v>
      </c>
      <c r="S111" s="23" t="n">
        <v>1</v>
      </c>
      <c r="T111" s="23" t="n">
        <v>0</v>
      </c>
      <c r="U111" s="27" t="n">
        <f aca="false">IFERROR(T111/S111, 1)</f>
        <v>0</v>
      </c>
      <c r="V111" s="28" t="n">
        <v>0</v>
      </c>
      <c r="W111" s="25" t="n">
        <v>3</v>
      </c>
      <c r="X111" s="33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1" t="n">
        <v>46199</v>
      </c>
      <c r="B112" s="1" t="n">
        <v>25</v>
      </c>
      <c r="C112" s="15" t="s">
        <v>26</v>
      </c>
      <c r="D112" s="15" t="s">
        <v>45</v>
      </c>
      <c r="E112" s="16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5" t="n">
        <f aca="false">F112-(1/H112)</f>
        <v>0.8</v>
      </c>
      <c r="K112" s="15" t="n">
        <f aca="false">((I112-((H112-1)/H112))-(-5/6))/((5-(5/6))-(-5/6))</f>
        <v>0.406666666666667</v>
      </c>
      <c r="L112" s="35" t="n">
        <f aca="false">E112-((E113+E114+E115+E116)/4)</f>
        <v>-1.025</v>
      </c>
      <c r="M112" s="42" t="n">
        <f aca="false">0.5 + (L112 * 0.09)</f>
        <v>0.40775</v>
      </c>
      <c r="N112" s="15" t="n">
        <f aca="false">((H112-(G112-1))/H112)*(IF(I112&lt;&gt;0,(I112+H112)/H112,1))</f>
        <v>1.4</v>
      </c>
      <c r="O112" s="19" t="n">
        <f aca="false">(N112-(1/6))/(10/6)</f>
        <v>0.74</v>
      </c>
      <c r="P112" s="1" t="n">
        <v>9</v>
      </c>
      <c r="Q112" s="19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17" t="n">
        <v>2</v>
      </c>
      <c r="X112" s="30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1" t="n">
        <v>46199</v>
      </c>
      <c r="B113" s="1" t="n">
        <v>25</v>
      </c>
      <c r="C113" s="15" t="s">
        <v>30</v>
      </c>
      <c r="D113" s="15" t="s">
        <v>90</v>
      </c>
      <c r="E113" s="16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5" t="n">
        <f aca="false">F113-(1/H113)</f>
        <v>-0.2</v>
      </c>
      <c r="K113" s="15" t="n">
        <f aca="false">((I113-((H113-1)/H113))-(-5/6))/((5-(5/6))-(-5/6))</f>
        <v>0.206666666666667</v>
      </c>
      <c r="L113" s="15" t="n">
        <f aca="false">E113-((E112+E114+E115+E116)/4)</f>
        <v>-0.0249999999999999</v>
      </c>
      <c r="M113" s="18" t="n">
        <f aca="false">0.5 + (L113 * 0.09)</f>
        <v>0.49775</v>
      </c>
      <c r="N113" s="15" t="n">
        <f aca="false">((H113-(G113-1))/H113)*(IF(I113&lt;&gt;0,(I113+H113)/H113,1))</f>
        <v>0.96</v>
      </c>
      <c r="O113" s="19" t="n">
        <f aca="false">(N113-(1/6))/(10/6)</f>
        <v>0.476</v>
      </c>
      <c r="P113" s="1" t="n">
        <v>9</v>
      </c>
      <c r="Q113" s="19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9" t="n">
        <f aca="false">IFERROR(T113/S113, 1)</f>
        <v>1</v>
      </c>
      <c r="V113" s="20" t="n">
        <v>0</v>
      </c>
      <c r="W113" s="17" t="n">
        <v>3</v>
      </c>
      <c r="X113" s="30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1" t="n">
        <v>46199</v>
      </c>
      <c r="B114" s="1" t="n">
        <v>25</v>
      </c>
      <c r="C114" s="15" t="s">
        <v>32</v>
      </c>
      <c r="D114" s="15" t="s">
        <v>89</v>
      </c>
      <c r="E114" s="16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5" t="n">
        <f aca="false">F114-(1/H114)</f>
        <v>-0.2</v>
      </c>
      <c r="K114" s="15" t="n">
        <f aca="false">((I114-((H114-1)/H114))-(-5/6))/((5-(5/6))-(-5/6))</f>
        <v>0.00666666666666667</v>
      </c>
      <c r="L114" s="15" t="n">
        <f aca="false">E114-((E112+E113+E115+E116)/4)</f>
        <v>0.350000000000001</v>
      </c>
      <c r="M114" s="18" t="n">
        <f aca="false">0.5 + (L114 * 0.09)</f>
        <v>0.5315</v>
      </c>
      <c r="N114" s="15" t="n">
        <f aca="false">((H114-(G114-1))/H114)*(IF(I114&lt;&gt;0,(I114+H114)/H114,1))</f>
        <v>0.8</v>
      </c>
      <c r="O114" s="19" t="n">
        <f aca="false">(N114-(1/6))/(10/6)</f>
        <v>0.38</v>
      </c>
      <c r="P114" s="1" t="n">
        <v>9</v>
      </c>
      <c r="Q114" s="19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17" t="n">
        <v>3</v>
      </c>
      <c r="X114" s="30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1" t="n">
        <v>46199</v>
      </c>
      <c r="B115" s="1" t="n">
        <v>25</v>
      </c>
      <c r="C115" s="15" t="s">
        <v>28</v>
      </c>
      <c r="D115" s="15" t="s">
        <v>68</v>
      </c>
      <c r="E115" s="16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5" t="n">
        <f aca="false">F115-(1/H115)</f>
        <v>-0.2</v>
      </c>
      <c r="K115" s="15" t="n">
        <f aca="false">((I115-((H115-1)/H115))-(-5/6))/((5-(5/6))-(-5/6))</f>
        <v>0.00666666666666667</v>
      </c>
      <c r="L115" s="15" t="n">
        <f aca="false">E115-((E112+E113+E114+E116)/4)</f>
        <v>0.350000000000001</v>
      </c>
      <c r="M115" s="18" t="n">
        <f aca="false">0.5 + (L115 * 0.09)</f>
        <v>0.5315</v>
      </c>
      <c r="N115" s="15" t="n">
        <f aca="false">((H115-(G115-1))/H115)*(IF(I115&lt;&gt;0,(I115+H115)/H115,1))</f>
        <v>0.6</v>
      </c>
      <c r="O115" s="19" t="n">
        <f aca="false">(N115-(1/6))/(10/6)</f>
        <v>0.26</v>
      </c>
      <c r="P115" s="1" t="n">
        <v>9</v>
      </c>
      <c r="Q115" s="19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17" t="n">
        <v>3</v>
      </c>
      <c r="X115" s="30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40" t="n">
        <v>46199</v>
      </c>
      <c r="B116" s="23" t="n">
        <v>25</v>
      </c>
      <c r="C116" s="23" t="s">
        <v>70</v>
      </c>
      <c r="D116" s="23" t="s">
        <v>57</v>
      </c>
      <c r="E116" s="24" t="n">
        <v>3.7</v>
      </c>
      <c r="F116" s="23" t="n">
        <v>0</v>
      </c>
      <c r="G116" s="23" t="n">
        <v>4</v>
      </c>
      <c r="H116" s="23" t="n">
        <v>5</v>
      </c>
      <c r="I116" s="23" t="n">
        <v>0</v>
      </c>
      <c r="J116" s="23" t="n">
        <f aca="false">F116-(1/H116)</f>
        <v>-0.2</v>
      </c>
      <c r="K116" s="23" t="n">
        <f aca="false">((I116-((H116-1)/H116))-(-5/6))/((5-(5/6))-(-5/6))</f>
        <v>0.00666666666666667</v>
      </c>
      <c r="L116" s="23" t="n">
        <f aca="false">E116-((E112+E113+E114+E115)/4)</f>
        <v>0.350000000000001</v>
      </c>
      <c r="M116" s="26" t="n">
        <f aca="false">0.5 + (L116 * 0.09)</f>
        <v>0.5315</v>
      </c>
      <c r="N116" s="23" t="n">
        <f aca="false">((H116-(G116-1))/H116)*(IF(I116&lt;&gt;0,(I116+H116)/H116,1))</f>
        <v>0.4</v>
      </c>
      <c r="O116" s="27" t="n">
        <f aca="false">(N116-(1/6))/(10/6)</f>
        <v>0.14</v>
      </c>
      <c r="P116" s="23" t="n">
        <v>8</v>
      </c>
      <c r="Q116" s="27" t="n">
        <f aca="false">IF(F116=1,(((1-((P116-3)/15))*0.5)+0.5),((P116/18)*0.5))</f>
        <v>0.222222222222222</v>
      </c>
      <c r="R116" s="23" t="n">
        <v>0</v>
      </c>
      <c r="S116" s="23" t="n">
        <v>0</v>
      </c>
      <c r="T116" s="23" t="n">
        <v>0</v>
      </c>
      <c r="U116" s="27" t="n">
        <f aca="false">IFERROR(T116/S116, 1)</f>
        <v>1</v>
      </c>
      <c r="V116" s="28" t="n">
        <v>0</v>
      </c>
      <c r="W116" s="25" t="n">
        <v>3</v>
      </c>
      <c r="X116" s="33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46204</v>
      </c>
      <c r="B3" s="1" t="n">
        <v>1</v>
      </c>
      <c r="C3" s="15" t="s">
        <v>26</v>
      </c>
      <c r="D3" s="15" t="s">
        <v>45</v>
      </c>
      <c r="E3" s="16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5" t="n">
        <f aca="false">F3-(1/H3)</f>
        <v>-0.2</v>
      </c>
      <c r="K3" s="15" t="n">
        <f aca="false">((I3-((H3-1)/H3))-(-5/6))/((5-(5/6))-(-5/6))</f>
        <v>0.00666666666666667</v>
      </c>
      <c r="L3" s="35" t="n">
        <f aca="false">E3-((E4+E5+E6+E7)/4)</f>
        <v>-0.35</v>
      </c>
      <c r="M3" s="42" t="n">
        <f aca="false">0.5 + (L3 * 0.09)</f>
        <v>0.4685</v>
      </c>
      <c r="N3" s="15" t="n">
        <f aca="false">((H3-(G3-1))/H3)*(IF(I3&lt;&gt;0,(I3+H3)/H3,1))</f>
        <v>0.8</v>
      </c>
      <c r="O3" s="19" t="n">
        <f aca="false">(N3-(1/6))/(10/6)</f>
        <v>0.38</v>
      </c>
      <c r="P3" s="1" t="n">
        <v>10</v>
      </c>
      <c r="Q3" s="19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1" t="n">
        <v>46204</v>
      </c>
      <c r="B4" s="1" t="n">
        <v>1</v>
      </c>
      <c r="C4" s="15" t="s">
        <v>30</v>
      </c>
      <c r="D4" s="15" t="s">
        <v>90</v>
      </c>
      <c r="E4" s="16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5" t="n">
        <f aca="false">F4-(1/H4)</f>
        <v>-0.2</v>
      </c>
      <c r="K4" s="15" t="n">
        <f aca="false">((I4-((H4-1)/H4))-(-5/6))/((5-(5/6))-(-5/6))</f>
        <v>0.00666666666666667</v>
      </c>
      <c r="L4" s="15" t="n">
        <f aca="false">E4-((E3+E5+E6+E7)/4)</f>
        <v>0.65</v>
      </c>
      <c r="M4" s="18" t="n">
        <f aca="false">0.5 + (L4 * 0.09)</f>
        <v>0.5585</v>
      </c>
      <c r="N4" s="15" t="n">
        <f aca="false">((H4-(G4-1))/H4)*(IF(I4&lt;&gt;0,(I4+H4)/H4,1))</f>
        <v>0.8</v>
      </c>
      <c r="O4" s="19" t="n">
        <f aca="false">(N4-(1/6))/(10/6)</f>
        <v>0.38</v>
      </c>
      <c r="P4" s="1" t="n">
        <v>10</v>
      </c>
      <c r="Q4" s="19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9" t="n">
        <f aca="false">IFERROR(T4/S4, 1)</f>
        <v>1</v>
      </c>
      <c r="V4" s="20" t="n">
        <v>0</v>
      </c>
      <c r="W4" s="1" t="n">
        <v>3</v>
      </c>
      <c r="X4" s="30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1" t="n">
        <v>46204</v>
      </c>
      <c r="B5" s="1" t="n">
        <v>1</v>
      </c>
      <c r="C5" s="15" t="s">
        <v>28</v>
      </c>
      <c r="D5" s="15" t="s">
        <v>91</v>
      </c>
      <c r="E5" s="16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5" t="n">
        <f aca="false">F5-(1/H5)</f>
        <v>-0.2</v>
      </c>
      <c r="K5" s="15" t="n">
        <f aca="false">((I5-((H5-1)/H5))-(-5/6))/((5-(5/6))-(-5/6))</f>
        <v>0.00666666666666667</v>
      </c>
      <c r="L5" s="15" t="n">
        <f aca="false">E5-((E3+E4+E6+E7)/4)</f>
        <v>-1.475</v>
      </c>
      <c r="M5" s="18" t="n">
        <f aca="false">0.5 + (L5 * 0.09)</f>
        <v>0.36725</v>
      </c>
      <c r="N5" s="15" t="n">
        <f aca="false">((H5-(G5-1))/H5)*(IF(I5&lt;&gt;0,(I5+H5)/H5,1))</f>
        <v>0.8</v>
      </c>
      <c r="O5" s="19" t="n">
        <f aca="false">(N5-(1/6))/(10/6)</f>
        <v>0.38</v>
      </c>
      <c r="P5" s="1" t="n">
        <v>10</v>
      </c>
      <c r="Q5" s="19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2</v>
      </c>
      <c r="X5" s="30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1" t="n">
        <v>46204</v>
      </c>
      <c r="B6" s="1" t="n">
        <v>1</v>
      </c>
      <c r="C6" s="15" t="s">
        <v>32</v>
      </c>
      <c r="D6" s="15" t="s">
        <v>41</v>
      </c>
      <c r="E6" s="16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5" t="n">
        <f aca="false">F6-(1/H6)</f>
        <v>0.8</v>
      </c>
      <c r="K6" s="15" t="n">
        <f aca="false">((I6-((H6-1)/H6))-(-5/6))/((5-(5/6))-(-5/6))</f>
        <v>0.806666666666667</v>
      </c>
      <c r="L6" s="15" t="n">
        <f aca="false">E6-((E3+E4+E5+E7)/4)</f>
        <v>0.9</v>
      </c>
      <c r="M6" s="18" t="n">
        <f aca="false">0.5 + (L6 * 0.09)</f>
        <v>0.581</v>
      </c>
      <c r="N6" s="15" t="n">
        <f aca="false">((H6-(G6-1))/H6)*(IF(I6&lt;&gt;0,(I6+H6)/H6,1))</f>
        <v>1.8</v>
      </c>
      <c r="O6" s="19" t="n">
        <f aca="false">(N6-(1/6))/(10/6)</f>
        <v>0.98</v>
      </c>
      <c r="P6" s="1" t="n">
        <v>10</v>
      </c>
      <c r="Q6" s="19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9" t="n">
        <f aca="false">IFERROR(T6/S6, 1)</f>
        <v>0</v>
      </c>
      <c r="V6" s="20" t="n">
        <v>0</v>
      </c>
      <c r="W6" s="1" t="n">
        <v>3</v>
      </c>
      <c r="X6" s="30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40" t="n">
        <v>46204</v>
      </c>
      <c r="B7" s="23" t="n">
        <v>1</v>
      </c>
      <c r="C7" s="23" t="s">
        <v>70</v>
      </c>
      <c r="D7" s="23" t="s">
        <v>57</v>
      </c>
      <c r="E7" s="24" t="n">
        <v>3.4</v>
      </c>
      <c r="F7" s="23" t="n">
        <v>0</v>
      </c>
      <c r="G7" s="23" t="n">
        <v>2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0.275</v>
      </c>
      <c r="M7" s="26" t="n">
        <f aca="false">0.5 + (L7 * 0.09)</f>
        <v>0.52475</v>
      </c>
      <c r="N7" s="23" t="n">
        <f aca="false">((H7-(G7-1))/H7)*(IF(I7&lt;&gt;0,(I7+H7)/H7,1))</f>
        <v>0.8</v>
      </c>
      <c r="O7" s="27" t="n">
        <f aca="false">(N7-(1/6))/(10/6)</f>
        <v>0.38</v>
      </c>
      <c r="P7" s="23" t="n">
        <v>10</v>
      </c>
      <c r="Q7" s="27" t="n">
        <f aca="false">IF(F7=1,(((1-((P7-3)/15))*0.5)+0.5),((P7/18)*0.5))</f>
        <v>0.277777777777778</v>
      </c>
      <c r="R7" s="23" t="n">
        <v>0</v>
      </c>
      <c r="S7" s="23" t="n">
        <v>2</v>
      </c>
      <c r="T7" s="23" t="n">
        <v>0</v>
      </c>
      <c r="U7" s="27" t="n">
        <f aca="false">IFERROR(T7/S7, 1)</f>
        <v>0</v>
      </c>
      <c r="V7" s="28" t="n">
        <v>0</v>
      </c>
      <c r="W7" s="25" t="n">
        <v>3</v>
      </c>
      <c r="X7" s="33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1" t="n">
        <v>46206</v>
      </c>
      <c r="B8" s="1" t="n">
        <v>2</v>
      </c>
      <c r="C8" s="15" t="s">
        <v>30</v>
      </c>
      <c r="D8" s="15" t="s">
        <v>46</v>
      </c>
      <c r="E8" s="16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5" t="n">
        <f aca="false">F8-(1/H8)</f>
        <v>0.75</v>
      </c>
      <c r="K8" s="15" t="n">
        <f aca="false">((I8-((H8-1)/H8))-(-5/6))/((5-(5/6))-(-5/6))</f>
        <v>0.616666666666667</v>
      </c>
      <c r="L8" s="15" t="n">
        <f aca="false">E8-((E9+E10+E11)/3)</f>
        <v>0</v>
      </c>
      <c r="M8" s="18" t="n">
        <f aca="false">0.5 + (L8 * 0.09)</f>
        <v>0.5</v>
      </c>
      <c r="N8" s="15" t="n">
        <f aca="false">((H8-(G8-1))/H8)*(IF(I8&lt;&gt;0,(I8+H8)/H8,1))</f>
        <v>1.75</v>
      </c>
      <c r="O8" s="19" t="n">
        <f aca="false">(N8-(1/6))/(10/6)</f>
        <v>0.95</v>
      </c>
      <c r="P8" s="1" t="n">
        <v>8</v>
      </c>
      <c r="Q8" s="19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9" t="n">
        <f aca="false">IFERROR(T8/S8, 1)</f>
        <v>1</v>
      </c>
      <c r="V8" s="20" t="n">
        <v>0</v>
      </c>
      <c r="W8" s="17" t="n">
        <v>3</v>
      </c>
      <c r="X8" s="44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1" t="n">
        <v>46206</v>
      </c>
      <c r="B9" s="1" t="n">
        <v>2</v>
      </c>
      <c r="C9" s="15" t="s">
        <v>51</v>
      </c>
      <c r="D9" s="15" t="s">
        <v>52</v>
      </c>
      <c r="E9" s="16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E9-((E8+E10+E11)/3)</f>
        <v>-0.4</v>
      </c>
      <c r="M9" s="18" t="n">
        <f aca="false">0.5 + (L9 * 0.09)</f>
        <v>0.464</v>
      </c>
      <c r="N9" s="15" t="n">
        <f aca="false">((H9-(G9-1))/H9)*(IF(I9&lt;&gt;0,(I9+H9)/H9,1))</f>
        <v>0.75</v>
      </c>
      <c r="O9" s="19" t="n">
        <f aca="false">(N9-(1/6))/(10/6)</f>
        <v>0.35</v>
      </c>
      <c r="P9" s="1" t="n">
        <v>8</v>
      </c>
      <c r="Q9" s="19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9" t="n">
        <f aca="false">IFERROR(T9/S9, 1)</f>
        <v>1</v>
      </c>
      <c r="V9" s="20" t="n">
        <v>0</v>
      </c>
      <c r="W9" s="17" t="n">
        <v>2</v>
      </c>
      <c r="X9" s="30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1" t="n">
        <v>46206</v>
      </c>
      <c r="B10" s="1" t="n">
        <v>2</v>
      </c>
      <c r="C10" s="15" t="s">
        <v>26</v>
      </c>
      <c r="D10" s="15" t="s">
        <v>75</v>
      </c>
      <c r="E10" s="16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5" t="n">
        <f aca="false">F10-(1/H10)</f>
        <v>-0.25</v>
      </c>
      <c r="K10" s="15" t="n">
        <f aca="false">((I10-((H10-1)/H10))-(-5/6))/((5-(5/6))-(-5/6))</f>
        <v>0.0166666666666667</v>
      </c>
      <c r="L10" s="15" t="n">
        <f aca="false">E10-((E8+E9+E11)/3)</f>
        <v>-0.4</v>
      </c>
      <c r="M10" s="18" t="n">
        <f aca="false">0.5 + (L10 * 0.09)</f>
        <v>0.464</v>
      </c>
      <c r="N10" s="15" t="n">
        <f aca="false">((H10-(G10-1))/H10)*(IF(I10&lt;&gt;0,(I10+H10)/H10,1))</f>
        <v>0.75</v>
      </c>
      <c r="O10" s="19" t="n">
        <f aca="false">(N10-(1/6))/(10/6)</f>
        <v>0.35</v>
      </c>
      <c r="P10" s="1" t="n">
        <v>8</v>
      </c>
      <c r="Q10" s="19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9" t="n">
        <f aca="false">IFERROR(T10/S10, 1)</f>
        <v>1</v>
      </c>
      <c r="V10" s="20" t="n">
        <v>0</v>
      </c>
      <c r="W10" s="17" t="n">
        <v>2</v>
      </c>
      <c r="X10" s="30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40" t="n">
        <v>46206</v>
      </c>
      <c r="B11" s="23" t="n">
        <v>2</v>
      </c>
      <c r="C11" s="23" t="s">
        <v>28</v>
      </c>
      <c r="D11" s="23" t="s">
        <v>68</v>
      </c>
      <c r="E11" s="24" t="n">
        <v>3.6</v>
      </c>
      <c r="F11" s="23" t="n">
        <v>0</v>
      </c>
      <c r="G11" s="23" t="n">
        <v>2</v>
      </c>
      <c r="H11" s="23" t="n">
        <v>4</v>
      </c>
      <c r="I11" s="23" t="n">
        <v>0</v>
      </c>
      <c r="J11" s="23" t="n">
        <f aca="false">F11-(1/H11)</f>
        <v>-0.25</v>
      </c>
      <c r="K11" s="23" t="n">
        <f aca="false">((I11-((H11-1)/H11))-(-5/6))/((5-(5/6))-(-5/6))</f>
        <v>0.0166666666666667</v>
      </c>
      <c r="L11" s="23" t="n">
        <f aca="false">E11-((E8+E9+E10)/3)</f>
        <v>0.8</v>
      </c>
      <c r="M11" s="26" t="n">
        <f aca="false">0.5 + (L11 * 0.09)</f>
        <v>0.572</v>
      </c>
      <c r="N11" s="23" t="n">
        <f aca="false">((H11-(G11-1))/H11)*(IF(I11&lt;&gt;0,(I11+H11)/H11,1))</f>
        <v>0.75</v>
      </c>
      <c r="O11" s="27" t="n">
        <f aca="false">(N11-(1/6))/(10/6)</f>
        <v>0.35</v>
      </c>
      <c r="P11" s="23" t="n">
        <v>8</v>
      </c>
      <c r="Q11" s="27" t="n">
        <f aca="false">IF(F11=1,(((1-((P11-3)/15))*0.5)+0.5),((P11/18)*0.5))</f>
        <v>0.222222222222222</v>
      </c>
      <c r="R11" s="23" t="n">
        <v>0</v>
      </c>
      <c r="S11" s="23" t="n">
        <v>0</v>
      </c>
      <c r="T11" s="23" t="n">
        <v>0</v>
      </c>
      <c r="U11" s="27" t="n">
        <f aca="false">IFERROR(T11/S11, 1)</f>
        <v>1</v>
      </c>
      <c r="V11" s="28" t="n">
        <v>1</v>
      </c>
      <c r="W11" s="25" t="n">
        <v>3</v>
      </c>
      <c r="X11" s="33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1" t="n">
        <v>46206</v>
      </c>
      <c r="B12" s="1" t="n">
        <v>3</v>
      </c>
      <c r="C12" s="15" t="s">
        <v>26</v>
      </c>
      <c r="D12" s="15" t="s">
        <v>75</v>
      </c>
      <c r="E12" s="16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5" t="n">
        <f aca="false">F12-(1/H12)</f>
        <v>0.75</v>
      </c>
      <c r="K12" s="15" t="n">
        <f aca="false">((I12-((H12-1)/H12))-(-5/6))/((5-(5/6))-(-5/6))</f>
        <v>0.216666666666667</v>
      </c>
      <c r="L12" s="15" t="n">
        <f aca="false">E12-((E13+E14+E15)/3)</f>
        <v>-0.8</v>
      </c>
      <c r="M12" s="18" t="n">
        <f aca="false">0.5 + (L12 * 0.09)</f>
        <v>0.428</v>
      </c>
      <c r="N12" s="15" t="n">
        <f aca="false">((H12-(G12-1))/H12)*(IF(I12&lt;&gt;0,(I12+H12)/H12,1))</f>
        <v>1.25</v>
      </c>
      <c r="O12" s="19" t="n">
        <f aca="false">(N12-(1/6))/(10/6)</f>
        <v>0.65</v>
      </c>
      <c r="P12" s="1" t="n">
        <v>9</v>
      </c>
      <c r="Q12" s="19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2</v>
      </c>
      <c r="X12" s="44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1" t="n">
        <v>46206</v>
      </c>
      <c r="B13" s="1" t="n">
        <v>3</v>
      </c>
      <c r="C13" s="15" t="s">
        <v>28</v>
      </c>
      <c r="D13" s="15" t="s">
        <v>68</v>
      </c>
      <c r="E13" s="16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5" t="n">
        <f aca="false">F13-(1/H13)</f>
        <v>-0.25</v>
      </c>
      <c r="K13" s="15" t="n">
        <f aca="false">((I13-((H13-1)/H13))-(-5/6))/((5-(5/6))-(-5/6))</f>
        <v>0.216666666666667</v>
      </c>
      <c r="L13" s="15" t="n">
        <f aca="false">E13-((E12+E14+E15)/3)</f>
        <v>0.266666666666667</v>
      </c>
      <c r="M13" s="18" t="n">
        <f aca="false">0.5 + (L13 * 0.09)</f>
        <v>0.524</v>
      </c>
      <c r="N13" s="15" t="n">
        <f aca="false">((H13-(G13-1))/H13)*(IF(I13&lt;&gt;0,(I13+H13)/H13,1))</f>
        <v>0.9375</v>
      </c>
      <c r="O13" s="19" t="n">
        <f aca="false">(N13-(1/6))/(10/6)</f>
        <v>0.4625</v>
      </c>
      <c r="P13" s="1" t="n">
        <v>9</v>
      </c>
      <c r="Q13" s="19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9" t="n">
        <f aca="false">IFERROR(T13/S13, 1)</f>
        <v>1</v>
      </c>
      <c r="V13" s="20" t="n">
        <v>1</v>
      </c>
      <c r="W13" s="17" t="n">
        <v>3</v>
      </c>
      <c r="X13" s="30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1" t="n">
        <v>46206</v>
      </c>
      <c r="B14" s="1" t="n">
        <v>3</v>
      </c>
      <c r="C14" s="15" t="s">
        <v>51</v>
      </c>
      <c r="D14" s="15" t="s">
        <v>52</v>
      </c>
      <c r="E14" s="16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5" t="n">
        <f aca="false">F14-(1/H14)</f>
        <v>-0.25</v>
      </c>
      <c r="K14" s="15" t="n">
        <f aca="false">((I14-((H14-1)/H14))-(-5/6))/((5-(5/6))-(-5/6))</f>
        <v>0.216666666666667</v>
      </c>
      <c r="L14" s="15" t="n">
        <f aca="false">E14-((E12+E13+E15)/3)</f>
        <v>-0.533333333333333</v>
      </c>
      <c r="M14" s="18" t="n">
        <f aca="false">0.5 + (L14 * 0.09)</f>
        <v>0.452</v>
      </c>
      <c r="N14" s="15" t="n">
        <f aca="false">((H14-(G14-1))/H14)*(IF(I14&lt;&gt;0,(I14+H14)/H14,1))</f>
        <v>0.625</v>
      </c>
      <c r="O14" s="19" t="n">
        <f aca="false">(N14-(1/6))/(10/6)</f>
        <v>0.275</v>
      </c>
      <c r="P14" s="1" t="n">
        <v>8</v>
      </c>
      <c r="Q14" s="19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9" t="n">
        <f aca="false">IFERROR(T14/S14, 1)</f>
        <v>0</v>
      </c>
      <c r="V14" s="20" t="n">
        <v>0</v>
      </c>
      <c r="W14" s="17" t="n">
        <v>2</v>
      </c>
      <c r="X14" s="30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40" t="n">
        <v>46206</v>
      </c>
      <c r="B15" s="23" t="n">
        <v>3</v>
      </c>
      <c r="C15" s="23" t="s">
        <v>30</v>
      </c>
      <c r="D15" s="23" t="s">
        <v>31</v>
      </c>
      <c r="E15" s="24" t="n">
        <v>3.9</v>
      </c>
      <c r="F15" s="23" t="n">
        <v>0</v>
      </c>
      <c r="G15" s="23" t="n">
        <v>4</v>
      </c>
      <c r="H15" s="23" t="n">
        <v>4</v>
      </c>
      <c r="I15" s="23" t="n">
        <v>0</v>
      </c>
      <c r="J15" s="23" t="n">
        <f aca="false">F15-(1/H15)</f>
        <v>-0.25</v>
      </c>
      <c r="K15" s="23" t="n">
        <f aca="false">((I15-((H15-1)/H15))-(-5/6))/((5-(5/6))-(-5/6))</f>
        <v>0.0166666666666667</v>
      </c>
      <c r="L15" s="23" t="n">
        <f aca="false">E15-((E12+E13+E14)/3)</f>
        <v>1.06666666666667</v>
      </c>
      <c r="M15" s="26" t="n">
        <f aca="false">0.5 + (L15 * 0.09)</f>
        <v>0.596</v>
      </c>
      <c r="N15" s="23" t="n">
        <f aca="false">((H15-(G15-1))/H15)*(IF(I15&lt;&gt;0,(I15+H15)/H15,1))</f>
        <v>0.25</v>
      </c>
      <c r="O15" s="27" t="n">
        <f aca="false">(N15-(1/6))/(10/6)</f>
        <v>0.05</v>
      </c>
      <c r="P15" s="23" t="n">
        <v>7</v>
      </c>
      <c r="Q15" s="27" t="n">
        <f aca="false">IF(F15=1,(((1-((P15-3)/15))*0.5)+0.5),((P15/18)*0.5))</f>
        <v>0.194444444444444</v>
      </c>
      <c r="R15" s="23" t="n">
        <v>1</v>
      </c>
      <c r="S15" s="23" t="n">
        <v>0</v>
      </c>
      <c r="T15" s="23" t="n">
        <v>0</v>
      </c>
      <c r="U15" s="27" t="n">
        <f aca="false">IFERROR(T15/S15, 1)</f>
        <v>1</v>
      </c>
      <c r="V15" s="28" t="n">
        <v>0</v>
      </c>
      <c r="W15" s="25" t="n">
        <v>3</v>
      </c>
      <c r="X15" s="33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1" t="n">
        <v>46206</v>
      </c>
      <c r="B16" s="1" t="n">
        <v>4</v>
      </c>
      <c r="C16" s="15" t="s">
        <v>30</v>
      </c>
      <c r="D16" s="15" t="s">
        <v>48</v>
      </c>
      <c r="E16" s="16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5" t="n">
        <f aca="false">F16-(1/H16)</f>
        <v>0.666666666666667</v>
      </c>
      <c r="K16" s="15" t="n">
        <f aca="false">((I16-((H16-1)/H16))-(-5/6))/((5-(5/6))-(-5/6))</f>
        <v>0.433333333333333</v>
      </c>
      <c r="L16" s="16" t="n">
        <f aca="false">E16-((E17+E18)/2)</f>
        <v>1.1</v>
      </c>
      <c r="M16" s="18" t="n">
        <f aca="false">0.5 + (L16 * 0.09)</f>
        <v>0.599</v>
      </c>
      <c r="N16" s="15" t="n">
        <f aca="false">((H16-(G16-1))/H16)*(IF(I16&lt;&gt;0,(I16+H16)/H16,1))</f>
        <v>1.66666666666667</v>
      </c>
      <c r="O16" s="19" t="n">
        <f aca="false">(N16-(1/6))/(10/6)</f>
        <v>0.9</v>
      </c>
      <c r="P16" s="1" t="n">
        <v>8</v>
      </c>
      <c r="Q16" s="19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9" t="n">
        <f aca="false">IFERROR(T16/S16, 1)</f>
        <v>1</v>
      </c>
      <c r="V16" s="20" t="n">
        <v>0</v>
      </c>
      <c r="W16" s="17" t="n">
        <v>3</v>
      </c>
      <c r="X16" s="44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1" t="n">
        <v>46206</v>
      </c>
      <c r="B17" s="1" t="n">
        <v>4</v>
      </c>
      <c r="C17" s="15" t="s">
        <v>26</v>
      </c>
      <c r="D17" s="15" t="s">
        <v>75</v>
      </c>
      <c r="E17" s="16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5" t="n">
        <f aca="false">F17-(1/H17)</f>
        <v>-0.333333333333333</v>
      </c>
      <c r="K17" s="15" t="n">
        <f aca="false">((I17-((H17-1)/H17))-(-5/6))/((5-(5/6))-(-5/6))</f>
        <v>0.0333333333333334</v>
      </c>
      <c r="L17" s="15" t="n">
        <f aca="false">E17-((E16+E18)/2)</f>
        <v>-0.25</v>
      </c>
      <c r="M17" s="18" t="n">
        <f aca="false">0.5 + (L17 * 0.09)</f>
        <v>0.4775</v>
      </c>
      <c r="N17" s="15" t="n">
        <f aca="false">((H17-(G17-1))/H17)*(IF(I17&lt;&gt;0,(I17+H17)/H17,1))</f>
        <v>0.666666666666667</v>
      </c>
      <c r="O17" s="19" t="n">
        <f aca="false">(N17-(1/6))/(10/6)</f>
        <v>0.3</v>
      </c>
      <c r="P17" s="1" t="n">
        <v>8</v>
      </c>
      <c r="Q17" s="19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9" t="n">
        <f aca="false">IFERROR(T17/S17, 1)</f>
        <v>0</v>
      </c>
      <c r="V17" s="20" t="n">
        <v>0</v>
      </c>
      <c r="W17" s="17" t="n">
        <v>2</v>
      </c>
      <c r="X17" s="30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40" t="n">
        <v>46206</v>
      </c>
      <c r="B18" s="23" t="n">
        <v>4</v>
      </c>
      <c r="C18" s="23" t="s">
        <v>28</v>
      </c>
      <c r="D18" s="23" t="s">
        <v>88</v>
      </c>
      <c r="E18" s="24" t="n">
        <v>2.5</v>
      </c>
      <c r="F18" s="23" t="n">
        <v>0</v>
      </c>
      <c r="G18" s="23" t="n">
        <v>2</v>
      </c>
      <c r="H18" s="23" t="n">
        <v>3</v>
      </c>
      <c r="I18" s="23" t="n">
        <v>0</v>
      </c>
      <c r="J18" s="23" t="n">
        <f aca="false">F18-(1/H18)</f>
        <v>-0.333333333333333</v>
      </c>
      <c r="K18" s="23" t="n">
        <f aca="false">((I18-((H18-1)/H18))-(-5/6))/((5-(5/6))-(-5/6))</f>
        <v>0.0333333333333334</v>
      </c>
      <c r="L18" s="23" t="n">
        <f aca="false">E18-((E16+E17)/2)</f>
        <v>-0.85</v>
      </c>
      <c r="M18" s="26" t="n">
        <f aca="false">0.5 + (L18 * 0.09)</f>
        <v>0.4235</v>
      </c>
      <c r="N18" s="23" t="n">
        <f aca="false">((H18-(G18-1))/H18)*(IF(I18&lt;&gt;0,(I18+H18)/H18,1))</f>
        <v>0.666666666666667</v>
      </c>
      <c r="O18" s="27" t="n">
        <f aca="false">(N18-(1/6))/(10/6)</f>
        <v>0.3</v>
      </c>
      <c r="P18" s="23" t="n">
        <v>8</v>
      </c>
      <c r="Q18" s="27" t="n">
        <f aca="false">IF(F18=1,(((1-((P18-3)/15))*0.5)+0.5),((P18/18)*0.5))</f>
        <v>0.222222222222222</v>
      </c>
      <c r="R18" s="23" t="n">
        <v>0</v>
      </c>
      <c r="S18" s="23" t="n">
        <v>1</v>
      </c>
      <c r="T18" s="23" t="n">
        <v>0</v>
      </c>
      <c r="U18" s="27" t="n">
        <f aca="false">IFERROR(T18/S18, 1)</f>
        <v>0</v>
      </c>
      <c r="V18" s="28" t="n">
        <v>0</v>
      </c>
      <c r="W18" s="25" t="n">
        <v>2</v>
      </c>
      <c r="X18" s="33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1" t="n">
        <v>46211</v>
      </c>
      <c r="B19" s="1" t="n">
        <v>5</v>
      </c>
      <c r="C19" s="15" t="s">
        <v>26</v>
      </c>
      <c r="D19" s="15" t="s">
        <v>45</v>
      </c>
      <c r="E19" s="16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E19-((E20+E21+E22)/3)</f>
        <v>-0.866666666666667</v>
      </c>
      <c r="M19" s="18" t="n">
        <f aca="false">0.5 + (L19 * 0.09)</f>
        <v>0.422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" t="n">
        <v>14</v>
      </c>
      <c r="Q19" s="19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9" t="n">
        <f aca="false">IFERROR(T19/S19, 1)</f>
        <v>0.666666666666667</v>
      </c>
      <c r="V19" s="20" t="n">
        <v>0</v>
      </c>
      <c r="W19" s="17" t="n">
        <v>2</v>
      </c>
      <c r="X19" s="44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1" t="n">
        <v>46211</v>
      </c>
      <c r="B20" s="1" t="n">
        <v>5</v>
      </c>
      <c r="C20" s="15" t="s">
        <v>30</v>
      </c>
      <c r="D20" s="15" t="s">
        <v>90</v>
      </c>
      <c r="E20" s="16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5" t="n">
        <f aca="false">F20-(1/H20)</f>
        <v>-0.25</v>
      </c>
      <c r="K20" s="15" t="n">
        <f aca="false">((I20-((H20-1)/H20))-(-5/6))/((5-(5/6))-(-5/6))</f>
        <v>0.416666666666667</v>
      </c>
      <c r="L20" s="15" t="n">
        <f aca="false">E20-((E19+E21+E22)/3)</f>
        <v>0.733333333333333</v>
      </c>
      <c r="M20" s="18" t="n">
        <f aca="false">0.5 + (L20 * 0.09)</f>
        <v>0.566</v>
      </c>
      <c r="N20" s="15" t="n">
        <f aca="false">((H20-(G20-1))/H20)*(IF(I20&lt;&gt;0,(I20+H20)/H20,1))</f>
        <v>1.125</v>
      </c>
      <c r="O20" s="19" t="n">
        <f aca="false">(N20-(1/6))/(10/6)</f>
        <v>0.575</v>
      </c>
      <c r="P20" s="1" t="n">
        <v>14</v>
      </c>
      <c r="Q20" s="19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9" t="n">
        <f aca="false">IFERROR(T20/S20, 1)</f>
        <v>0.4</v>
      </c>
      <c r="V20" s="20" t="n">
        <v>0</v>
      </c>
      <c r="W20" s="17" t="n">
        <v>3</v>
      </c>
      <c r="X20" s="30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1" t="n">
        <v>46211</v>
      </c>
      <c r="B21" s="1" t="n">
        <v>5</v>
      </c>
      <c r="C21" s="15" t="s">
        <v>32</v>
      </c>
      <c r="D21" s="15" t="s">
        <v>89</v>
      </c>
      <c r="E21" s="16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E21-((E19+E20+E22)/3)</f>
        <v>0.733333333333333</v>
      </c>
      <c r="M21" s="18" t="n">
        <f aca="false">0.5 + (L21 * 0.09)</f>
        <v>0.566</v>
      </c>
      <c r="N21" s="15" t="n">
        <f aca="false">((H21-(G21-1))/H21)*(IF(I21&lt;&gt;0,(I21+H21)/H21,1))</f>
        <v>0.5</v>
      </c>
      <c r="O21" s="19" t="n">
        <f aca="false">(N21-(1/6))/(10/6)</f>
        <v>0.2</v>
      </c>
      <c r="P21" s="1" t="n">
        <v>14</v>
      </c>
      <c r="Q21" s="19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9" t="n">
        <f aca="false">IFERROR(T21/S21, 1)</f>
        <v>0.6</v>
      </c>
      <c r="V21" s="20" t="n">
        <v>0</v>
      </c>
      <c r="W21" s="17" t="n">
        <v>3</v>
      </c>
      <c r="X21" s="30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40" t="n">
        <v>46211</v>
      </c>
      <c r="B22" s="23" t="n">
        <v>5</v>
      </c>
      <c r="C22" s="23" t="s">
        <v>28</v>
      </c>
      <c r="D22" s="23" t="s">
        <v>91</v>
      </c>
      <c r="E22" s="24" t="n">
        <v>2.7</v>
      </c>
      <c r="F22" s="23" t="n">
        <v>0</v>
      </c>
      <c r="G22" s="23" t="n">
        <v>4</v>
      </c>
      <c r="H22" s="23" t="n">
        <v>4</v>
      </c>
      <c r="I22" s="23" t="n">
        <v>0</v>
      </c>
      <c r="J22" s="23" t="n">
        <f aca="false">F22-(1/H22)</f>
        <v>-0.25</v>
      </c>
      <c r="K22" s="23" t="n">
        <f aca="false">((I22-((H22-1)/H22))-(-5/6))/((5-(5/6))-(-5/6))</f>
        <v>0.0166666666666667</v>
      </c>
      <c r="L22" s="23" t="n">
        <f aca="false">E22-((E19+E20+E21)/3)</f>
        <v>-0.6</v>
      </c>
      <c r="M22" s="26" t="n">
        <f aca="false">0.5 + (L22 * 0.09)</f>
        <v>0.446</v>
      </c>
      <c r="N22" s="23" t="n">
        <f aca="false">((H22-(G22-1))/H22)*(IF(I22&lt;&gt;0,(I22+H22)/H22,1))</f>
        <v>0.25</v>
      </c>
      <c r="O22" s="27" t="n">
        <f aca="false">(N22-(1/6))/(10/6)</f>
        <v>0.05</v>
      </c>
      <c r="P22" s="23" t="n">
        <v>12</v>
      </c>
      <c r="Q22" s="27" t="n">
        <f aca="false">IF(F22=1,(((1-((P22-3)/15))*0.5)+0.5),((P22/18)*0.5))</f>
        <v>0.333333333333333</v>
      </c>
      <c r="R22" s="23" t="n">
        <v>1</v>
      </c>
      <c r="S22" s="23" t="n">
        <v>1</v>
      </c>
      <c r="T22" s="23" t="n">
        <v>1</v>
      </c>
      <c r="U22" s="27" t="n">
        <f aca="false">IFERROR(T22/S22, 1)</f>
        <v>1</v>
      </c>
      <c r="V22" s="28" t="n">
        <v>0</v>
      </c>
      <c r="W22" s="25" t="n">
        <v>2</v>
      </c>
      <c r="X22" s="33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1" t="n">
        <v>46220</v>
      </c>
      <c r="B23" s="1" t="n">
        <v>6</v>
      </c>
      <c r="C23" s="15" t="s">
        <v>30</v>
      </c>
      <c r="D23" s="15" t="s">
        <v>92</v>
      </c>
      <c r="E23" s="16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5" t="n">
        <f aca="false">F23-(1/H23)</f>
        <v>0.8</v>
      </c>
      <c r="K23" s="15" t="n">
        <f aca="false">((I23-((H23-1)/H23))-(-5/6))/((5-(5/6))-(-5/6))</f>
        <v>0.406666666666667</v>
      </c>
      <c r="L23" s="35" t="n">
        <f aca="false">E23-((E24+E25+E26+E27)/4)</f>
        <v>-0.775</v>
      </c>
      <c r="M23" s="42" t="n">
        <f aca="false">0.5 + (L23 * 0.09)</f>
        <v>0.43025</v>
      </c>
      <c r="N23" s="15" t="n">
        <f aca="false">((H23-(G23-1))/H23)*(IF(I23&lt;&gt;0,(I23+H23)/H23,1))</f>
        <v>1.4</v>
      </c>
      <c r="O23" s="19" t="n">
        <f aca="false">(N23-(1/6))/(10/6)</f>
        <v>0.74</v>
      </c>
      <c r="P23" s="1" t="n">
        <v>9</v>
      </c>
      <c r="Q23" s="19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9" t="n">
        <f aca="false">IFERROR(T23/S23, 1)</f>
        <v>1</v>
      </c>
      <c r="V23" s="20" t="n">
        <v>0</v>
      </c>
      <c r="W23" s="17" t="n">
        <v>2</v>
      </c>
      <c r="X23" s="30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1" t="n">
        <v>46220</v>
      </c>
      <c r="B24" s="1" t="n">
        <v>6</v>
      </c>
      <c r="C24" s="15" t="s">
        <v>38</v>
      </c>
      <c r="D24" s="15" t="s">
        <v>63</v>
      </c>
      <c r="E24" s="16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5" t="n">
        <f aca="false">F24-(1/H24)</f>
        <v>-0.2</v>
      </c>
      <c r="K24" s="15" t="n">
        <f aca="false">((I24-((H24-1)/H24))-(-5/6))/((5-(5/6))-(-5/6))</f>
        <v>0.406666666666667</v>
      </c>
      <c r="L24" s="15" t="n">
        <f aca="false">E24-((E23+E25+E26+E27)/4)</f>
        <v>0.475</v>
      </c>
      <c r="M24" s="18" t="n">
        <f aca="false">0.5 + (L24 * 0.09)</f>
        <v>0.54275</v>
      </c>
      <c r="N24" s="15" t="n">
        <f aca="false">((H24-(G24-1))/H24)*(IF(I24&lt;&gt;0,(I24+H24)/H24,1))</f>
        <v>1.12</v>
      </c>
      <c r="O24" s="19" t="n">
        <f aca="false">(N24-(1/6))/(10/6)</f>
        <v>0.572</v>
      </c>
      <c r="P24" s="1" t="n">
        <v>9</v>
      </c>
      <c r="Q24" s="19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9" t="n">
        <f aca="false">IFERROR(T24/S24, 1)</f>
        <v>1</v>
      </c>
      <c r="V24" s="20" t="n">
        <v>0</v>
      </c>
      <c r="W24" s="17" t="n">
        <v>3</v>
      </c>
      <c r="X24" s="30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1" t="n">
        <v>46220</v>
      </c>
      <c r="B25" s="1" t="n">
        <v>6</v>
      </c>
      <c r="C25" s="15" t="s">
        <v>28</v>
      </c>
      <c r="D25" s="15" t="s">
        <v>91</v>
      </c>
      <c r="E25" s="16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5" t="n">
        <f aca="false">F25-(1/H25)</f>
        <v>-0.2</v>
      </c>
      <c r="K25" s="15" t="n">
        <f aca="false">((I25-((H25-1)/H25))-(-5/6))/((5-(5/6))-(-5/6))</f>
        <v>0.00666666666666667</v>
      </c>
      <c r="L25" s="15" t="n">
        <f aca="false">E25-((E23+E24+E26+E27)/4)</f>
        <v>-0.0249999999999999</v>
      </c>
      <c r="M25" s="18" t="n">
        <f aca="false">0.5 + (L25 * 0.09)</f>
        <v>0.49775</v>
      </c>
      <c r="N25" s="15" t="n">
        <f aca="false">((H25-(G25-1))/H25)*(IF(I25&lt;&gt;0,(I25+H25)/H25,1))</f>
        <v>0.6</v>
      </c>
      <c r="O25" s="19" t="n">
        <f aca="false">(N25-(1/6))/(10/6)</f>
        <v>0.26</v>
      </c>
      <c r="P25" s="1" t="n">
        <v>8</v>
      </c>
      <c r="Q25" s="19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9" t="n">
        <f aca="false">IFERROR(T25/S25, 1)</f>
        <v>1</v>
      </c>
      <c r="V25" s="20" t="n">
        <v>0</v>
      </c>
      <c r="W25" s="17" t="n">
        <v>2</v>
      </c>
      <c r="X25" s="30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1" t="n">
        <v>46220</v>
      </c>
      <c r="B26" s="1" t="n">
        <v>6</v>
      </c>
      <c r="C26" s="15" t="s">
        <v>32</v>
      </c>
      <c r="D26" s="15" t="s">
        <v>62</v>
      </c>
      <c r="E26" s="16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5" t="n">
        <f aca="false">F26-(1/H26)</f>
        <v>-0.2</v>
      </c>
      <c r="K26" s="15" t="n">
        <f aca="false">((I26-((H26-1)/H26))-(-5/6))/((5-(5/6))-(-5/6))</f>
        <v>0.00666666666666667</v>
      </c>
      <c r="L26" s="15" t="n">
        <f aca="false">E26-((E23+E24+E25+E27)/4)</f>
        <v>1.1</v>
      </c>
      <c r="M26" s="18" t="n">
        <f aca="false">0.5 + (L26 * 0.09)</f>
        <v>0.599</v>
      </c>
      <c r="N26" s="15" t="n">
        <f aca="false">((H26-(G26-1))/H26)*(IF(I26&lt;&gt;0,(I26+H26)/H26,1))</f>
        <v>0.4</v>
      </c>
      <c r="O26" s="19" t="n">
        <f aca="false">(N26-(1/6))/(10/6)</f>
        <v>0.14</v>
      </c>
      <c r="P26" s="1" t="n">
        <v>8</v>
      </c>
      <c r="Q26" s="19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9" t="n">
        <f aca="false">IFERROR(T26/S26, 1)</f>
        <v>1</v>
      </c>
      <c r="V26" s="20" t="n">
        <v>0</v>
      </c>
      <c r="W26" s="17" t="n">
        <v>3</v>
      </c>
      <c r="X26" s="30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40" t="n">
        <v>46220</v>
      </c>
      <c r="B27" s="23" t="n">
        <v>6</v>
      </c>
      <c r="C27" s="23" t="s">
        <v>70</v>
      </c>
      <c r="D27" s="23" t="s">
        <v>93</v>
      </c>
      <c r="E27" s="24" t="n">
        <v>2</v>
      </c>
      <c r="F27" s="23" t="n">
        <v>0</v>
      </c>
      <c r="G27" s="23" t="n">
        <v>5</v>
      </c>
      <c r="H27" s="23" t="n">
        <v>5</v>
      </c>
      <c r="I27" s="23" t="n">
        <v>0</v>
      </c>
      <c r="J27" s="23" t="n">
        <f aca="false">F27-(1/H27)</f>
        <v>-0.2</v>
      </c>
      <c r="K27" s="23" t="n">
        <f aca="false">((I27-((H27-1)/H27))-(-5/6))/((5-(5/6))-(-5/6))</f>
        <v>0.00666666666666667</v>
      </c>
      <c r="L27" s="23" t="n">
        <f aca="false">E27-((E23+E24+E25+E26)/4)</f>
        <v>-0.775</v>
      </c>
      <c r="M27" s="26" t="n">
        <f aca="false">0.5 + (L27 * 0.09)</f>
        <v>0.43025</v>
      </c>
      <c r="N27" s="23" t="n">
        <f aca="false">((H27-(G27-1))/H27)*(IF(I27&lt;&gt;0,(I27+H27)/H27,1))</f>
        <v>0.2</v>
      </c>
      <c r="O27" s="27" t="n">
        <f aca="false">(N27-(1/6))/(10/6)</f>
        <v>0.02</v>
      </c>
      <c r="P27" s="23" t="n">
        <v>8</v>
      </c>
      <c r="Q27" s="27" t="n">
        <f aca="false">IF(F27=1,(((1-((P27-3)/15))*0.5)+0.5),((P27/18)*0.5))</f>
        <v>0.222222222222222</v>
      </c>
      <c r="R27" s="23" t="n">
        <v>0</v>
      </c>
      <c r="S27" s="23" t="n">
        <v>0</v>
      </c>
      <c r="T27" s="23" t="n">
        <v>0</v>
      </c>
      <c r="U27" s="27" t="n">
        <f aca="false">IFERROR(T27/S27, 1)</f>
        <v>1</v>
      </c>
      <c r="V27" s="28" t="n">
        <v>0</v>
      </c>
      <c r="W27" s="25" t="n">
        <v>2</v>
      </c>
      <c r="X27" s="33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1" t="n">
        <v>46220</v>
      </c>
      <c r="B28" s="1" t="n">
        <v>7</v>
      </c>
      <c r="C28" s="15" t="s">
        <v>28</v>
      </c>
      <c r="D28" s="15" t="s">
        <v>37</v>
      </c>
      <c r="E28" s="16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5" t="n">
        <f aca="false">F28-(1/H28)</f>
        <v>0.75</v>
      </c>
      <c r="K28" s="15" t="n">
        <f aca="false">((I28-((H28-1)/H28))-(-5/6))/((5-(5/6))-(-5/6))</f>
        <v>0.416666666666667</v>
      </c>
      <c r="L28" s="15" t="n">
        <f aca="false">E28-((E29+E30+E31)/3)</f>
        <v>0.666666666666667</v>
      </c>
      <c r="M28" s="18" t="n">
        <f aca="false">0.5 + (L28 * 0.09)</f>
        <v>0.56</v>
      </c>
      <c r="N28" s="15" t="n">
        <f aca="false">((H28-(G28-1))/H28)*(IF(I28&lt;&gt;0,(I28+H28)/H28,1))</f>
        <v>1.5</v>
      </c>
      <c r="O28" s="19" t="n">
        <f aca="false">(N28-(1/6))/(10/6)</f>
        <v>0.8</v>
      </c>
      <c r="P28" s="1" t="n">
        <v>8</v>
      </c>
      <c r="Q28" s="19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9" t="n">
        <f aca="false">IFERROR(T28/S28, 1)</f>
        <v>1</v>
      </c>
      <c r="V28" s="20" t="n">
        <v>0</v>
      </c>
      <c r="W28" s="17" t="n">
        <v>3</v>
      </c>
      <c r="X28" s="44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1" t="n">
        <v>46220</v>
      </c>
      <c r="B29" s="1" t="n">
        <v>7</v>
      </c>
      <c r="C29" s="15" t="s">
        <v>32</v>
      </c>
      <c r="D29" s="15" t="s">
        <v>94</v>
      </c>
      <c r="E29" s="16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5" t="n">
        <f aca="false">F29-(1/H29)</f>
        <v>-0.25</v>
      </c>
      <c r="K29" s="15" t="n">
        <f aca="false">((I29-((H29-1)/H29))-(-5/6))/((5-(5/6))-(-5/6))</f>
        <v>0.216666666666667</v>
      </c>
      <c r="L29" s="15" t="n">
        <f aca="false">E29-((E28+E30+E31)/3)</f>
        <v>-1.33333333333333</v>
      </c>
      <c r="M29" s="18" t="n">
        <f aca="false">0.5 + (L29 * 0.09)</f>
        <v>0.38</v>
      </c>
      <c r="N29" s="15" t="n">
        <f aca="false">((H29-(G29-1))/H29)*(IF(I29&lt;&gt;0,(I29+H29)/H29,1))</f>
        <v>0.9375</v>
      </c>
      <c r="O29" s="19" t="n">
        <f aca="false">(N29-(1/6))/(10/6)</f>
        <v>0.4625</v>
      </c>
      <c r="P29" s="1" t="n">
        <v>8</v>
      </c>
      <c r="Q29" s="19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17" t="n">
        <v>2</v>
      </c>
      <c r="X29" s="30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1" t="n">
        <v>46220</v>
      </c>
      <c r="B30" s="1" t="n">
        <v>7</v>
      </c>
      <c r="C30" s="15" t="s">
        <v>30</v>
      </c>
      <c r="D30" s="15" t="s">
        <v>90</v>
      </c>
      <c r="E30" s="16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E30-((E28+E29+E31)/3)</f>
        <v>0.933333333333333</v>
      </c>
      <c r="M30" s="18" t="n">
        <f aca="false">0.5 + (L30 * 0.09)</f>
        <v>0.584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" t="n">
        <v>8</v>
      </c>
      <c r="Q30" s="19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17" t="n">
        <v>3</v>
      </c>
      <c r="X30" s="30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40" t="n">
        <v>46220</v>
      </c>
      <c r="B31" s="23" t="n">
        <v>7</v>
      </c>
      <c r="C31" s="23" t="s">
        <v>26</v>
      </c>
      <c r="D31" s="23" t="s">
        <v>45</v>
      </c>
      <c r="E31" s="24" t="n">
        <v>2.8</v>
      </c>
      <c r="F31" s="23" t="n">
        <v>0</v>
      </c>
      <c r="G31" s="23" t="n">
        <v>4</v>
      </c>
      <c r="H31" s="23" t="n">
        <v>4</v>
      </c>
      <c r="I31" s="23" t="n">
        <v>0</v>
      </c>
      <c r="J31" s="23" t="n">
        <f aca="false">F31-(1/H31)</f>
        <v>-0.25</v>
      </c>
      <c r="K31" s="23" t="n">
        <f aca="false">((I31-((H31-1)/H31))-(-5/6))/((5-(5/6))-(-5/6))</f>
        <v>0.0166666666666667</v>
      </c>
      <c r="L31" s="23" t="n">
        <f aca="false">E31-((E28+E29+E30)/3)</f>
        <v>-0.266666666666667</v>
      </c>
      <c r="M31" s="26" t="n">
        <f aca="false">0.5 + (L31 * 0.09)</f>
        <v>0.476</v>
      </c>
      <c r="N31" s="23" t="n">
        <f aca="false">((H31-(G31-1))/H31)*(IF(I31&lt;&gt;0,(I31+H31)/H31,1))</f>
        <v>0.25</v>
      </c>
      <c r="O31" s="27" t="n">
        <f aca="false">(N31-(1/6))/(10/6)</f>
        <v>0.05</v>
      </c>
      <c r="P31" s="23" t="n">
        <v>8</v>
      </c>
      <c r="Q31" s="27" t="n">
        <f aca="false">IF(F31=1,(((1-((P31-3)/15))*0.5)+0.5),((P31/18)*0.5))</f>
        <v>0.222222222222222</v>
      </c>
      <c r="R31" s="23" t="n">
        <v>0</v>
      </c>
      <c r="S31" s="23" t="n">
        <v>0</v>
      </c>
      <c r="T31" s="23" t="n">
        <v>0</v>
      </c>
      <c r="U31" s="27" t="n">
        <f aca="false">IFERROR(T31/S31, 1)</f>
        <v>1</v>
      </c>
      <c r="V31" s="28" t="n">
        <v>0</v>
      </c>
      <c r="W31" s="25" t="n">
        <v>2</v>
      </c>
      <c r="X31" s="33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1" t="n">
        <v>46225</v>
      </c>
      <c r="B32" s="1" t="n">
        <v>8</v>
      </c>
      <c r="C32" s="15" t="s">
        <v>28</v>
      </c>
      <c r="D32" s="15" t="s">
        <v>68</v>
      </c>
      <c r="E32" s="16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5" t="n">
        <f aca="false">F32-(1/H32)</f>
        <v>0.666666666666667</v>
      </c>
      <c r="K32" s="15" t="n">
        <f aca="false">((I32-((H32-1)/H32))-(-5/6))/((5-(5/6))-(-5/6))</f>
        <v>0.433333333333333</v>
      </c>
      <c r="L32" s="16" t="n">
        <f aca="false">E32-((E33+E34)/2)</f>
        <v>1.2</v>
      </c>
      <c r="M32" s="18" t="n">
        <f aca="false">0.5 + (L32 * 0.09)</f>
        <v>0.608</v>
      </c>
      <c r="N32" s="15" t="n">
        <f aca="false">((H32-(G32-1))/H32)*(IF(I32&lt;&gt;0,(I32+H32)/H32,1))</f>
        <v>1.66666666666667</v>
      </c>
      <c r="O32" s="19" t="n">
        <f aca="false">(N32-(1/6))/(10/6)</f>
        <v>0.9</v>
      </c>
      <c r="P32" s="1" t="n">
        <v>9</v>
      </c>
      <c r="Q32" s="19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3</v>
      </c>
      <c r="X32" s="44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1" t="n">
        <v>46225</v>
      </c>
      <c r="B33" s="1" t="n">
        <v>8</v>
      </c>
      <c r="C33" s="15" t="s">
        <v>26</v>
      </c>
      <c r="D33" s="15" t="s">
        <v>95</v>
      </c>
      <c r="E33" s="16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5" t="n">
        <f aca="false">F33-(1/H33)</f>
        <v>-0.333333333333333</v>
      </c>
      <c r="K33" s="15" t="n">
        <f aca="false">((I33-((H33-1)/H33))-(-5/6))/((5-(5/6))-(-5/6))</f>
        <v>0.0333333333333334</v>
      </c>
      <c r="L33" s="15" t="n">
        <f aca="false">E33-((E32+E34)/2)</f>
        <v>-0.9</v>
      </c>
      <c r="M33" s="18" t="n">
        <f aca="false">0.5 + (L33 * 0.09)</f>
        <v>0.419</v>
      </c>
      <c r="N33" s="15" t="n">
        <f aca="false">((H33-(G33-1))/H33)*(IF(I33&lt;&gt;0,(I33+H33)/H33,1))</f>
        <v>0.666666666666667</v>
      </c>
      <c r="O33" s="19" t="n">
        <f aca="false">(N33-(1/6))/(10/6)</f>
        <v>0.3</v>
      </c>
      <c r="P33" s="1" t="n">
        <v>9</v>
      </c>
      <c r="Q33" s="19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17" t="n">
        <v>2</v>
      </c>
      <c r="X33" s="30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40" t="n">
        <v>46225</v>
      </c>
      <c r="B34" s="23" t="n">
        <v>8</v>
      </c>
      <c r="C34" s="23" t="s">
        <v>32</v>
      </c>
      <c r="D34" s="23" t="s">
        <v>79</v>
      </c>
      <c r="E34" s="24" t="n">
        <v>2.4</v>
      </c>
      <c r="F34" s="23" t="n">
        <v>0</v>
      </c>
      <c r="G34" s="23" t="n">
        <v>3</v>
      </c>
      <c r="H34" s="23" t="n">
        <v>3</v>
      </c>
      <c r="I34" s="23" t="n">
        <v>0</v>
      </c>
      <c r="J34" s="23" t="n">
        <f aca="false">F34-(1/H34)</f>
        <v>-0.333333333333333</v>
      </c>
      <c r="K34" s="23" t="n">
        <f aca="false">((I34-((H34-1)/H34))-(-5/6))/((5-(5/6))-(-5/6))</f>
        <v>0.0333333333333334</v>
      </c>
      <c r="L34" s="23" t="n">
        <f aca="false">E34-((E32+E33)/2)</f>
        <v>-0.3</v>
      </c>
      <c r="M34" s="26" t="n">
        <f aca="false">0.5 + (L34 * 0.09)</f>
        <v>0.473</v>
      </c>
      <c r="N34" s="23" t="n">
        <f aca="false">((H34-(G34-1))/H34)*(IF(I34&lt;&gt;0,(I34+H34)/H34,1))</f>
        <v>0.333333333333333</v>
      </c>
      <c r="O34" s="27" t="n">
        <f aca="false">(N34-(1/6))/(10/6)</f>
        <v>0.1</v>
      </c>
      <c r="P34" s="23" t="n">
        <v>8</v>
      </c>
      <c r="Q34" s="27" t="n">
        <f aca="false">IF(F34=1,(((1-((P34-3)/15))*0.5)+0.5),((P34/18)*0.5))</f>
        <v>0.222222222222222</v>
      </c>
      <c r="R34" s="23" t="n">
        <v>1</v>
      </c>
      <c r="S34" s="23" t="n">
        <v>0</v>
      </c>
      <c r="T34" s="23" t="n">
        <v>0</v>
      </c>
      <c r="U34" s="27" t="n">
        <f aca="false">IFERROR(T34/S34, 1)</f>
        <v>1</v>
      </c>
      <c r="V34" s="28" t="n">
        <v>0</v>
      </c>
      <c r="W34" s="25" t="n">
        <v>2</v>
      </c>
      <c r="X34" s="33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1" t="n">
        <v>46227</v>
      </c>
      <c r="B35" s="1" t="n">
        <v>9</v>
      </c>
      <c r="C35" s="15" t="s">
        <v>28</v>
      </c>
      <c r="D35" s="15" t="s">
        <v>68</v>
      </c>
      <c r="E35" s="16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5" t="n">
        <f aca="false">F35-(1/H35)</f>
        <v>0.75</v>
      </c>
      <c r="K35" s="15" t="n">
        <f aca="false">((I35-((H35-1)/H35))-(-5/6))/((5-(5/6))-(-5/6))</f>
        <v>0.616666666666667</v>
      </c>
      <c r="L35" s="15" t="n">
        <f aca="false">E35-((E36+E37+E38)/3)</f>
        <v>1.1</v>
      </c>
      <c r="M35" s="18" t="n">
        <f aca="false">0.5 + (L35 * 0.09)</f>
        <v>0.599</v>
      </c>
      <c r="N35" s="15" t="n">
        <f aca="false">((H35-(G35-1))/H35)*(IF(I35&lt;&gt;0,(I35+H35)/H35,1))</f>
        <v>1.75</v>
      </c>
      <c r="O35" s="19" t="n">
        <f aca="false">(N35-(1/6))/(10/6)</f>
        <v>0.95</v>
      </c>
      <c r="P35" s="1" t="n">
        <v>13</v>
      </c>
      <c r="Q35" s="19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9" t="n">
        <f aca="false">IFERROR(T35/S35, 1)</f>
        <v>0.5</v>
      </c>
      <c r="V35" s="20" t="n">
        <v>0</v>
      </c>
      <c r="W35" s="17" t="n">
        <v>3</v>
      </c>
      <c r="X35" s="44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1" t="n">
        <v>46227</v>
      </c>
      <c r="B36" s="1" t="n">
        <v>9</v>
      </c>
      <c r="C36" s="15" t="s">
        <v>32</v>
      </c>
      <c r="D36" s="15" t="s">
        <v>54</v>
      </c>
      <c r="E36" s="16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5" t="n">
        <f aca="false">F36-(1/H36)</f>
        <v>-0.25</v>
      </c>
      <c r="K36" s="15" t="n">
        <f aca="false">((I36-((H36-1)/H36))-(-5/6))/((5-(5/6))-(-5/6))</f>
        <v>0.0166666666666667</v>
      </c>
      <c r="L36" s="15" t="n">
        <f aca="false">E36-((E35+E37+E38)/3)</f>
        <v>0.566666666666666</v>
      </c>
      <c r="M36" s="18" t="n">
        <f aca="false">0.5 + (L36 * 0.09)</f>
        <v>0.551</v>
      </c>
      <c r="N36" s="15" t="n">
        <f aca="false">((H36-(G36-1))/H36)*(IF(I36&lt;&gt;0,(I36+H36)/H36,1))</f>
        <v>0.75</v>
      </c>
      <c r="O36" s="19" t="n">
        <f aca="false">(N36-(1/6))/(10/6)</f>
        <v>0.35</v>
      </c>
      <c r="P36" s="1" t="n">
        <v>13</v>
      </c>
      <c r="Q36" s="19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9" t="n">
        <f aca="false">IFERROR(T36/S36, 1)</f>
        <v>0.5</v>
      </c>
      <c r="V36" s="20" t="n">
        <v>0</v>
      </c>
      <c r="W36" s="17" t="n">
        <v>3</v>
      </c>
      <c r="X36" s="30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1" t="n">
        <v>46227</v>
      </c>
      <c r="B37" s="1" t="n">
        <v>9</v>
      </c>
      <c r="C37" s="15" t="s">
        <v>30</v>
      </c>
      <c r="D37" s="15" t="s">
        <v>92</v>
      </c>
      <c r="E37" s="16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5" t="n">
        <f aca="false">F37-(1/H37)</f>
        <v>-0.25</v>
      </c>
      <c r="K37" s="15" t="n">
        <f aca="false">((I37-((H37-1)/H37))-(-5/6))/((5-(5/6))-(-5/6))</f>
        <v>0.0166666666666667</v>
      </c>
      <c r="L37" s="15" t="n">
        <f aca="false">E37-((E35+E36+E38)/3)</f>
        <v>-0.233333333333333</v>
      </c>
      <c r="M37" s="18" t="n">
        <f aca="false">0.5 + (L37 * 0.09)</f>
        <v>0.479</v>
      </c>
      <c r="N37" s="15" t="n">
        <f aca="false">((H37-(G37-1))/H37)*(IF(I37&lt;&gt;0,(I37+H37)/H37,1))</f>
        <v>0.75</v>
      </c>
      <c r="O37" s="19" t="n">
        <f aca="false">(N37-(1/6))/(10/6)</f>
        <v>0.35</v>
      </c>
      <c r="P37" s="1" t="n">
        <v>13</v>
      </c>
      <c r="Q37" s="19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9" t="n">
        <f aca="false">IFERROR(T37/S37, 1)</f>
        <v>0.666666666666667</v>
      </c>
      <c r="V37" s="20" t="n">
        <v>1</v>
      </c>
      <c r="W37" s="17" t="n">
        <v>2</v>
      </c>
      <c r="X37" s="30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40" t="n">
        <v>46227</v>
      </c>
      <c r="B38" s="23" t="n">
        <v>9</v>
      </c>
      <c r="C38" s="23" t="s">
        <v>51</v>
      </c>
      <c r="D38" s="23" t="s">
        <v>96</v>
      </c>
      <c r="E38" s="24" t="n">
        <v>2</v>
      </c>
      <c r="F38" s="23" t="n">
        <v>0</v>
      </c>
      <c r="G38" s="23" t="n">
        <v>2</v>
      </c>
      <c r="H38" s="23" t="n">
        <v>4</v>
      </c>
      <c r="I38" s="23" t="n">
        <v>0</v>
      </c>
      <c r="J38" s="23" t="n">
        <f aca="false">F38-(1/H38)</f>
        <v>-0.25</v>
      </c>
      <c r="K38" s="23" t="n">
        <f aca="false">((I38-((H38-1)/H38))-(-5/6))/((5-(5/6))-(-5/6))</f>
        <v>0.0166666666666667</v>
      </c>
      <c r="L38" s="23" t="n">
        <f aca="false">E38-((E35+E36+E37)/3)</f>
        <v>-1.43333333333333</v>
      </c>
      <c r="M38" s="26" t="n">
        <f aca="false">0.5 + (L38 * 0.09)</f>
        <v>0.371</v>
      </c>
      <c r="N38" s="23" t="n">
        <f aca="false">((H38-(G38-1))/H38)*(IF(I38&lt;&gt;0,(I38+H38)/H38,1))</f>
        <v>0.75</v>
      </c>
      <c r="O38" s="27" t="n">
        <f aca="false">(N38-(1/6))/(10/6)</f>
        <v>0.35</v>
      </c>
      <c r="P38" s="23" t="n">
        <v>13</v>
      </c>
      <c r="Q38" s="27" t="n">
        <f aca="false">IF(F38=1,(((1-((P38-3)/15))*0.5)+0.5),((P38/18)*0.5))</f>
        <v>0.361111111111111</v>
      </c>
      <c r="R38" s="23" t="n">
        <v>0</v>
      </c>
      <c r="S38" s="23" t="n">
        <v>2</v>
      </c>
      <c r="T38" s="23" t="n">
        <v>1</v>
      </c>
      <c r="U38" s="27" t="n">
        <f aca="false">IFERROR(T38/S38, 1)</f>
        <v>0.5</v>
      </c>
      <c r="V38" s="28" t="n">
        <v>0</v>
      </c>
      <c r="W38" s="25" t="n">
        <v>2</v>
      </c>
      <c r="X38" s="33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1" t="n">
        <v>46227</v>
      </c>
      <c r="B39" s="1" t="n">
        <v>10</v>
      </c>
      <c r="C39" s="15" t="s">
        <v>30</v>
      </c>
      <c r="D39" s="15" t="s">
        <v>40</v>
      </c>
      <c r="E39" s="16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5" t="n">
        <f aca="false">F39-(1/H39)</f>
        <v>0.666666666666667</v>
      </c>
      <c r="K39" s="15" t="n">
        <f aca="false">((I39-((H39-1)/H39))-(-5/6))/((5-(5/6))-(-5/6))</f>
        <v>0.433333333333333</v>
      </c>
      <c r="L39" s="16" t="n">
        <f aca="false">E39-((E40+E41)/2)</f>
        <v>0.25</v>
      </c>
      <c r="M39" s="18" t="n">
        <f aca="false">0.5 + (L39 * 0.09)</f>
        <v>0.5225</v>
      </c>
      <c r="N39" s="15" t="n">
        <f aca="false">((H39-(G39-1))/H39)*(IF(I39&lt;&gt;0,(I39+H39)/H39,1))</f>
        <v>1.66666666666667</v>
      </c>
      <c r="O39" s="19" t="n">
        <f aca="false">(N39-(1/6))/(10/6)</f>
        <v>0.9</v>
      </c>
      <c r="P39" s="1" t="n">
        <v>9</v>
      </c>
      <c r="Q39" s="19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17" t="n">
        <v>3</v>
      </c>
      <c r="X39" s="44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1" t="n">
        <v>46227</v>
      </c>
      <c r="B40" s="1" t="n">
        <v>10</v>
      </c>
      <c r="C40" s="15" t="s">
        <v>28</v>
      </c>
      <c r="D40" s="15" t="s">
        <v>91</v>
      </c>
      <c r="E40" s="16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5" t="n">
        <f aca="false">F40-(1/H40)</f>
        <v>-0.333333333333333</v>
      </c>
      <c r="K40" s="15" t="n">
        <f aca="false">((I40-((H40-1)/H40))-(-5/6))/((5-(5/6))-(-5/6))</f>
        <v>0.0333333333333334</v>
      </c>
      <c r="L40" s="15" t="n">
        <f aca="false">E40-((E39+E41)/2)</f>
        <v>-0.5</v>
      </c>
      <c r="M40" s="18" t="n">
        <f aca="false">0.5 + (L40 * 0.09)</f>
        <v>0.455</v>
      </c>
      <c r="N40" s="15" t="n">
        <f aca="false">((H40-(G40-1))/H40)*(IF(I40&lt;&gt;0,(I40+H40)/H40,1))</f>
        <v>0.666666666666667</v>
      </c>
      <c r="O40" s="19" t="n">
        <f aca="false">(N40-(1/6))/(10/6)</f>
        <v>0.3</v>
      </c>
      <c r="P40" s="1" t="n">
        <v>9</v>
      </c>
      <c r="Q40" s="19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9" t="n">
        <f aca="false">IFERROR(T40/S40, 1)</f>
        <v>1</v>
      </c>
      <c r="V40" s="20" t="n">
        <v>0</v>
      </c>
      <c r="W40" s="17" t="n">
        <v>2</v>
      </c>
      <c r="X40" s="30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40" t="n">
        <v>46227</v>
      </c>
      <c r="B41" s="23" t="n">
        <v>10</v>
      </c>
      <c r="C41" s="23" t="s">
        <v>32</v>
      </c>
      <c r="D41" s="23" t="s">
        <v>97</v>
      </c>
      <c r="E41" s="24" t="n">
        <v>3</v>
      </c>
      <c r="F41" s="23" t="n">
        <v>0</v>
      </c>
      <c r="G41" s="23" t="n">
        <v>2</v>
      </c>
      <c r="H41" s="23" t="n">
        <v>3</v>
      </c>
      <c r="I41" s="23" t="n">
        <v>0</v>
      </c>
      <c r="J41" s="23" t="n">
        <f aca="false">F41-(1/H41)</f>
        <v>-0.333333333333333</v>
      </c>
      <c r="K41" s="23" t="n">
        <f aca="false">((I41-((H41-1)/H41))-(-5/6))/((5-(5/6))-(-5/6))</f>
        <v>0.0333333333333334</v>
      </c>
      <c r="L41" s="23" t="n">
        <f aca="false">E41-((E39+E40)/2)</f>
        <v>0.25</v>
      </c>
      <c r="M41" s="26" t="n">
        <f aca="false">0.5 + (L41 * 0.09)</f>
        <v>0.5225</v>
      </c>
      <c r="N41" s="23" t="n">
        <f aca="false">((H41-(G41-1))/H41)*(IF(I41&lt;&gt;0,(I41+H41)/H41,1))</f>
        <v>0.666666666666667</v>
      </c>
      <c r="O41" s="27" t="n">
        <f aca="false">(N41-(1/6))/(10/6)</f>
        <v>0.3</v>
      </c>
      <c r="P41" s="23" t="n">
        <v>9</v>
      </c>
      <c r="Q41" s="27" t="n">
        <f aca="false">IF(F41=1,(((1-((P41-3)/15))*0.5)+0.5),((P41/18)*0.5))</f>
        <v>0.25</v>
      </c>
      <c r="R41" s="23" t="n">
        <v>0</v>
      </c>
      <c r="S41" s="23" t="n">
        <v>0</v>
      </c>
      <c r="T41" s="23" t="n">
        <v>0</v>
      </c>
      <c r="U41" s="27" t="n">
        <f aca="false">IFERROR(T41/S41, 1)</f>
        <v>1</v>
      </c>
      <c r="V41" s="28" t="n">
        <v>1</v>
      </c>
      <c r="W41" s="25" t="n">
        <v>3</v>
      </c>
      <c r="X41" s="33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1" t="n">
        <v>46228</v>
      </c>
      <c r="B42" s="1" t="n">
        <v>11</v>
      </c>
      <c r="C42" s="15" t="s">
        <v>32</v>
      </c>
      <c r="D42" s="15" t="s">
        <v>94</v>
      </c>
      <c r="E42" s="16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5" t="n">
        <f aca="false">F42-(1/H42)</f>
        <v>0.666666666666667</v>
      </c>
      <c r="K42" s="15" t="n">
        <f aca="false">((I42-((H42-1)/H42))-(-5/6))/((5-(5/6))-(-5/6))</f>
        <v>0.433333333333333</v>
      </c>
      <c r="L42" s="16" t="n">
        <f aca="false">E42-((E43+E44)/2)</f>
        <v>-0.2</v>
      </c>
      <c r="M42" s="18" t="n">
        <f aca="false">0.5 + (L42 * 0.09)</f>
        <v>0.482</v>
      </c>
      <c r="N42" s="15" t="n">
        <f aca="false">((H42-(G42-1))/H42)*(IF(I42&lt;&gt;0,(I42+H42)/H42,1))</f>
        <v>1.66666666666667</v>
      </c>
      <c r="O42" s="19" t="n">
        <f aca="false">(N42-(1/6))/(10/6)</f>
        <v>0.9</v>
      </c>
      <c r="P42" s="1" t="n">
        <v>8</v>
      </c>
      <c r="Q42" s="19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9" t="n">
        <f aca="false">IFERROR(T42/S42, 1)</f>
        <v>1</v>
      </c>
      <c r="V42" s="20" t="n">
        <v>0</v>
      </c>
      <c r="W42" s="17" t="n">
        <v>2</v>
      </c>
      <c r="X42" s="44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1" t="n">
        <v>46228</v>
      </c>
      <c r="B43" s="1" t="n">
        <v>11</v>
      </c>
      <c r="C43" s="15" t="s">
        <v>28</v>
      </c>
      <c r="D43" s="15" t="s">
        <v>88</v>
      </c>
      <c r="E43" s="16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5" t="n">
        <f aca="false">F43-(1/H43)</f>
        <v>-0.333333333333333</v>
      </c>
      <c r="K43" s="15" t="n">
        <f aca="false">((I43-((H43-1)/H43))-(-5/6))/((5-(5/6))-(-5/6))</f>
        <v>0.0333333333333334</v>
      </c>
      <c r="L43" s="15" t="n">
        <f aca="false">E43-((E42+E44)/2)</f>
        <v>-0.8</v>
      </c>
      <c r="M43" s="18" t="n">
        <f aca="false">0.5 + (L43 * 0.09)</f>
        <v>0.428</v>
      </c>
      <c r="N43" s="15" t="n">
        <f aca="false">((H43-(G43-1))/H43)*(IF(I43&lt;&gt;0,(I43+H43)/H43,1))</f>
        <v>0.666666666666667</v>
      </c>
      <c r="O43" s="19" t="n">
        <f aca="false">(N43-(1/6))/(10/6)</f>
        <v>0.3</v>
      </c>
      <c r="P43" s="1" t="n">
        <v>8</v>
      </c>
      <c r="Q43" s="19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9" t="n">
        <f aca="false">IFERROR(T43/S43, 1)</f>
        <v>1</v>
      </c>
      <c r="V43" s="20" t="n">
        <v>0</v>
      </c>
      <c r="W43" s="17" t="n">
        <v>2</v>
      </c>
      <c r="X43" s="30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40" t="n">
        <v>46228</v>
      </c>
      <c r="B44" s="23" t="n">
        <v>11</v>
      </c>
      <c r="C44" s="23" t="s">
        <v>30</v>
      </c>
      <c r="D44" s="23" t="s">
        <v>90</v>
      </c>
      <c r="E44" s="24" t="n">
        <v>3.5</v>
      </c>
      <c r="F44" s="23" t="n">
        <v>0</v>
      </c>
      <c r="G44" s="23" t="n">
        <v>2</v>
      </c>
      <c r="H44" s="23" t="n">
        <v>3</v>
      </c>
      <c r="I44" s="23" t="n">
        <v>0</v>
      </c>
      <c r="J44" s="23" t="n">
        <f aca="false">F44-(1/H44)</f>
        <v>-0.333333333333333</v>
      </c>
      <c r="K44" s="23" t="n">
        <f aca="false">((I44-((H44-1)/H44))-(-5/6))/((5-(5/6))-(-5/6))</f>
        <v>0.0333333333333334</v>
      </c>
      <c r="L44" s="23" t="n">
        <f aca="false">E44-((E42+E43)/2)</f>
        <v>1</v>
      </c>
      <c r="M44" s="26" t="n">
        <f aca="false">0.5 + (L44 * 0.09)</f>
        <v>0.59</v>
      </c>
      <c r="N44" s="23" t="n">
        <f aca="false">((H44-(G44-1))/H44)*(IF(I44&lt;&gt;0,(I44+H44)/H44,1))</f>
        <v>0.666666666666667</v>
      </c>
      <c r="O44" s="27" t="n">
        <f aca="false">(N44-(1/6))/(10/6)</f>
        <v>0.3</v>
      </c>
      <c r="P44" s="23" t="n">
        <v>8</v>
      </c>
      <c r="Q44" s="27" t="n">
        <f aca="false">IF(F44=1,(((1-((P44-3)/15))*0.5)+0.5),((P44/18)*0.5))</f>
        <v>0.222222222222222</v>
      </c>
      <c r="R44" s="23" t="n">
        <v>1</v>
      </c>
      <c r="S44" s="23" t="n">
        <v>0</v>
      </c>
      <c r="T44" s="23" t="n">
        <v>0</v>
      </c>
      <c r="U44" s="27" t="n">
        <f aca="false">IFERROR(T44/S44, 1)</f>
        <v>1</v>
      </c>
      <c r="V44" s="28" t="n">
        <v>0</v>
      </c>
      <c r="W44" s="25" t="n">
        <v>3</v>
      </c>
      <c r="X44" s="33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1" t="n">
        <v>46228</v>
      </c>
      <c r="B45" s="1" t="n">
        <v>12</v>
      </c>
      <c r="C45" s="15" t="s">
        <v>30</v>
      </c>
      <c r="D45" s="15" t="s">
        <v>92</v>
      </c>
      <c r="E45" s="16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5" t="n">
        <f aca="false">F45-(1/H45)</f>
        <v>0.666666666666667</v>
      </c>
      <c r="K45" s="15" t="n">
        <f aca="false">((I45-((H45-1)/H45))-(-5/6))/((5-(5/6))-(-5/6))</f>
        <v>0.433333333333333</v>
      </c>
      <c r="L45" s="16" t="n">
        <f aca="false">E45-((E46+E47)/2)</f>
        <v>-0.75</v>
      </c>
      <c r="M45" s="18" t="n">
        <f aca="false">0.5 + (L45 * 0.09)</f>
        <v>0.4325</v>
      </c>
      <c r="N45" s="15" t="n">
        <f aca="false">((H45-(G45-1))/H45)*(IF(I45&lt;&gt;0,(I45+H45)/H45,1))</f>
        <v>1.66666666666667</v>
      </c>
      <c r="O45" s="19" t="n">
        <f aca="false">(N45-(1/6))/(10/6)</f>
        <v>0.9</v>
      </c>
      <c r="P45" s="1" t="n">
        <v>7</v>
      </c>
      <c r="Q45" s="19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9" t="n">
        <f aca="false">IFERROR(T45/S45, 1)</f>
        <v>1</v>
      </c>
      <c r="V45" s="20" t="n">
        <v>0</v>
      </c>
      <c r="W45" s="17" t="n">
        <v>2</v>
      </c>
      <c r="X45" s="44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1" t="n">
        <v>46228</v>
      </c>
      <c r="B46" s="1" t="n">
        <v>12</v>
      </c>
      <c r="C46" s="15" t="s">
        <v>28</v>
      </c>
      <c r="D46" s="15" t="s">
        <v>91</v>
      </c>
      <c r="E46" s="16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5" t="n">
        <f aca="false">F46-(1/H46)</f>
        <v>-0.333333333333333</v>
      </c>
      <c r="K46" s="15" t="n">
        <f aca="false">((I46-((H46-1)/H46))-(-5/6))/((5-(5/6))-(-5/6))</f>
        <v>0.0333333333333334</v>
      </c>
      <c r="L46" s="15" t="n">
        <f aca="false">E46-((E45+E47)/2)</f>
        <v>-0.45</v>
      </c>
      <c r="M46" s="18" t="n">
        <f aca="false">0.5 + (L46 * 0.09)</f>
        <v>0.4595</v>
      </c>
      <c r="N46" s="15" t="n">
        <f aca="false">((H46-(G46-1))/H46)*(IF(I46&lt;&gt;0,(I46+H46)/H46,1))</f>
        <v>0.666666666666667</v>
      </c>
      <c r="O46" s="19" t="n">
        <f aca="false">(N46-(1/6))/(10/6)</f>
        <v>0.3</v>
      </c>
      <c r="P46" s="1" t="n">
        <v>7</v>
      </c>
      <c r="Q46" s="19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9" t="n">
        <f aca="false">IFERROR(T46/S46, 1)</f>
        <v>1</v>
      </c>
      <c r="V46" s="20" t="n">
        <v>1</v>
      </c>
      <c r="W46" s="17" t="n">
        <v>2</v>
      </c>
      <c r="X46" s="30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40" t="n">
        <v>46228</v>
      </c>
      <c r="B47" s="23" t="n">
        <v>12</v>
      </c>
      <c r="C47" s="23" t="s">
        <v>32</v>
      </c>
      <c r="D47" s="23" t="s">
        <v>89</v>
      </c>
      <c r="E47" s="24" t="n">
        <v>3.6</v>
      </c>
      <c r="F47" s="23" t="n">
        <v>0</v>
      </c>
      <c r="G47" s="23" t="n">
        <v>3</v>
      </c>
      <c r="H47" s="23" t="n">
        <v>3</v>
      </c>
      <c r="I47" s="23" t="n">
        <v>0</v>
      </c>
      <c r="J47" s="23" t="n">
        <f aca="false">F47-(1/H47)</f>
        <v>-0.333333333333333</v>
      </c>
      <c r="K47" s="23" t="n">
        <f aca="false">((I47-((H47-1)/H47))-(-5/6))/((5-(5/6))-(-5/6))</f>
        <v>0.0333333333333334</v>
      </c>
      <c r="L47" s="23" t="n">
        <f aca="false">E47-((E45+E46)/2)</f>
        <v>1.2</v>
      </c>
      <c r="M47" s="26" t="n">
        <f aca="false">0.5 + (L47 * 0.09)</f>
        <v>0.608</v>
      </c>
      <c r="N47" s="23" t="n">
        <f aca="false">((H47-(G47-1))/H47)*(IF(I47&lt;&gt;0,(I47+H47)/H47,1))</f>
        <v>0.333333333333333</v>
      </c>
      <c r="O47" s="27" t="n">
        <f aca="false">(N47-(1/6))/(10/6)</f>
        <v>0.1</v>
      </c>
      <c r="P47" s="23" t="n">
        <v>6</v>
      </c>
      <c r="Q47" s="27" t="n">
        <f aca="false">IF(F47=1,(((1-((P47-3)/15))*0.5)+0.5),((P47/18)*0.5))</f>
        <v>0.166666666666667</v>
      </c>
      <c r="R47" s="23" t="n">
        <v>1</v>
      </c>
      <c r="S47" s="23" t="n">
        <v>0</v>
      </c>
      <c r="T47" s="23" t="n">
        <v>0</v>
      </c>
      <c r="U47" s="27" t="n">
        <f aca="false">IFERROR(T47/S47, 1)</f>
        <v>1</v>
      </c>
      <c r="V47" s="28" t="n">
        <v>0</v>
      </c>
      <c r="W47" s="25" t="n">
        <v>3</v>
      </c>
      <c r="X47" s="33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1" t="n">
        <v>46228</v>
      </c>
      <c r="B48" s="1" t="n">
        <v>13</v>
      </c>
      <c r="C48" s="15" t="s">
        <v>32</v>
      </c>
      <c r="D48" s="15" t="s">
        <v>97</v>
      </c>
      <c r="E48" s="16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5" t="n">
        <f aca="false">F48-(1/H48)</f>
        <v>0.666666666666667</v>
      </c>
      <c r="K48" s="15" t="n">
        <f aca="false">((I48-((H48-1)/H48))-(-5/6))/((5-(5/6))-(-5/6))</f>
        <v>0.433333333333333</v>
      </c>
      <c r="L48" s="16" t="n">
        <f aca="false">E48-((E49+E50)/2)</f>
        <v>-0.0500000000000003</v>
      </c>
      <c r="M48" s="18" t="n">
        <f aca="false">0.5 + (L48 * 0.09)</f>
        <v>0.4955</v>
      </c>
      <c r="N48" s="15" t="n">
        <f aca="false">((H48-(G48-1))/H48)*(IF(I48&lt;&gt;0,(I48+H48)/H48,1))</f>
        <v>1.66666666666667</v>
      </c>
      <c r="O48" s="19" t="n">
        <f aca="false">(N48-(1/6))/(10/6)</f>
        <v>0.9</v>
      </c>
      <c r="P48" s="1" t="n">
        <v>11</v>
      </c>
      <c r="Q48" s="19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9" t="n">
        <f aca="false">IFERROR(T48/S48, 1)</f>
        <v>1</v>
      </c>
      <c r="V48" s="20" t="n">
        <v>0</v>
      </c>
      <c r="W48" s="17" t="n">
        <v>3</v>
      </c>
      <c r="X48" s="44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1" t="n">
        <v>46228</v>
      </c>
      <c r="B49" s="1" t="n">
        <v>13</v>
      </c>
      <c r="C49" s="15" t="s">
        <v>28</v>
      </c>
      <c r="D49" s="15" t="s">
        <v>47</v>
      </c>
      <c r="E49" s="16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5" t="n">
        <f aca="false">F49-(1/H49)</f>
        <v>-0.333333333333333</v>
      </c>
      <c r="K49" s="15" t="n">
        <f aca="false">((I49-((H49-1)/H49))-(-5/6))/((5-(5/6))-(-5/6))</f>
        <v>0.0333333333333334</v>
      </c>
      <c r="L49" s="15" t="n">
        <f aca="false">E49-((E48+E50)/2)</f>
        <v>-0.5</v>
      </c>
      <c r="M49" s="18" t="n">
        <f aca="false">0.5 + (L49 * 0.09)</f>
        <v>0.455</v>
      </c>
      <c r="N49" s="15" t="n">
        <f aca="false">((H49-(G49-1))/H49)*(IF(I49&lt;&gt;0,(I49+H49)/H49,1))</f>
        <v>0.666666666666667</v>
      </c>
      <c r="O49" s="19" t="n">
        <f aca="false">(N49-(1/6))/(10/6)</f>
        <v>0.3</v>
      </c>
      <c r="P49" s="1" t="n">
        <v>11</v>
      </c>
      <c r="Q49" s="19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3</v>
      </c>
      <c r="X49" s="30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40" t="n">
        <v>46228</v>
      </c>
      <c r="B50" s="23" t="n">
        <v>13</v>
      </c>
      <c r="C50" s="23" t="s">
        <v>30</v>
      </c>
      <c r="D50" s="23" t="s">
        <v>83</v>
      </c>
      <c r="E50" s="24" t="n">
        <v>3.7</v>
      </c>
      <c r="F50" s="23" t="n">
        <v>0</v>
      </c>
      <c r="G50" s="23" t="n">
        <v>3</v>
      </c>
      <c r="H50" s="23" t="n">
        <v>3</v>
      </c>
      <c r="I50" s="23" t="n">
        <v>0</v>
      </c>
      <c r="J50" s="23" t="n">
        <f aca="false">F50-(1/H50)</f>
        <v>-0.333333333333333</v>
      </c>
      <c r="K50" s="23" t="n">
        <f aca="false">((I50-((H50-1)/H50))-(-5/6))/((5-(5/6))-(-5/6))</f>
        <v>0.0333333333333334</v>
      </c>
      <c r="L50" s="23" t="n">
        <f aca="false">E50-((E48+E49)/2)</f>
        <v>0.55</v>
      </c>
      <c r="M50" s="26" t="n">
        <f aca="false">0.5 + (L50 * 0.09)</f>
        <v>0.5495</v>
      </c>
      <c r="N50" s="23" t="n">
        <f aca="false">((H50-(G50-1))/H50)*(IF(I50&lt;&gt;0,(I50+H50)/H50,1))</f>
        <v>0.333333333333333</v>
      </c>
      <c r="O50" s="27" t="n">
        <f aca="false">(N50-(1/6))/(10/6)</f>
        <v>0.1</v>
      </c>
      <c r="P50" s="23" t="n">
        <v>9</v>
      </c>
      <c r="Q50" s="27" t="n">
        <f aca="false">IF(F50=1,(((1-((P50-3)/15))*0.5)+0.5),((P50/18)*0.5))</f>
        <v>0.25</v>
      </c>
      <c r="R50" s="23" t="n">
        <v>1</v>
      </c>
      <c r="S50" s="23" t="n">
        <v>0</v>
      </c>
      <c r="T50" s="23" t="n">
        <v>0</v>
      </c>
      <c r="U50" s="27" t="n">
        <f aca="false">IFERROR(T50/S50, 1)</f>
        <v>1</v>
      </c>
      <c r="V50" s="28" t="n">
        <v>0</v>
      </c>
      <c r="W50" s="25" t="n">
        <v>3</v>
      </c>
      <c r="X50" s="33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1" t="n">
        <v>46236</v>
      </c>
      <c r="B51" s="23" t="n">
        <v>14</v>
      </c>
      <c r="C51" s="23" t="s">
        <v>28</v>
      </c>
      <c r="D51" s="23" t="s">
        <v>91</v>
      </c>
      <c r="E51" s="16" t="n">
        <v>2.3</v>
      </c>
      <c r="F51" s="23" t="n">
        <v>1</v>
      </c>
      <c r="G51" s="23" t="n">
        <v>1</v>
      </c>
      <c r="H51" s="23" t="n">
        <v>3</v>
      </c>
      <c r="I51" s="23" t="n">
        <v>2</v>
      </c>
      <c r="J51" s="23" t="n">
        <f aca="false">F51-(1/H51)</f>
        <v>0.666666666666667</v>
      </c>
      <c r="K51" s="23" t="n">
        <f aca="false">((I51-((H51-1)/H51))-(-5/6))/((5-(5/6))-(-5/6))</f>
        <v>0.433333333333333</v>
      </c>
      <c r="L51" s="23" t="n">
        <f aca="false">E51-((E52+E53)/2)</f>
        <v>-0.75</v>
      </c>
      <c r="M51" s="18" t="n">
        <f aca="false">0.5+(L51*0.09)</f>
        <v>0.4325</v>
      </c>
      <c r="N51" s="23" t="n">
        <f aca="false">((H51-(G51-1))/H51)*(IF(I51&lt;&gt;0,(I51+H51)/H51,1))</f>
        <v>1.66666666666667</v>
      </c>
      <c r="O51" s="27" t="n">
        <f aca="false">(N51-(1/6))/(10/6)</f>
        <v>0.9</v>
      </c>
      <c r="P51" s="23" t="n">
        <v>8</v>
      </c>
      <c r="Q51" s="27" t="n">
        <f aca="false">IF(F51=1,(((1-((P51-3)/15))*0.5)+0.5),((P51/18)*0.5))</f>
        <v>0.833333333333333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16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1" t="n">
        <v>46236</v>
      </c>
      <c r="B52" s="23" t="n">
        <v>14</v>
      </c>
      <c r="C52" s="23" t="s">
        <v>51</v>
      </c>
      <c r="D52" s="23" t="s">
        <v>52</v>
      </c>
      <c r="E52" s="16" t="n">
        <v>2.5</v>
      </c>
      <c r="F52" s="23" t="n">
        <v>0</v>
      </c>
      <c r="G52" s="23" t="n">
        <v>2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E52-((E51+E53)/2)</f>
        <v>-0.45</v>
      </c>
      <c r="M52" s="18" t="n">
        <f aca="false">0.5+(L52*0.09)</f>
        <v>0.4595</v>
      </c>
      <c r="N52" s="23" t="n">
        <f aca="false">((H52-(G52-1))/H52)*(IF(I52&lt;&gt;0,(I52+H52)/H52,1))</f>
        <v>0.666666666666667</v>
      </c>
      <c r="O52" s="27" t="n">
        <f aca="false">(N52-(1/6))/(10/6)</f>
        <v>0.3</v>
      </c>
      <c r="P52" s="23" t="n">
        <v>8</v>
      </c>
      <c r="Q52" s="27" t="n">
        <f aca="false">IF(F52=1,(((1-((P52-3)/15))*0.5)+0.5),((P52/18)*0.5))</f>
        <v>0.222222222222222</v>
      </c>
      <c r="R52" s="23" t="n">
        <v>0</v>
      </c>
      <c r="S52" s="23" t="n">
        <v>1</v>
      </c>
      <c r="T52" s="23" t="n">
        <v>0</v>
      </c>
      <c r="U52" s="27" t="n">
        <f aca="false">IFERROR(T52/S52, 1)</f>
        <v>0</v>
      </c>
      <c r="V52" s="28" t="n">
        <v>0</v>
      </c>
      <c r="W52" s="25" t="n">
        <v>2</v>
      </c>
      <c r="X52" s="16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1" t="n">
        <v>46236</v>
      </c>
      <c r="B53" s="23" t="n">
        <v>14</v>
      </c>
      <c r="C53" s="23" t="s">
        <v>32</v>
      </c>
      <c r="D53" s="23" t="s">
        <v>54</v>
      </c>
      <c r="E53" s="16" t="n">
        <v>3.6</v>
      </c>
      <c r="F53" s="23" t="n">
        <v>0</v>
      </c>
      <c r="G53" s="23" t="n">
        <v>3</v>
      </c>
      <c r="H53" s="23" t="n">
        <v>3</v>
      </c>
      <c r="I53" s="23" t="n">
        <v>0</v>
      </c>
      <c r="J53" s="23" t="n">
        <f aca="false">F53-(1/H53)</f>
        <v>-0.333333333333333</v>
      </c>
      <c r="K53" s="23" t="n">
        <f aca="false">((I53-((H53-1)/H53))-(-5/6))/((5-(5/6))-(-5/6))</f>
        <v>0.0333333333333334</v>
      </c>
      <c r="L53" s="23" t="n">
        <f aca="false">E53-((E51+E52)/2)</f>
        <v>1.2</v>
      </c>
      <c r="M53" s="18" t="n">
        <f aca="false">0.5+(L53*0.09)</f>
        <v>0.608</v>
      </c>
      <c r="N53" s="23" t="n">
        <f aca="false">((H53-(G53-1))/H53)*(IF(I53&lt;&gt;0,(I53+H53)/H53,1))</f>
        <v>0.333333333333333</v>
      </c>
      <c r="O53" s="27" t="n">
        <f aca="false">(N53-(1/6))/(10/6)</f>
        <v>0.1</v>
      </c>
      <c r="P53" s="23" t="n">
        <v>7</v>
      </c>
      <c r="Q53" s="27" t="n">
        <f aca="false">IF(F53=1,(((1-((P53-3)/15))*0.5)+0.5),((P53/18)*0.5))</f>
        <v>0.194444444444444</v>
      </c>
      <c r="R53" s="23" t="n">
        <v>0</v>
      </c>
      <c r="S53" s="23" t="n">
        <v>1</v>
      </c>
      <c r="T53" s="23" t="n">
        <v>0</v>
      </c>
      <c r="U53" s="27" t="n">
        <f aca="false">IFERROR(T53/S53, 1)</f>
        <v>0</v>
      </c>
      <c r="V53" s="28" t="n">
        <v>0</v>
      </c>
      <c r="W53" s="25" t="n">
        <v>3</v>
      </c>
      <c r="X53" s="16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1"/>
      <c r="E54" s="16"/>
      <c r="M54" s="18"/>
      <c r="X54" s="16"/>
    </row>
    <row r="55" customFormat="false" ht="14.25" hidden="false" customHeight="false" outlineLevel="0" collapsed="false">
      <c r="A55" s="41"/>
      <c r="E55" s="16"/>
      <c r="M55" s="18"/>
      <c r="X55" s="16"/>
    </row>
    <row r="56" customFormat="false" ht="14.25" hidden="false" customHeight="false" outlineLevel="0" collapsed="false">
      <c r="A56" s="41"/>
      <c r="E56" s="16"/>
      <c r="M56" s="18"/>
      <c r="X56" s="16"/>
    </row>
    <row r="57" customFormat="false" ht="14.25" hidden="false" customHeight="false" outlineLevel="0" collapsed="false">
      <c r="A57" s="41"/>
      <c r="E57" s="16"/>
      <c r="M57" s="18"/>
      <c r="X57" s="16"/>
    </row>
    <row r="58" customFormat="false" ht="14.25" hidden="false" customHeight="false" outlineLevel="0" collapsed="false">
      <c r="A58" s="41"/>
      <c r="E58" s="16"/>
      <c r="M58" s="18"/>
      <c r="X58" s="16"/>
    </row>
    <row r="59" customFormat="false" ht="14.25" hidden="false" customHeight="false" outlineLevel="0" collapsed="false">
      <c r="A59" s="41"/>
      <c r="E59" s="16"/>
      <c r="M59" s="18"/>
      <c r="X59" s="16"/>
    </row>
    <row r="60" customFormat="false" ht="14.25" hidden="false" customHeight="false" outlineLevel="0" collapsed="false">
      <c r="A60" s="41"/>
      <c r="E60" s="16"/>
      <c r="M60" s="18"/>
      <c r="X60" s="16"/>
    </row>
    <row r="61" customFormat="false" ht="14.25" hidden="false" customHeight="false" outlineLevel="0" collapsed="false">
      <c r="A61" s="41"/>
      <c r="E61" s="16"/>
      <c r="M61" s="18"/>
      <c r="X61" s="16"/>
    </row>
    <row r="62" customFormat="false" ht="14.25" hidden="false" customHeight="false" outlineLevel="0" collapsed="false">
      <c r="A62" s="41"/>
      <c r="E62" s="16"/>
      <c r="M62" s="18"/>
      <c r="X62" s="16"/>
    </row>
    <row r="63" customFormat="false" ht="14.25" hidden="false" customHeight="false" outlineLevel="0" collapsed="false">
      <c r="A63" s="41"/>
      <c r="E63" s="16"/>
      <c r="M63" s="18"/>
      <c r="X63" s="16"/>
    </row>
    <row r="64" customFormat="false" ht="14.25" hidden="false" customHeight="false" outlineLevel="0" collapsed="false">
      <c r="A64" s="41"/>
      <c r="E64" s="16"/>
      <c r="M64" s="18"/>
      <c r="X64" s="16"/>
    </row>
    <row r="65" customFormat="false" ht="14.25" hidden="false" customHeight="false" outlineLevel="0" collapsed="false">
      <c r="A65" s="41"/>
      <c r="E65" s="16"/>
      <c r="M65" s="18"/>
      <c r="X65" s="16"/>
    </row>
    <row r="66" customFormat="false" ht="14.25" hidden="false" customHeight="false" outlineLevel="0" collapsed="false">
      <c r="A66" s="41"/>
      <c r="E66" s="16"/>
      <c r="M66" s="18"/>
      <c r="X66" s="16"/>
    </row>
    <row r="67" customFormat="false" ht="14.25" hidden="false" customHeight="false" outlineLevel="0" collapsed="false">
      <c r="A67" s="41"/>
      <c r="E67" s="16"/>
      <c r="M67" s="18"/>
      <c r="X67" s="16"/>
    </row>
    <row r="68" customFormat="false" ht="14.25" hidden="false" customHeight="false" outlineLevel="0" collapsed="false">
      <c r="A68" s="41"/>
      <c r="E68" s="16"/>
      <c r="M68" s="18"/>
      <c r="X68" s="16"/>
    </row>
    <row r="69" customFormat="false" ht="14.25" hidden="false" customHeight="false" outlineLevel="0" collapsed="false">
      <c r="A69" s="41"/>
      <c r="E69" s="16"/>
      <c r="M69" s="18"/>
      <c r="X69" s="16"/>
    </row>
    <row r="70" customFormat="false" ht="14.25" hidden="false" customHeight="false" outlineLevel="0" collapsed="false">
      <c r="A70" s="41"/>
      <c r="E70" s="16"/>
      <c r="M70" s="18"/>
      <c r="X70" s="16"/>
    </row>
    <row r="71" customFormat="false" ht="14.25" hidden="false" customHeight="false" outlineLevel="0" collapsed="false">
      <c r="A71" s="41"/>
      <c r="E71" s="16"/>
      <c r="M71" s="18"/>
      <c r="X71" s="16"/>
    </row>
    <row r="72" customFormat="false" ht="14.25" hidden="false" customHeight="false" outlineLevel="0" collapsed="false">
      <c r="A72" s="41"/>
      <c r="E72" s="16"/>
      <c r="M72" s="18"/>
      <c r="X72" s="16"/>
    </row>
    <row r="73" customFormat="false" ht="14.25" hidden="false" customHeight="false" outlineLevel="0" collapsed="false">
      <c r="A73" s="41"/>
      <c r="E73" s="16"/>
      <c r="M73" s="18"/>
      <c r="X73" s="16"/>
    </row>
    <row r="74" customFormat="false" ht="14.25" hidden="false" customHeight="false" outlineLevel="0" collapsed="false">
      <c r="A74" s="41"/>
      <c r="E74" s="16"/>
      <c r="M74" s="18"/>
      <c r="X74" s="16"/>
    </row>
    <row r="75" customFormat="false" ht="14.25" hidden="false" customHeight="false" outlineLevel="0" collapsed="false">
      <c r="A75" s="41"/>
      <c r="E75" s="16"/>
      <c r="M75" s="18"/>
      <c r="X75" s="16"/>
    </row>
    <row r="76" customFormat="false" ht="14.25" hidden="false" customHeight="false" outlineLevel="0" collapsed="false">
      <c r="A76" s="41"/>
      <c r="E76" s="16"/>
      <c r="M76" s="18"/>
      <c r="X76" s="16"/>
    </row>
    <row r="77" customFormat="false" ht="14.25" hidden="false" customHeight="false" outlineLevel="0" collapsed="false">
      <c r="A77" s="41"/>
      <c r="E77" s="16"/>
      <c r="M77" s="18"/>
      <c r="X77" s="16"/>
    </row>
    <row r="78" customFormat="false" ht="14.25" hidden="false" customHeight="false" outlineLevel="0" collapsed="false">
      <c r="A78" s="41"/>
      <c r="E78" s="16"/>
      <c r="M78" s="18"/>
      <c r="X78" s="16"/>
    </row>
    <row r="79" customFormat="false" ht="14.25" hidden="false" customHeight="false" outlineLevel="0" collapsed="false">
      <c r="A79" s="41"/>
      <c r="E79" s="16"/>
      <c r="M79" s="18"/>
      <c r="X79" s="16"/>
    </row>
    <row r="80" customFormat="false" ht="14.25" hidden="false" customHeight="false" outlineLevel="0" collapsed="false">
      <c r="A80" s="41"/>
      <c r="E80" s="16"/>
      <c r="M80" s="18"/>
      <c r="X80" s="16"/>
    </row>
    <row r="81" customFormat="false" ht="14.25" hidden="false" customHeight="false" outlineLevel="0" collapsed="false">
      <c r="A81" s="41"/>
      <c r="E81" s="16"/>
      <c r="M81" s="18"/>
      <c r="X81" s="16"/>
    </row>
    <row r="82" customFormat="false" ht="14.25" hidden="false" customHeight="false" outlineLevel="0" collapsed="false">
      <c r="A82" s="41"/>
      <c r="E82" s="16"/>
      <c r="M82" s="18"/>
      <c r="X82" s="16"/>
    </row>
    <row r="83" customFormat="false" ht="14.25" hidden="false" customHeight="false" outlineLevel="0" collapsed="false">
      <c r="A83" s="41"/>
      <c r="E83" s="16"/>
      <c r="L83" s="16"/>
      <c r="M83" s="18"/>
      <c r="X83" s="16"/>
    </row>
    <row r="84" customFormat="false" ht="14.25" hidden="false" customHeight="false" outlineLevel="0" collapsed="false">
      <c r="A84" s="41"/>
      <c r="E84" s="16"/>
      <c r="M84" s="18"/>
      <c r="X84" s="16"/>
    </row>
    <row r="85" customFormat="false" ht="14.25" hidden="false" customHeight="false" outlineLevel="0" collapsed="false">
      <c r="A85" s="41"/>
      <c r="E85" s="16"/>
      <c r="M85" s="18"/>
      <c r="X85" s="16"/>
    </row>
    <row r="86" customFormat="false" ht="14.25" hidden="false" customHeight="false" outlineLevel="0" collapsed="false">
      <c r="A86" s="41"/>
      <c r="E86" s="16"/>
      <c r="M86" s="18"/>
      <c r="X86" s="16"/>
    </row>
    <row r="87" customFormat="false" ht="14.25" hidden="false" customHeight="false" outlineLevel="0" collapsed="false">
      <c r="A87" s="41"/>
      <c r="E87" s="16"/>
      <c r="M87" s="18"/>
      <c r="X87" s="16"/>
    </row>
    <row r="88" customFormat="false" ht="14.25" hidden="false" customHeight="false" outlineLevel="0" collapsed="false">
      <c r="A88" s="41"/>
      <c r="E88" s="16"/>
      <c r="M88" s="18"/>
      <c r="X88" s="16"/>
    </row>
    <row r="89" customFormat="false" ht="14.25" hidden="false" customHeight="false" outlineLevel="0" collapsed="false">
      <c r="A89" s="41"/>
      <c r="E89" s="16"/>
      <c r="M89" s="18"/>
      <c r="X89" s="16"/>
    </row>
    <row r="90" customFormat="false" ht="14.25" hidden="false" customHeight="false" outlineLevel="0" collapsed="false">
      <c r="A90" s="41"/>
      <c r="E90" s="16"/>
      <c r="M90" s="18"/>
      <c r="X90" s="16"/>
    </row>
    <row r="91" customFormat="false" ht="14.25" hidden="false" customHeight="false" outlineLevel="0" collapsed="false">
      <c r="A91" s="41"/>
      <c r="E91" s="16"/>
      <c r="M91" s="18"/>
      <c r="X91" s="16"/>
    </row>
    <row r="92" customFormat="false" ht="14.25" hidden="false" customHeight="false" outlineLevel="0" collapsed="false">
      <c r="A92" s="41"/>
      <c r="E92" s="16"/>
      <c r="M92" s="18"/>
      <c r="X92" s="16"/>
    </row>
    <row r="93" customFormat="false" ht="14.25" hidden="false" customHeight="false" outlineLevel="0" collapsed="false">
      <c r="A93" s="41"/>
      <c r="E93" s="16"/>
      <c r="M93" s="18"/>
      <c r="X93" s="16"/>
    </row>
    <row r="94" customFormat="false" ht="14.25" hidden="false" customHeight="false" outlineLevel="0" collapsed="false">
      <c r="A94" s="41"/>
      <c r="E94" s="16"/>
      <c r="M94" s="18"/>
      <c r="X94" s="16"/>
    </row>
    <row r="95" customFormat="false" ht="14.25" hidden="false" customHeight="false" outlineLevel="0" collapsed="false">
      <c r="A95" s="41"/>
      <c r="E95" s="16"/>
      <c r="M95" s="18"/>
      <c r="X95" s="16"/>
    </row>
    <row r="96" customFormat="false" ht="14.25" hidden="false" customHeight="false" outlineLevel="0" collapsed="false">
      <c r="A96" s="41"/>
      <c r="E96" s="16"/>
      <c r="L96" s="16"/>
      <c r="M96" s="18"/>
      <c r="X96" s="16"/>
    </row>
    <row r="97" customFormat="false" ht="14.25" hidden="false" customHeight="false" outlineLevel="0" collapsed="false">
      <c r="A97" s="41"/>
      <c r="E97" s="16"/>
      <c r="M97" s="18"/>
      <c r="X97" s="16"/>
    </row>
    <row r="98" customFormat="false" ht="14.25" hidden="false" customHeight="false" outlineLevel="0" collapsed="false">
      <c r="A98" s="41"/>
      <c r="E98" s="16"/>
      <c r="M98" s="18"/>
      <c r="X98" s="16"/>
    </row>
    <row r="99" customFormat="false" ht="14.25" hidden="false" customHeight="false" outlineLevel="0" collapsed="false">
      <c r="A99" s="41"/>
      <c r="E99" s="16"/>
      <c r="M99" s="18"/>
      <c r="X99" s="16"/>
    </row>
    <row r="100" customFormat="false" ht="14.25" hidden="false" customHeight="false" outlineLevel="0" collapsed="false">
      <c r="A100" s="41"/>
      <c r="E100" s="16"/>
      <c r="M100" s="18"/>
      <c r="X100" s="16"/>
    </row>
    <row r="101" customFormat="false" ht="14.25" hidden="false" customHeight="false" outlineLevel="0" collapsed="false">
      <c r="A101" s="41"/>
      <c r="E101" s="16"/>
      <c r="M101" s="18"/>
      <c r="X101" s="16"/>
    </row>
    <row r="102" customFormat="false" ht="14.25" hidden="false" customHeight="false" outlineLevel="0" collapsed="false">
      <c r="A102" s="41"/>
      <c r="E102" s="16"/>
      <c r="M102" s="18"/>
      <c r="X102" s="16"/>
    </row>
    <row r="103" customFormat="false" ht="14.25" hidden="false" customHeight="false" outlineLevel="0" collapsed="false">
      <c r="A103" s="41"/>
      <c r="E103" s="16"/>
      <c r="M103" s="18"/>
      <c r="X103" s="16"/>
    </row>
    <row r="104" customFormat="false" ht="14.25" hidden="false" customHeight="false" outlineLevel="0" collapsed="false">
      <c r="A104" s="41"/>
      <c r="E104" s="16"/>
      <c r="L104" s="16"/>
      <c r="M104" s="18"/>
      <c r="X104" s="16"/>
    </row>
    <row r="105" customFormat="false" ht="14.25" hidden="false" customHeight="false" outlineLevel="0" collapsed="false">
      <c r="A105" s="41"/>
      <c r="E105" s="16"/>
      <c r="M105" s="18"/>
      <c r="X105" s="16"/>
    </row>
    <row r="106" customFormat="false" ht="14.25" hidden="false" customHeight="false" outlineLevel="0" collapsed="false">
      <c r="A106" s="41"/>
      <c r="E106" s="16"/>
      <c r="M106" s="18"/>
      <c r="X106" s="16"/>
    </row>
    <row r="107" customFormat="false" ht="14.25" hidden="false" customHeight="false" outlineLevel="0" collapsed="false">
      <c r="A107" s="41"/>
      <c r="E107" s="16"/>
      <c r="M107" s="18"/>
      <c r="X107" s="16"/>
    </row>
    <row r="108" customFormat="false" ht="14.25" hidden="false" customHeight="false" outlineLevel="0" collapsed="false">
      <c r="A108" s="41"/>
      <c r="E108" s="16"/>
      <c r="M108" s="18"/>
      <c r="X108" s="16"/>
    </row>
    <row r="109" customFormat="false" ht="14.25" hidden="false" customHeight="false" outlineLevel="0" collapsed="false">
      <c r="A109" s="41"/>
      <c r="E109" s="16"/>
      <c r="M109" s="18"/>
      <c r="X109" s="16"/>
    </row>
    <row r="110" customFormat="false" ht="14.25" hidden="false" customHeight="false" outlineLevel="0" collapsed="false">
      <c r="A110" s="41"/>
      <c r="E110" s="16"/>
      <c r="M110" s="18"/>
      <c r="X110" s="16"/>
    </row>
    <row r="111" customFormat="false" ht="14.25" hidden="false" customHeight="false" outlineLevel="0" collapsed="false">
      <c r="A111" s="41"/>
      <c r="E111" s="16"/>
      <c r="M111" s="18"/>
      <c r="X111" s="16"/>
    </row>
    <row r="112" customFormat="false" ht="14.25" hidden="false" customHeight="false" outlineLevel="0" collapsed="false">
      <c r="A112" s="41"/>
      <c r="E112" s="16"/>
      <c r="M112" s="18"/>
      <c r="X112" s="16"/>
    </row>
    <row r="113" customFormat="false" ht="14.25" hidden="false" customHeight="false" outlineLevel="0" collapsed="false">
      <c r="A113" s="41"/>
      <c r="E113" s="16"/>
      <c r="M113" s="18"/>
      <c r="X113" s="16"/>
    </row>
    <row r="114" customFormat="false" ht="14.25" hidden="false" customHeight="false" outlineLevel="0" collapsed="false">
      <c r="A114" s="41"/>
      <c r="E114" s="16"/>
      <c r="M114" s="18"/>
      <c r="X114" s="16"/>
    </row>
    <row r="115" customFormat="false" ht="14.25" hidden="false" customHeight="false" outlineLevel="0" collapsed="false">
      <c r="A115" s="41"/>
      <c r="E115" s="16"/>
      <c r="M115" s="18"/>
      <c r="X115" s="16"/>
    </row>
    <row r="116" customFormat="false" ht="14.25" hidden="false" customHeight="false" outlineLevel="0" collapsed="false">
      <c r="A116" s="41"/>
      <c r="E116" s="16"/>
      <c r="M116" s="18"/>
      <c r="X116" s="16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false" outlineLevel="0" collapsed="false">
      <c r="A1" s="45" t="s">
        <v>98</v>
      </c>
      <c r="B1" s="45" t="s">
        <v>99</v>
      </c>
      <c r="C1" s="46"/>
      <c r="D1" s="45" t="s">
        <v>100</v>
      </c>
      <c r="E1" s="47" t="s">
        <v>101</v>
      </c>
    </row>
    <row r="2" customFormat="false" ht="14.25" hidden="false" customHeight="false" outlineLevel="0" collapsed="false">
      <c r="A2" s="47" t="s">
        <v>26</v>
      </c>
      <c r="B2" s="48" t="n">
        <f aca="false">AVERAGE(B3:B7)</f>
        <v>2.95830555555556</v>
      </c>
      <c r="C2" s="46"/>
    </row>
    <row r="3" customFormat="false" ht="14.25" hidden="false" customHeight="false" outlineLevel="0" collapsed="false">
      <c r="A3" s="49" t="s">
        <v>45</v>
      </c>
      <c r="B3" s="49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6"/>
      <c r="D3" s="49" t="n">
        <v>2.4</v>
      </c>
      <c r="E3" s="47" t="s">
        <v>102</v>
      </c>
    </row>
    <row r="4" customFormat="false" ht="28.35" hidden="false" customHeight="false" outlineLevel="0" collapsed="false">
      <c r="A4" s="49" t="s">
        <v>27</v>
      </c>
      <c r="B4" s="49" t="n">
        <f aca="false">IFERROR(LOOKUP(2,1/(('Game Log Season 3'!$C$3:$C$1000="Becca")*('Game Log Season 3'!$D$3:$D$1000=A4)*('Game Log Season 3'!$X$3:$X$1000&lt;&gt;"")),'Game Log Season 3'!$X$3:$X$1000), D4)</f>
        <v>3.7</v>
      </c>
      <c r="C4" s="46" t="s">
        <v>103</v>
      </c>
      <c r="D4" s="49" t="n">
        <v>3.7</v>
      </c>
      <c r="E4" s="47" t="s">
        <v>104</v>
      </c>
    </row>
    <row r="5" customFormat="false" ht="14.25" hidden="false" customHeight="false" outlineLevel="0" collapsed="false">
      <c r="A5" s="49" t="s">
        <v>75</v>
      </c>
      <c r="B5" s="49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6"/>
      <c r="D5" s="49" t="n">
        <v>2.3</v>
      </c>
      <c r="E5" s="47" t="s">
        <v>105</v>
      </c>
    </row>
    <row r="6" customFormat="false" ht="14.25" hidden="false" customHeight="false" outlineLevel="0" collapsed="false">
      <c r="A6" s="49" t="s">
        <v>95</v>
      </c>
      <c r="B6" s="49" t="n">
        <f aca="false">IFERROR(LOOKUP(2,1/(('Game Log Season 3'!$C$3:$C$1000="Becca")*('Game Log Season 3'!$D$3:$D$1000=A6)*('Game Log Season 3'!$X$3:$X$1000&lt;&gt;"")),'Game Log Season 3'!$X$3:$X$1000), D6)</f>
        <v>2.48375</v>
      </c>
      <c r="C6" s="46"/>
      <c r="D6" s="49" t="n">
        <v>2.5</v>
      </c>
    </row>
    <row r="7" customFormat="false" ht="14.25" hidden="false" customHeight="false" outlineLevel="0" collapsed="false">
      <c r="A7" s="49" t="s">
        <v>106</v>
      </c>
      <c r="B7" s="49" t="n">
        <f aca="false">IFERROR(LOOKUP(2,1/(('Game Log Season 3'!$C$3:$C$1000="Becca")*('Game Log Season 3'!$D$3:$D$1000=A7)*('Game Log Season 3'!$X$3:$X$1000&lt;&gt;"")),'Game Log Season 3'!$X$3:$X$1000), D7)</f>
        <v>3.9</v>
      </c>
      <c r="C7" s="46"/>
      <c r="D7" s="49" t="n">
        <v>3.9</v>
      </c>
      <c r="E7" s="47" t="s">
        <v>107</v>
      </c>
    </row>
    <row r="8" customFormat="false" ht="14.25" hidden="false" customHeight="false" outlineLevel="0" collapsed="false">
      <c r="A8" s="47" t="s">
        <v>28</v>
      </c>
      <c r="B8" s="48" t="n">
        <f aca="false">AVERAGE(B9:B21)</f>
        <v>3.42601495726496</v>
      </c>
      <c r="C8" s="46"/>
    </row>
    <row r="9" customFormat="false" ht="14.25" hidden="false" customHeight="false" outlineLevel="0" collapsed="false">
      <c r="A9" s="49" t="s">
        <v>68</v>
      </c>
      <c r="B9" s="49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6"/>
      <c r="D9" s="49" t="n">
        <v>3.8</v>
      </c>
      <c r="E9" s="47" t="s">
        <v>108</v>
      </c>
    </row>
    <row r="10" customFormat="false" ht="14.25" hidden="false" customHeight="false" outlineLevel="0" collapsed="false">
      <c r="A10" s="49" t="s">
        <v>42</v>
      </c>
      <c r="B10" s="49" t="n">
        <f aca="false">IFERROR(LOOKUP(2,1/(('Game Log Season 3'!$C$3:$C$1000="Manny")*('Game Log Season 3'!$D$3:$D$1000=A10)*('Game Log Season 3'!$X$3:$X$1000&lt;&gt;"")),'Game Log Season 3'!$X$3:$X$1000), D10)</f>
        <v>3.9</v>
      </c>
      <c r="C10" s="46"/>
      <c r="D10" s="49" t="n">
        <v>3.9</v>
      </c>
      <c r="E10" s="47" t="s">
        <v>109</v>
      </c>
    </row>
    <row r="11" customFormat="false" ht="28.35" hidden="false" customHeight="false" outlineLevel="0" collapsed="false">
      <c r="A11" s="49" t="s">
        <v>67</v>
      </c>
      <c r="B11" s="49" t="n">
        <f aca="false">IFERROR(LOOKUP(2,1/(('Game Log Season 3'!$C$3:$C$1000="Manny")*('Game Log Season 3'!$D$3:$D$1000=A11)*('Game Log Season 3'!$X$3:$X$1000&lt;&gt;"")),'Game Log Season 3'!$X$3:$X$1000), D11)</f>
        <v>3.4</v>
      </c>
      <c r="C11" s="46" t="s">
        <v>110</v>
      </c>
      <c r="D11" s="49" t="n">
        <v>3.4</v>
      </c>
      <c r="E11" s="47" t="s">
        <v>111</v>
      </c>
    </row>
    <row r="12" customFormat="false" ht="14.25" hidden="false" customHeight="false" outlineLevel="0" collapsed="false">
      <c r="A12" s="49" t="s">
        <v>82</v>
      </c>
      <c r="B12" s="49" t="n">
        <f aca="false">IFERROR(LOOKUP(2,1/(('Game Log Season 3'!$C$3:$C$1000="Manny")*('Game Log Season 3'!$D$3:$D$1000=A12)*('Game Log Season 3'!$X$3:$X$1000&lt;&gt;"")),'Game Log Season 3'!$X$3:$X$1000), D12)</f>
        <v>2.6</v>
      </c>
      <c r="C12" s="46"/>
      <c r="D12" s="49" t="n">
        <v>2.6</v>
      </c>
      <c r="E12" s="47" t="s">
        <v>112</v>
      </c>
    </row>
    <row r="13" customFormat="false" ht="28.35" hidden="false" customHeight="false" outlineLevel="0" collapsed="false">
      <c r="A13" s="49" t="s">
        <v>44</v>
      </c>
      <c r="B13" s="49" t="n">
        <f aca="false">IFERROR(LOOKUP(2,1/(('Game Log Season 3'!$C$3:$C$1000="Manny")*('Game Log Season 3'!$D$3:$D$1000=A13)*('Game Log Season 3'!$X$3:$X$1000&lt;&gt;"")),'Game Log Season 3'!$X$3:$X$1000), D13)</f>
        <v>3.5</v>
      </c>
      <c r="C13" s="46" t="s">
        <v>103</v>
      </c>
      <c r="D13" s="49" t="n">
        <v>3.5</v>
      </c>
      <c r="E13" s="47" t="s">
        <v>113</v>
      </c>
    </row>
    <row r="14" customFormat="false" ht="14.25" hidden="false" customHeight="false" outlineLevel="0" collapsed="false">
      <c r="A14" s="49" t="s">
        <v>88</v>
      </c>
      <c r="B14" s="49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6"/>
      <c r="D14" s="49" t="n">
        <v>2.7</v>
      </c>
      <c r="E14" s="47" t="s">
        <v>114</v>
      </c>
    </row>
    <row r="15" customFormat="false" ht="14.25" hidden="false" customHeight="false" outlineLevel="0" collapsed="false">
      <c r="A15" s="49" t="s">
        <v>48</v>
      </c>
      <c r="B15" s="49" t="n">
        <f aca="false">IFERROR(LOOKUP(2,1/(('Game Log Season 3'!$C$3:$C$1000="Manny")*('Game Log Season 3'!$D$3:$D$1000=A15)*('Game Log Season 3'!$X$3:$X$1000&lt;&gt;"")),'Game Log Season 3'!$X$3:$X$1000), D15)</f>
        <v>2.6</v>
      </c>
      <c r="C15" s="46"/>
      <c r="D15" s="49" t="n">
        <v>2.6</v>
      </c>
      <c r="E15" s="47" t="s">
        <v>115</v>
      </c>
    </row>
    <row r="16" customFormat="false" ht="14.25" hidden="false" customHeight="false" outlineLevel="0" collapsed="false">
      <c r="A16" s="49" t="s">
        <v>37</v>
      </c>
      <c r="B16" s="49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6"/>
      <c r="D16" s="49" t="n">
        <v>3.9</v>
      </c>
      <c r="E16" s="47" t="s">
        <v>116</v>
      </c>
    </row>
    <row r="17" customFormat="false" ht="14.25" hidden="false" customHeight="false" outlineLevel="0" collapsed="false">
      <c r="A17" s="49" t="s">
        <v>91</v>
      </c>
      <c r="B17" s="49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6"/>
      <c r="D17" s="49" t="n">
        <v>2.3</v>
      </c>
      <c r="E17" s="47" t="s">
        <v>117</v>
      </c>
    </row>
    <row r="18" customFormat="false" ht="14.25" hidden="false" customHeight="false" outlineLevel="0" collapsed="false">
      <c r="A18" s="49" t="s">
        <v>47</v>
      </c>
      <c r="B18" s="49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6"/>
      <c r="D18" s="49" t="n">
        <v>3.5</v>
      </c>
      <c r="E18" s="47" t="s">
        <v>118</v>
      </c>
    </row>
    <row r="19" customFormat="false" ht="14.25" hidden="false" customHeight="false" outlineLevel="0" collapsed="false">
      <c r="A19" s="49" t="s">
        <v>119</v>
      </c>
      <c r="B19" s="49" t="n">
        <f aca="false">IFERROR(LOOKUP(2,1/(('Game Log Season 3'!$C$3:$C$1000="Manny")*('Game Log Season 3'!$D$3:$D$1000=A19)*('Game Log Season 3'!$X$3:$X$1000&lt;&gt;"")),'Game Log Season 3'!$X$3:$X$1000), D19)</f>
        <v>3.9</v>
      </c>
      <c r="C19" s="46"/>
      <c r="D19" s="49" t="n">
        <v>3.9</v>
      </c>
      <c r="E19" s="47" t="s">
        <v>120</v>
      </c>
    </row>
    <row r="20" customFormat="false" ht="14.25" hidden="false" customHeight="false" outlineLevel="0" collapsed="false">
      <c r="A20" s="49" t="s">
        <v>121</v>
      </c>
      <c r="B20" s="49" t="n">
        <f aca="false">IFERROR(LOOKUP(2,1/(('Game Log Season 3'!$C$3:$C$1000="Manny")*('Game Log Season 3'!$D$3:$D$1000=A20)*('Game Log Season 3'!$X$3:$X$1000&lt;&gt;"")),'Game Log Season 3'!$X$3:$X$1000), D20)</f>
        <v>3.7</v>
      </c>
      <c r="C20" s="46"/>
      <c r="D20" s="49" t="n">
        <v>3.7</v>
      </c>
      <c r="E20" s="47" t="s">
        <v>122</v>
      </c>
    </row>
    <row r="21" customFormat="false" ht="14.25" hidden="false" customHeight="false" outlineLevel="0" collapsed="false">
      <c r="A21" s="49" t="s">
        <v>123</v>
      </c>
      <c r="B21" s="49" t="n">
        <f aca="false">IFERROR(LOOKUP(2,1/(('Game Log Season 3'!$C$3:$C$1000="Manny")*('Game Log Season 3'!$D$3:$D$1000=A21)*('Game Log Season 3'!$X$3:$X$1000&lt;&gt;"")),'Game Log Season 3'!$X$3:$X$1000), D21)</f>
        <v>4.1</v>
      </c>
      <c r="C21" s="46"/>
      <c r="D21" s="49" t="n">
        <v>4.1</v>
      </c>
      <c r="E21" s="47" t="s">
        <v>124</v>
      </c>
    </row>
    <row r="22" customFormat="false" ht="14.25" hidden="false" customHeight="false" outlineLevel="0" collapsed="false">
      <c r="A22" s="47" t="s">
        <v>30</v>
      </c>
      <c r="B22" s="48" t="n">
        <f aca="false">AVERAGE(B23:B39)</f>
        <v>3.28916666666667</v>
      </c>
      <c r="C22" s="46"/>
    </row>
    <row r="23" customFormat="false" ht="14.25" hidden="false" customHeight="false" outlineLevel="0" collapsed="false">
      <c r="A23" s="49" t="s">
        <v>73</v>
      </c>
      <c r="B23" s="49" t="n">
        <f aca="false">IFERROR(LOOKUP(2,1/(('Game Log Season 3'!$C$3:$C$1000="Mateo")*('Game Log Season 3'!$D$3:$D$1000=A23)*('Game Log Season 3'!$X$3:$X$1000&lt;&gt;"")),'Game Log Season 3'!$X$3:$X$1000), D23)</f>
        <v>2.4</v>
      </c>
      <c r="C23" s="46"/>
      <c r="D23" s="49" t="n">
        <v>2.4</v>
      </c>
      <c r="E23" s="47" t="s">
        <v>125</v>
      </c>
    </row>
    <row r="24" customFormat="false" ht="14.25" hidden="false" customHeight="false" outlineLevel="0" collapsed="false">
      <c r="A24" s="49" t="s">
        <v>31</v>
      </c>
      <c r="B24" s="49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6"/>
      <c r="D24" s="49" t="n">
        <v>3.6</v>
      </c>
      <c r="E24" s="47" t="s">
        <v>127</v>
      </c>
    </row>
    <row r="25" customFormat="false" ht="14.25" hidden="false" customHeight="false" outlineLevel="0" collapsed="false">
      <c r="A25" s="49" t="s">
        <v>34</v>
      </c>
      <c r="B25" s="49" t="n">
        <f aca="false">IFERROR(LOOKUP(2,1/(('Game Log Season 3'!$C$3:$C$1000="Mateo")*('Game Log Season 3'!$D$3:$D$1000=A25)*('Game Log Season 3'!$X$3:$X$1000&lt;&gt;"")),'Game Log Season 3'!$X$3:$X$1000), D25)</f>
        <v>3.6</v>
      </c>
      <c r="C25" s="46"/>
      <c r="D25" s="49" t="n">
        <v>3.6</v>
      </c>
      <c r="E25" s="47" t="s">
        <v>128</v>
      </c>
    </row>
    <row r="26" customFormat="false" ht="14.25" hidden="false" customHeight="false" outlineLevel="0" collapsed="false">
      <c r="A26" s="49" t="s">
        <v>74</v>
      </c>
      <c r="B26" s="49" t="n">
        <f aca="false">IFERROR(LOOKUP(2,1/(('Game Log Season 3'!$C$3:$C$1000="Mateo")*('Game Log Season 3'!$D$3:$D$1000=A26)*('Game Log Season 3'!$X$3:$X$1000&lt;&gt;"")),'Game Log Season 3'!$X$3:$X$1000), D26)</f>
        <v>2.9</v>
      </c>
      <c r="C26" s="46"/>
      <c r="D26" s="49" t="n">
        <v>2.9</v>
      </c>
      <c r="E26" s="47" t="s">
        <v>129</v>
      </c>
    </row>
    <row r="27" customFormat="false" ht="28.35" hidden="false" customHeight="false" outlineLevel="0" collapsed="false">
      <c r="A27" s="49" t="s">
        <v>57</v>
      </c>
      <c r="B27" s="49" t="n">
        <f aca="false">IFERROR(LOOKUP(2,1/(('Game Log Season 3'!$C$3:$C$1000="Mateo")*('Game Log Season 3'!$D$3:$D$1000=A27)*('Game Log Season 3'!$X$3:$X$1000&lt;&gt;"")),'Game Log Season 3'!$X$3:$X$1000), D27)</f>
        <v>3.9</v>
      </c>
      <c r="C27" s="46" t="s">
        <v>103</v>
      </c>
      <c r="D27" s="49" t="n">
        <v>3.9</v>
      </c>
      <c r="E27" s="47" t="s">
        <v>130</v>
      </c>
    </row>
    <row r="28" customFormat="false" ht="14.25" hidden="false" customHeight="false" outlineLevel="0" collapsed="false">
      <c r="A28" s="49" t="s">
        <v>80</v>
      </c>
      <c r="B28" s="49" t="n">
        <f aca="false">IFERROR(LOOKUP(2,1/(('Game Log Season 3'!$C$3:$C$1000="Mateo")*('Game Log Season 3'!$D$3:$D$1000=A28)*('Game Log Season 3'!$X$3:$X$1000&lt;&gt;"")),'Game Log Season 3'!$X$3:$X$1000), D28)</f>
        <v>2.8</v>
      </c>
      <c r="C28" s="46"/>
      <c r="D28" s="49" t="n">
        <v>2.8</v>
      </c>
    </row>
    <row r="29" customFormat="false" ht="14.25" hidden="false" customHeight="false" outlineLevel="0" collapsed="false">
      <c r="A29" s="49" t="s">
        <v>81</v>
      </c>
      <c r="B29" s="49" t="n">
        <f aca="false">IFERROR(LOOKUP(2,1/(('Game Log Season 3'!$C$3:$C$1000="Mateo")*('Game Log Season 3'!$D$3:$D$1000=A29)*('Game Log Season 3'!$X$3:$X$1000&lt;&gt;"")),'Game Log Season 3'!$X$3:$X$1000), D29)</f>
        <v>2.6</v>
      </c>
      <c r="C29" s="46"/>
      <c r="D29" s="49" t="n">
        <v>2.6</v>
      </c>
      <c r="E29" s="47" t="s">
        <v>131</v>
      </c>
    </row>
    <row r="30" customFormat="false" ht="14.25" hidden="false" customHeight="false" outlineLevel="0" collapsed="false">
      <c r="A30" s="49" t="s">
        <v>83</v>
      </c>
      <c r="B30" s="49" t="n">
        <f aca="false">IFERROR(LOOKUP(2,1/(('Game Log Season 3'!$C$3:$C$1000="Mateo")*('Game Log Season 3'!$D$3:$D$1000=A30)*('Game Log Season 3'!$X$3:$X$1000&lt;&gt;"")),'Game Log Season 3'!$X$3:$X$1000), D30)</f>
        <v>3.59875</v>
      </c>
      <c r="C30" s="46" t="s">
        <v>132</v>
      </c>
      <c r="D30" s="49" t="n">
        <v>3.6</v>
      </c>
      <c r="E30" s="47" t="s">
        <v>133</v>
      </c>
    </row>
    <row r="31" customFormat="false" ht="14.25" hidden="false" customHeight="false" outlineLevel="0" collapsed="false">
      <c r="A31" s="49" t="s">
        <v>48</v>
      </c>
      <c r="B31" s="49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6"/>
      <c r="D31" s="49" t="n">
        <v>3.9</v>
      </c>
      <c r="E31" s="47" t="s">
        <v>134</v>
      </c>
    </row>
    <row r="32" customFormat="false" ht="14.25" hidden="false" customHeight="false" outlineLevel="0" collapsed="false">
      <c r="A32" s="49" t="s">
        <v>90</v>
      </c>
      <c r="B32" s="49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6"/>
      <c r="D32" s="49" t="n">
        <v>3.7</v>
      </c>
      <c r="E32" s="47" t="s">
        <v>135</v>
      </c>
    </row>
    <row r="33" customFormat="false" ht="14.25" hidden="false" customHeight="false" outlineLevel="0" collapsed="false">
      <c r="A33" s="49" t="s">
        <v>46</v>
      </c>
      <c r="B33" s="50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6"/>
      <c r="D33" s="50" t="n">
        <v>4</v>
      </c>
      <c r="E33" s="47" t="s">
        <v>136</v>
      </c>
    </row>
    <row r="34" customFormat="false" ht="14.25" hidden="false" customHeight="false" outlineLevel="0" collapsed="false">
      <c r="A34" s="49" t="s">
        <v>92</v>
      </c>
      <c r="B34" s="50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6"/>
      <c r="D34" s="50" t="n">
        <v>2.9</v>
      </c>
      <c r="E34" s="47" t="s">
        <v>137</v>
      </c>
    </row>
    <row r="35" customFormat="false" ht="28.35" hidden="false" customHeight="false" outlineLevel="0" collapsed="false">
      <c r="A35" s="49" t="s">
        <v>40</v>
      </c>
      <c r="B35" s="50" t="n">
        <f aca="false">IFERROR(LOOKUP(2,1/(('Game Log Season 3'!$C$3:$C$1000="Mateo")*('Game Log Season 3'!$D$3:$D$1000=A35)*('Game Log Season 3'!$X$3:$X$1000&lt;&gt;"")),'Game Log Season 3'!$X$3:$X$1000), D35)</f>
        <v>3.935</v>
      </c>
      <c r="C35" s="46" t="s">
        <v>138</v>
      </c>
      <c r="D35" s="50" t="n">
        <v>3.9</v>
      </c>
      <c r="E35" s="47" t="s">
        <v>139</v>
      </c>
    </row>
    <row r="36" customFormat="false" ht="14.25" hidden="false" customHeight="false" outlineLevel="0" collapsed="false">
      <c r="A36" s="49" t="s">
        <v>140</v>
      </c>
      <c r="B36" s="49" t="n">
        <f aca="false">IFERROR(LOOKUP(2,1/(('Game Log Season 3'!$C$3:$C$1000="Mateo")*('Game Log Season 3'!$D$3:$D$1000=A36)*('Game Log Season 3'!$X$3:$X$1000&lt;&gt;"")),'Game Log Season 3'!$X$3:$X$1000), D36)</f>
        <v>3</v>
      </c>
      <c r="C36" s="46"/>
      <c r="D36" s="49" t="n">
        <v>3</v>
      </c>
      <c r="E36" s="47" t="s">
        <v>141</v>
      </c>
    </row>
    <row r="37" customFormat="false" ht="14.25" hidden="false" customHeight="false" outlineLevel="0" collapsed="false">
      <c r="A37" s="49" t="s">
        <v>93</v>
      </c>
      <c r="B37" s="49" t="n">
        <f aca="false">IFERROR(LOOKUP(2,1/(('Game Log Season 3'!$C$3:$C$1000="Mateo")*('Game Log Season 3'!$D$3:$D$1000=A37)*('Game Log Season 3'!$X$3:$X$1000&lt;&gt;"")),'Game Log Season 3'!$X$3:$X$1000), D37)</f>
        <v>2</v>
      </c>
      <c r="C37" s="46"/>
      <c r="D37" s="49" t="n">
        <v>2</v>
      </c>
      <c r="E37" s="47" t="s">
        <v>142</v>
      </c>
    </row>
    <row r="38" customFormat="false" ht="14.25" hidden="false" customHeight="false" outlineLevel="0" collapsed="false">
      <c r="A38" s="49" t="s">
        <v>143</v>
      </c>
      <c r="B38" s="49" t="n">
        <f aca="false">IFERROR(LOOKUP(2,1/(('Game Log Season 3'!$C$3:$C$1000="Mateo")*('Game Log Season 3'!$D$3:$D$1000=A38)*('Game Log Season 3'!$X$3:$X$1000&lt;&gt;"")),'Game Log Season 3'!$X$3:$X$1000), D38)</f>
        <v>3.9</v>
      </c>
      <c r="C38" s="46"/>
      <c r="D38" s="49" t="n">
        <v>3.9</v>
      </c>
      <c r="E38" s="47" t="s">
        <v>144</v>
      </c>
    </row>
    <row r="39" customFormat="false" ht="14.25" hidden="false" customHeight="false" outlineLevel="0" collapsed="false">
      <c r="A39" s="49" t="s">
        <v>145</v>
      </c>
      <c r="B39" s="49" t="n">
        <f aca="false">IFERROR(LOOKUP(2,1/(('Game Log Season 3'!$C$3:$C$1000="Mateo")*('Game Log Season 3'!$D$3:$D$1000=A39)*('Game Log Season 3'!$X$3:$X$1000&lt;&gt;"")),'Game Log Season 3'!$X$3:$X$1000), D39)</f>
        <v>3.9</v>
      </c>
      <c r="C39" s="46"/>
      <c r="D39" s="49" t="n">
        <v>3.9</v>
      </c>
      <c r="E39" s="47" t="s">
        <v>146</v>
      </c>
    </row>
    <row r="40" customFormat="false" ht="14.25" hidden="false" customHeight="false" outlineLevel="0" collapsed="false">
      <c r="A40" s="47" t="s">
        <v>32</v>
      </c>
      <c r="B40" s="48" t="n">
        <f aca="false">AVERAGE(B41:B54)</f>
        <v>3.33502182539683</v>
      </c>
      <c r="C40" s="46"/>
    </row>
    <row r="41" customFormat="false" ht="14.25" hidden="false" customHeight="false" outlineLevel="0" collapsed="false">
      <c r="A41" s="49" t="s">
        <v>36</v>
      </c>
      <c r="B41" s="49" t="n">
        <f aca="false">IFERROR(LOOKUP(2,1/(('Game Log Season 3'!$C$3:$C$1000="Ryan")*('Game Log Season 3'!$D$3:$D$1000=A41)*('Game Log Season 3'!$X$3:$X$1000&lt;&gt;"")),'Game Log Season 3'!$X$3:$X$1000), D41)</f>
        <v>3.5</v>
      </c>
      <c r="C41" s="46"/>
      <c r="D41" s="49" t="n">
        <v>3.5</v>
      </c>
      <c r="E41" s="47" t="s">
        <v>147</v>
      </c>
    </row>
    <row r="42" customFormat="false" ht="14.25" hidden="false" customHeight="false" outlineLevel="0" collapsed="false">
      <c r="A42" s="49" t="s">
        <v>62</v>
      </c>
      <c r="B42" s="49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6"/>
      <c r="D42" s="49" t="n">
        <v>3.4</v>
      </c>
      <c r="E42" s="47" t="s">
        <v>148</v>
      </c>
    </row>
    <row r="43" customFormat="false" ht="14.25" hidden="false" customHeight="false" outlineLevel="0" collapsed="false">
      <c r="A43" s="49" t="s">
        <v>33</v>
      </c>
      <c r="B43" s="49" t="n">
        <f aca="false">IFERROR(LOOKUP(2,1/(('Game Log Season 3'!$C$3:$C$1000="Ryan")*('Game Log Season 3'!$D$3:$D$1000=A43)*('Game Log Season 3'!$X$3:$X$1000&lt;&gt;"")),'Game Log Season 3'!$X$3:$X$1000), D43)</f>
        <v>3.7</v>
      </c>
      <c r="C43" s="46"/>
      <c r="D43" s="49" t="n">
        <v>3.7</v>
      </c>
      <c r="E43" s="47" t="s">
        <v>149</v>
      </c>
    </row>
    <row r="44" customFormat="false" ht="14.25" hidden="false" customHeight="false" outlineLevel="0" collapsed="false">
      <c r="A44" s="49" t="s">
        <v>61</v>
      </c>
      <c r="B44" s="49" t="n">
        <f aca="false">IFERROR(LOOKUP(2,1/(('Game Log Season 3'!$C$3:$C$1000="Ryan")*('Game Log Season 3'!$D$3:$D$1000=A44)*('Game Log Season 3'!$X$3:$X$1000&lt;&gt;"")),'Game Log Season 3'!$X$3:$X$1000), D44)</f>
        <v>2.6</v>
      </c>
      <c r="C44" s="46"/>
      <c r="D44" s="49" t="n">
        <v>2.6</v>
      </c>
      <c r="E44" s="47" t="s">
        <v>150</v>
      </c>
    </row>
    <row r="45" customFormat="false" ht="14.25" hidden="false" customHeight="false" outlineLevel="0" collapsed="false">
      <c r="A45" s="49" t="s">
        <v>41</v>
      </c>
      <c r="B45" s="49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6"/>
      <c r="D45" s="49" t="n">
        <v>3.8</v>
      </c>
      <c r="E45" s="47" t="s">
        <v>151</v>
      </c>
    </row>
    <row r="46" customFormat="false" ht="14.25" hidden="false" customHeight="false" outlineLevel="0" collapsed="false">
      <c r="A46" s="49" t="s">
        <v>79</v>
      </c>
      <c r="B46" s="49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6"/>
      <c r="D46" s="49" t="n">
        <v>2.6</v>
      </c>
      <c r="E46" s="47" t="s">
        <v>152</v>
      </c>
    </row>
    <row r="47" customFormat="false" ht="14.25" hidden="false" customHeight="false" outlineLevel="0" collapsed="false">
      <c r="A47" s="49" t="s">
        <v>54</v>
      </c>
      <c r="B47" s="49" t="n">
        <f aca="false">IFERROR(LOOKUP(2,1/(('Game Log Season 3'!$C$3:$C$1000="Ryan")*('Game Log Season 3'!$D$3:$D$1000=A47)*('Game Log Season 3'!$X$3:$X$1000&lt;&gt;"")),'Game Log Season 3'!$X$3:$X$1000), D47)</f>
        <v>3.23902777777778</v>
      </c>
      <c r="C47" s="46"/>
      <c r="D47" s="49" t="n">
        <v>3.6</v>
      </c>
      <c r="E47" s="47" t="s">
        <v>153</v>
      </c>
    </row>
    <row r="48" customFormat="false" ht="14.25" hidden="false" customHeight="false" outlineLevel="0" collapsed="false">
      <c r="A48" s="49" t="s">
        <v>87</v>
      </c>
      <c r="B48" s="49" t="n">
        <f aca="false">IFERROR(LOOKUP(2,1/(('Game Log Season 3'!$C$3:$C$1000="Ryan")*('Game Log Season 3'!$D$3:$D$1000=A48)*('Game Log Season 3'!$X$3:$X$1000&lt;&gt;"")),'Game Log Season 3'!$X$3:$X$1000), D48)</f>
        <v>2.6</v>
      </c>
      <c r="C48" s="46"/>
      <c r="D48" s="49" t="n">
        <v>2.6</v>
      </c>
      <c r="E48" s="47" t="s">
        <v>154</v>
      </c>
    </row>
    <row r="49" customFormat="false" ht="14.25" hidden="false" customHeight="false" outlineLevel="0" collapsed="false">
      <c r="A49" s="49" t="s">
        <v>89</v>
      </c>
      <c r="B49" s="49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6"/>
      <c r="D49" s="49" t="n">
        <v>3.6</v>
      </c>
    </row>
    <row r="50" customFormat="false" ht="14.25" hidden="false" customHeight="false" outlineLevel="0" collapsed="false">
      <c r="A50" s="49" t="s">
        <v>94</v>
      </c>
      <c r="B50" s="49" t="n">
        <f aca="false">IFERROR(LOOKUP(2,1/(('Game Log Season 3'!$C$3:$C$1000="Ryan")*('Game Log Season 3'!$D$3:$D$1000=A50)*('Game Log Season 3'!$X$3:$X$1000&lt;&gt;"")),'Game Log Season 3'!$X$3:$X$1000), D50)</f>
        <v>2.94083333333333</v>
      </c>
      <c r="C50" s="46"/>
      <c r="D50" s="49" t="n">
        <v>2.9</v>
      </c>
      <c r="E50" s="47" t="s">
        <v>155</v>
      </c>
    </row>
    <row r="51" customFormat="false" ht="14.25" hidden="false" customHeight="false" outlineLevel="0" collapsed="false">
      <c r="A51" s="49" t="s">
        <v>97</v>
      </c>
      <c r="B51" s="49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6"/>
      <c r="D51" s="49" t="n">
        <v>3.9</v>
      </c>
      <c r="E51" s="47" t="s">
        <v>156</v>
      </c>
    </row>
    <row r="52" customFormat="false" ht="14.25" hidden="false" customHeight="false" outlineLevel="0" collapsed="false">
      <c r="A52" s="49" t="s">
        <v>157</v>
      </c>
      <c r="B52" s="49" t="n">
        <f aca="false">IFERROR(LOOKUP(2,1/(('Game Log Season 3'!$C$3:$C$1000="Ryan")*('Game Log Season 3'!$D$3:$D$1000=A52)*('Game Log Season 3'!$X$3:$X$1000&lt;&gt;"")),'Game Log Season 3'!$X$3:$X$1000), D52)</f>
        <v>3.7</v>
      </c>
      <c r="C52" s="46"/>
      <c r="D52" s="49" t="n">
        <v>3.7</v>
      </c>
      <c r="E52" s="47" t="s">
        <v>158</v>
      </c>
    </row>
    <row r="53" customFormat="false" ht="14.25" hidden="false" customHeight="false" outlineLevel="0" collapsed="false">
      <c r="A53" s="49" t="s">
        <v>43</v>
      </c>
      <c r="B53" s="49" t="n">
        <f aca="false">IFERROR(LOOKUP(2,1/(('Game Log Season 3'!$C$3:$C$1000="Ryan")*('Game Log Season 3'!$D$3:$D$1000=A53)*('Game Log Season 3'!$X$3:$X$1000&lt;&gt;"")),'Game Log Season 3'!$X$3:$X$1000), D53)</f>
        <v>3.2</v>
      </c>
      <c r="C53" s="46"/>
      <c r="D53" s="49" t="n">
        <v>3.2</v>
      </c>
      <c r="E53" s="47" t="s">
        <v>159</v>
      </c>
    </row>
    <row r="54" customFormat="false" ht="14.25" hidden="false" customHeight="false" outlineLevel="0" collapsed="false">
      <c r="A54" s="49" t="s">
        <v>160</v>
      </c>
      <c r="B54" s="49" t="n">
        <f aca="false">IFERROR(LOOKUP(2,1/(('Game Log Season 3'!$C$3:$C$1000="Ryan")*('Game Log Season 3'!$D$3:$D$1000=A54)*('Game Log Season 3'!$X$3:$X$1000&lt;&gt;"")),'Game Log Season 3'!$X$3:$X$1000), D54)</f>
        <v>3.9</v>
      </c>
      <c r="C54" s="46"/>
      <c r="D54" s="49" t="n">
        <v>3.9</v>
      </c>
      <c r="E54" s="47" t="s">
        <v>161</v>
      </c>
    </row>
    <row r="55" customFormat="false" ht="14.25" hidden="false" customHeight="false" outlineLevel="0" collapsed="false">
      <c r="A55" s="47" t="s">
        <v>70</v>
      </c>
      <c r="B55" s="48" t="n">
        <f aca="false">AVERAGE(B56:B60)</f>
        <v>3.2865</v>
      </c>
      <c r="C55" s="46"/>
    </row>
    <row r="56" customFormat="false" ht="14.25" hidden="false" customHeight="false" outlineLevel="0" collapsed="false">
      <c r="A56" s="49" t="s">
        <v>71</v>
      </c>
      <c r="B56" s="49" t="n">
        <f aca="false">IFERROR(LOOKUP(2,1/(('Game Log Season 3'!$C$3:$C$1000="Kristy")*('Game Log Season 3'!$D$3:$D$1000=A56)*('Game Log Season 3'!$X$3:$X$1000&lt;&gt;"")),'Game Log Season 3'!$X$3:$X$1000), D56)</f>
        <v>3.6</v>
      </c>
      <c r="C56" s="46" t="s">
        <v>132</v>
      </c>
      <c r="D56" s="49" t="n">
        <v>3.6</v>
      </c>
    </row>
    <row r="57" customFormat="false" ht="14.25" hidden="false" customHeight="false" outlineLevel="0" collapsed="false">
      <c r="A57" s="49" t="s">
        <v>57</v>
      </c>
      <c r="B57" s="49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6" t="s">
        <v>132</v>
      </c>
      <c r="D57" s="49" t="n">
        <v>3.3</v>
      </c>
    </row>
    <row r="58" customFormat="false" ht="14.25" hidden="false" customHeight="false" outlineLevel="0" collapsed="false">
      <c r="A58" s="49" t="s">
        <v>78</v>
      </c>
      <c r="B58" s="49" t="n">
        <f aca="false">IFERROR(LOOKUP(2,1/(('Game Log Season 3'!$C$3:$C$1000="Kristy")*('Game Log Season 3'!$D$3:$D$1000=A58)*('Game Log Season 3'!$X$3:$X$1000&lt;&gt;"")),'Game Log Season 3'!$X$3:$X$1000), D58)</f>
        <v>3.2</v>
      </c>
      <c r="C58" s="46"/>
      <c r="D58" s="49" t="n">
        <v>3.2</v>
      </c>
    </row>
    <row r="59" customFormat="false" ht="28.35" hidden="false" customHeight="false" outlineLevel="0" collapsed="false">
      <c r="A59" s="49" t="s">
        <v>85</v>
      </c>
      <c r="B59" s="49" t="n">
        <f aca="false">IFERROR(LOOKUP(2,1/(('Game Log Season 3'!$C$3:$C$1000="Kristy")*('Game Log Season 3'!$D$3:$D$1000=A59)*('Game Log Season 3'!$X$3:$X$1000&lt;&gt;"")),'Game Log Season 3'!$X$3:$X$1000), D59)</f>
        <v>3.9</v>
      </c>
      <c r="C59" s="46" t="s">
        <v>138</v>
      </c>
      <c r="D59" s="49" t="n">
        <v>3.9</v>
      </c>
    </row>
    <row r="60" customFormat="false" ht="14.25" hidden="false" customHeight="false" outlineLevel="0" collapsed="false">
      <c r="A60" s="49" t="s">
        <v>93</v>
      </c>
      <c r="B60" s="49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6"/>
      <c r="D60" s="49" t="n">
        <v>2.4</v>
      </c>
    </row>
    <row r="61" customFormat="false" ht="14.25" hidden="false" customHeight="false" outlineLevel="0" collapsed="false">
      <c r="A61" s="47" t="s">
        <v>38</v>
      </c>
      <c r="B61" s="48" t="n">
        <f aca="false">AVERAGE(B62:B66)</f>
        <v>3.42807</v>
      </c>
      <c r="C61" s="46"/>
    </row>
    <row r="62" customFormat="false" ht="14.25" hidden="false" customHeight="false" outlineLevel="0" collapsed="false">
      <c r="A62" s="49" t="s">
        <v>49</v>
      </c>
      <c r="B62" s="49" t="n">
        <f aca="false">IFERROR(LOOKUP(2,1/(('Game Log Season 3'!$C$3:$C$1000="Joseph")*('Game Log Season 3'!$D$3:$D$1000=A62)*('Game Log Season 3'!$X$3:$X$1000&lt;&gt;"")),'Game Log Season 3'!$X$3:$X$1000), D62)</f>
        <v>3.6</v>
      </c>
      <c r="C62" s="46"/>
      <c r="D62" s="49" t="n">
        <v>3.6</v>
      </c>
    </row>
    <row r="63" customFormat="false" ht="14.25" hidden="false" customHeight="false" outlineLevel="0" collapsed="false">
      <c r="A63" s="49" t="s">
        <v>76</v>
      </c>
      <c r="B63" s="49" t="n">
        <f aca="false">IFERROR(LOOKUP(2,1/(('Game Log Season 3'!$C$3:$C$1000="Joseph")*('Game Log Season 3'!$D$3:$D$1000=A63)*('Game Log Season 3'!$X$3:$X$1000&lt;&gt;"")),'Game Log Season 3'!$X$3:$X$1000), D63)</f>
        <v>3.8</v>
      </c>
      <c r="C63" s="46"/>
      <c r="D63" s="49" t="n">
        <v>3.8</v>
      </c>
    </row>
    <row r="64" customFormat="false" ht="14.25" hidden="false" customHeight="false" outlineLevel="0" collapsed="false">
      <c r="A64" s="49" t="s">
        <v>77</v>
      </c>
      <c r="B64" s="49" t="n">
        <f aca="false">IFERROR(LOOKUP(2,1/(('Game Log Season 3'!$C$3:$C$1000="Joseph")*('Game Log Season 3'!$D$3:$D$1000=A64)*('Game Log Season 3'!$X$3:$X$1000&lt;&gt;"")),'Game Log Season 3'!$X$3:$X$1000), D64)</f>
        <v>2.7</v>
      </c>
      <c r="C64" s="46"/>
      <c r="D64" s="49" t="n">
        <v>2.7</v>
      </c>
    </row>
    <row r="65" customFormat="false" ht="14.25" hidden="false" customHeight="false" outlineLevel="0" collapsed="false">
      <c r="A65" s="49" t="s">
        <v>64</v>
      </c>
      <c r="B65" s="49" t="n">
        <f aca="false">IFERROR(LOOKUP(2,1/(('Game Log Season 3'!$C$3:$C$1000="Joseph")*('Game Log Season 3'!$D$3:$D$1000=A65)*('Game Log Season 3'!$X$3:$X$1000&lt;&gt;"")),'Game Log Season 3'!$X$3:$X$1000), D65)</f>
        <v>3.3</v>
      </c>
      <c r="C65" s="46"/>
      <c r="D65" s="49" t="n">
        <v>3.3</v>
      </c>
    </row>
    <row r="66" customFormat="false" ht="14.25" hidden="false" customHeight="false" outlineLevel="0" collapsed="false">
      <c r="A66" s="49" t="s">
        <v>63</v>
      </c>
      <c r="B66" s="49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6"/>
      <c r="D66" s="49" t="n">
        <v>3.7</v>
      </c>
    </row>
    <row r="67" customFormat="false" ht="14.25" hidden="false" customHeight="false" outlineLevel="0" collapsed="false">
      <c r="A67" s="47" t="s">
        <v>59</v>
      </c>
      <c r="B67" s="48" t="n">
        <f aca="false">AVERAGE(B68:B69)</f>
        <v>3.05</v>
      </c>
      <c r="C67" s="46"/>
    </row>
    <row r="68" customFormat="false" ht="14.25" hidden="false" customHeight="false" outlineLevel="0" collapsed="false">
      <c r="A68" s="49" t="s">
        <v>33</v>
      </c>
      <c r="B68" s="49" t="n">
        <f aca="false">IFERROR(LOOKUP(2,1/(('Game Log Season 3'!$C$3:$C$1000="Red")*('Game Log Season 3'!$D$3:$D$1000=A68)*('Game Log Season 3'!$X$3:$X$1000&lt;&gt;"")),'Game Log Season 3'!$X$3:$X$1000), D68)</f>
        <v>2.7</v>
      </c>
      <c r="C68" s="46"/>
      <c r="D68" s="49" t="n">
        <v>2.7</v>
      </c>
      <c r="E68" s="47" t="s">
        <v>162</v>
      </c>
    </row>
    <row r="69" customFormat="false" ht="14.25" hidden="false" customHeight="false" outlineLevel="0" collapsed="false">
      <c r="A69" s="49" t="s">
        <v>69</v>
      </c>
      <c r="B69" s="49" t="n">
        <f aca="false">IFERROR(LOOKUP(2,1/(('Game Log Season 3'!$C$3:$C$1000="Red")*('Game Log Season 3'!$D$3:$D$1000=A69)*('Game Log Season 3'!$X$3:$X$1000&lt;&gt;"")),'Game Log Season 3'!$X$3:$X$1000), D69)</f>
        <v>3.4</v>
      </c>
      <c r="C69" s="46"/>
      <c r="D69" s="49" t="n">
        <v>3.4</v>
      </c>
      <c r="E69" s="47" t="s">
        <v>163</v>
      </c>
    </row>
    <row r="70" customFormat="false" ht="14.25" hidden="false" customHeight="false" outlineLevel="0" collapsed="false">
      <c r="A70" s="49" t="s">
        <v>84</v>
      </c>
      <c r="B70" s="50" t="n">
        <f aca="false">IFERROR(LOOKUP(2,1/(('Game Log Season 3'!$C$3:$C$1000="Red")*('Game Log Season 3'!$D$3:$D$1000=A70)*('Game Log Season 3'!$X$3:$X$1000&lt;&gt;"")),'Game Log Season 3'!$X$3:$X$1000), D70)</f>
        <v>1</v>
      </c>
      <c r="C70" s="46"/>
      <c r="D70" s="50" t="n">
        <v>1</v>
      </c>
      <c r="E70" s="47" t="s">
        <v>164</v>
      </c>
    </row>
    <row r="71" customFormat="false" ht="14.25" hidden="false" customHeight="false" outlineLevel="0" collapsed="false">
      <c r="A71" s="47" t="s">
        <v>51</v>
      </c>
      <c r="B71" s="48" t="n">
        <f aca="false">AVERAGE(B72:B73)</f>
        <v>2.25194444444444</v>
      </c>
      <c r="C71" s="46"/>
    </row>
    <row r="72" customFormat="false" ht="14.25" hidden="false" customHeight="false" outlineLevel="0" collapsed="false">
      <c r="A72" s="49" t="s">
        <v>52</v>
      </c>
      <c r="B72" s="49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6"/>
      <c r="D72" s="49" t="n">
        <v>2.5</v>
      </c>
    </row>
    <row r="73" customFormat="false" ht="14.25" hidden="false" customHeight="false" outlineLevel="0" collapsed="false">
      <c r="A73" s="49" t="s">
        <v>86</v>
      </c>
      <c r="B73" s="49" t="n">
        <f aca="false">IFERROR(LOOKUP(2,1/(('Game Log Season 3'!$C$3:$C$1000="Michelle")*('Game Log Season 3'!$D$3:$D$1000=A73)*('Game Log Season 3'!$X$3:$X$1000&lt;&gt;"")),'Game Log Season 3'!$X$3:$X$1000), D73)</f>
        <v>2.2</v>
      </c>
      <c r="C73" s="46"/>
      <c r="D73" s="49" t="n">
        <v>2.2</v>
      </c>
      <c r="E73" s="47" t="s">
        <v>165</v>
      </c>
    </row>
    <row r="74" customFormat="false" ht="14.25" hidden="false" customHeight="false" outlineLevel="0" collapsed="false">
      <c r="A74" s="49" t="s">
        <v>96</v>
      </c>
      <c r="B74" s="49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9" t="n">
        <v>2.4</v>
      </c>
    </row>
    <row r="75" customFormat="false" ht="14.25" hidden="false" customHeight="false" outlineLevel="0" collapsed="false">
      <c r="A75" s="47" t="s">
        <v>166</v>
      </c>
      <c r="B75" s="48" t="n">
        <f aca="false">AVERAGE(B76:B87)</f>
        <v>3.88333333333333</v>
      </c>
      <c r="C75" s="46"/>
    </row>
    <row r="76" customFormat="false" ht="14.25" hidden="false" customHeight="false" outlineLevel="0" collapsed="false">
      <c r="A76" s="49" t="s">
        <v>37</v>
      </c>
      <c r="B76" s="49" t="n">
        <f aca="false">IFERROR(LOOKUP(2,1/(('Game Log Season 3'!$C$3:$C$1000="Hiccup_The_Hero")*('Game Log Season 3'!$D$3:$D$1000=A76)*('Game Log Season 3'!$X$3:$X$1000&lt;&gt;"")),'Game Log Season 3'!$X$3:$X$1000), D76)</f>
        <v>3.9</v>
      </c>
      <c r="C76" s="46"/>
      <c r="D76" s="49" t="n">
        <v>3.9</v>
      </c>
      <c r="E76" s="47" t="s">
        <v>167</v>
      </c>
    </row>
    <row r="77" customFormat="false" ht="14.25" hidden="false" customHeight="false" outlineLevel="0" collapsed="false">
      <c r="A77" s="49" t="s">
        <v>48</v>
      </c>
      <c r="B77" s="49" t="n">
        <f aca="false">IFERROR(LOOKUP(2,1/(('Game Log Season 3'!$C$3:$C$1000="Hiccup_The_Hero")*('Game Log Season 3'!$D$3:$D$1000=A77)*('Game Log Season 3'!$X$3:$X$1000&lt;&gt;"")),'Game Log Season 3'!$X$3:$X$1000), D77)</f>
        <v>3.9</v>
      </c>
      <c r="C77" s="46"/>
      <c r="D77" s="49" t="n">
        <v>3.9</v>
      </c>
      <c r="E77" s="47" t="s">
        <v>168</v>
      </c>
    </row>
    <row r="78" customFormat="false" ht="14.25" hidden="false" customHeight="false" outlineLevel="0" collapsed="false">
      <c r="A78" s="49" t="s">
        <v>169</v>
      </c>
      <c r="B78" s="49" t="n">
        <f aca="false">IFERROR(LOOKUP(2,1/(('Game Log Season 3'!$C$3:$C$1000="Hiccup_The_Hero")*('Game Log Season 3'!$D$3:$D$1000=A78)*('Game Log Season 3'!$X$3:$X$1000&lt;&gt;"")),'Game Log Season 3'!$X$3:$X$1000), D78)</f>
        <v>3.9</v>
      </c>
      <c r="C78" s="46"/>
      <c r="D78" s="49" t="n">
        <v>3.9</v>
      </c>
      <c r="E78" s="47" t="s">
        <v>170</v>
      </c>
    </row>
    <row r="79" customFormat="false" ht="14.25" hidden="false" customHeight="false" outlineLevel="0" collapsed="false">
      <c r="A79" s="49" t="s">
        <v>119</v>
      </c>
      <c r="B79" s="49" t="n">
        <f aca="false">IFERROR(LOOKUP(2,1/(('Game Log Season 3'!$C$3:$C$1000="Hiccup_The_Hero")*('Game Log Season 3'!$D$3:$D$1000=A79)*('Game Log Season 3'!$X$3:$X$1000&lt;&gt;"")),'Game Log Season 3'!$X$3:$X$1000), D79)</f>
        <v>3.9</v>
      </c>
      <c r="C79" s="46"/>
      <c r="D79" s="49" t="n">
        <v>3.9</v>
      </c>
      <c r="E79" s="47" t="s">
        <v>171</v>
      </c>
    </row>
    <row r="80" customFormat="false" ht="14.25" hidden="false" customHeight="false" outlineLevel="0" collapsed="false">
      <c r="A80" s="49" t="s">
        <v>68</v>
      </c>
      <c r="B80" s="49" t="n">
        <f aca="false">IFERROR(LOOKUP(2,1/(('Game Log Season 3'!$C$3:$C$1000="Hiccup_The_Hero")*('Game Log Season 3'!$D$3:$D$1000=A80)*('Game Log Season 3'!$X$3:$X$1000&lt;&gt;"")),'Game Log Season 3'!$X$3:$X$1000), D80)</f>
        <v>3.9</v>
      </c>
      <c r="C80" s="46"/>
      <c r="D80" s="49" t="n">
        <v>3.9</v>
      </c>
      <c r="E80" s="47" t="s">
        <v>172</v>
      </c>
    </row>
    <row r="81" customFormat="false" ht="14.25" hidden="false" customHeight="false" outlineLevel="0" collapsed="false">
      <c r="A81" s="49" t="s">
        <v>91</v>
      </c>
      <c r="B81" s="49" t="n">
        <f aca="false">IFERROR(LOOKUP(2,1/(('Game Log Season 3'!$C$3:$C$1000="Hiccup_The_Hero")*('Game Log Season 3'!$D$3:$D$1000=A81)*('Game Log Season 3'!$X$3:$X$1000&lt;&gt;"")),'Game Log Season 3'!$X$3:$X$1000), D81)</f>
        <v>3.9</v>
      </c>
      <c r="C81" s="46"/>
      <c r="D81" s="49" t="n">
        <v>3.9</v>
      </c>
      <c r="E81" s="47" t="s">
        <v>173</v>
      </c>
    </row>
    <row r="82" customFormat="false" ht="14.25" hidden="false" customHeight="false" outlineLevel="0" collapsed="false">
      <c r="A82" s="49" t="s">
        <v>82</v>
      </c>
      <c r="B82" s="49" t="n">
        <f aca="false">IFERROR(LOOKUP(2,1/(('Game Log Season 3'!$C$3:$C$1000="Hiccup_The_Hero")*('Game Log Season 3'!$D$3:$D$1000=A82)*('Game Log Season 3'!$X$3:$X$1000&lt;&gt;"")),'Game Log Season 3'!$X$3:$X$1000), D82)</f>
        <v>3.7</v>
      </c>
      <c r="C82" s="46"/>
      <c r="D82" s="49" t="n">
        <v>3.7</v>
      </c>
      <c r="E82" s="47" t="s">
        <v>174</v>
      </c>
    </row>
    <row r="83" customFormat="false" ht="14.25" hidden="false" customHeight="false" outlineLevel="0" collapsed="false">
      <c r="A83" s="49" t="s">
        <v>121</v>
      </c>
      <c r="B83" s="49" t="n">
        <f aca="false">IFERROR(LOOKUP(2,1/(('Game Log Season 3'!$C$3:$C$1000="Hiccup_The_Hero")*('Game Log Season 3'!$D$3:$D$1000=A83)*('Game Log Season 3'!$X$3:$X$1000&lt;&gt;"")),'Game Log Season 3'!$X$3:$X$1000), D83)</f>
        <v>3.9</v>
      </c>
      <c r="C83" s="46"/>
      <c r="D83" s="49" t="n">
        <v>3.9</v>
      </c>
      <c r="E83" s="47" t="s">
        <v>175</v>
      </c>
    </row>
    <row r="84" customFormat="false" ht="14.25" hidden="false" customHeight="false" outlineLevel="0" collapsed="false">
      <c r="A84" s="49" t="s">
        <v>176</v>
      </c>
      <c r="B84" s="49" t="n">
        <f aca="false">IFERROR(LOOKUP(2,1/(('Game Log Season 3'!$C$3:$C$1000="Hiccup_The_Hero")*('Game Log Season 3'!$D$3:$D$1000=A84)*('Game Log Season 3'!$X$3:$X$1000&lt;&gt;"")),'Game Log Season 3'!$X$3:$X$1000), D84)</f>
        <v>3.9</v>
      </c>
      <c r="C84" s="46"/>
      <c r="D84" s="49" t="n">
        <v>3.9</v>
      </c>
      <c r="E84" s="47" t="s">
        <v>177</v>
      </c>
    </row>
    <row r="85" customFormat="false" ht="14.25" hidden="false" customHeight="false" outlineLevel="0" collapsed="false">
      <c r="A85" s="49" t="s">
        <v>123</v>
      </c>
      <c r="B85" s="49" t="n">
        <f aca="false">IFERROR(LOOKUP(2,1/(('Game Log Season 3'!$C$3:$C$1000="Hiccup_The_Hero")*('Game Log Season 3'!$D$3:$D$1000=A85)*('Game Log Season 3'!$X$3:$X$1000&lt;&gt;"")),'Game Log Season 3'!$X$3:$X$1000), D85)</f>
        <v>3.9</v>
      </c>
      <c r="C85" s="46"/>
      <c r="D85" s="49" t="n">
        <v>3.9</v>
      </c>
      <c r="E85" s="47" t="s">
        <v>178</v>
      </c>
    </row>
    <row r="86" customFormat="false" ht="14.25" hidden="false" customHeight="false" outlineLevel="0" collapsed="false">
      <c r="A86" s="49" t="s">
        <v>157</v>
      </c>
      <c r="B86" s="49" t="n">
        <f aca="false">IFERROR(LOOKUP(2,1/(('Game Log Season 3'!$C$3:$C$1000="Hiccup_The_Hero")*('Game Log Season 3'!$D$3:$D$1000=A86)*('Game Log Season 3'!$X$3:$X$1000&lt;&gt;"")),'Game Log Season 3'!$X$3:$X$1000), D86)</f>
        <v>3.9</v>
      </c>
      <c r="C86" s="46"/>
      <c r="D86" s="49" t="n">
        <v>3.9</v>
      </c>
      <c r="E86" s="47" t="s">
        <v>179</v>
      </c>
    </row>
    <row r="87" customFormat="false" ht="14.25" hidden="false" customHeight="false" outlineLevel="0" collapsed="false">
      <c r="A87" s="49" t="s">
        <v>88</v>
      </c>
      <c r="B87" s="49" t="n">
        <f aca="false">IFERROR(LOOKUP(2,1/(('Game Log Season 3'!$C$3:$C$1000="Hiccup_The_Hero")*('Game Log Season 3'!$D$3:$D$1000=A87)*('Game Log Season 3'!$X$3:$X$1000&lt;&gt;"")),'Game Log Season 3'!$X$3:$X$1000), D87)</f>
        <v>3.9</v>
      </c>
      <c r="C87" s="46"/>
      <c r="D87" s="49" t="n">
        <v>3.9</v>
      </c>
      <c r="E87" s="47" t="s">
        <v>180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false" outlineLevel="0" collapsed="false">
      <c r="A1" s="45" t="s">
        <v>181</v>
      </c>
      <c r="B1" s="45" t="s">
        <v>182</v>
      </c>
      <c r="C1" s="45" t="s">
        <v>183</v>
      </c>
      <c r="D1" s="45" t="s">
        <v>184</v>
      </c>
    </row>
    <row r="2" customFormat="false" ht="14.25" hidden="false" customHeight="false" outlineLevel="0" collapsed="false">
      <c r="A2" s="47" t="s">
        <v>26</v>
      </c>
      <c r="B2" s="48" t="n">
        <f aca="false">COUNTIFS('Game Log Season 3'!$C$3:$C$1000,A2)</f>
        <v>7</v>
      </c>
      <c r="C2" s="48" t="n">
        <f aca="false">COUNTIFS('Game Log Season 3'!$C$3:$C$1000,A2,'Game Log Season 3'!$F$3:$F$1000,1)</f>
        <v>2</v>
      </c>
      <c r="D2" s="48" t="n">
        <f aca="false">IFERROR(C2/B2,0)</f>
        <v>0.285714285714286</v>
      </c>
    </row>
    <row r="3" customFormat="false" ht="14.25" hidden="false" customHeight="false" outlineLevel="0" collapsed="false">
      <c r="A3" s="49" t="s">
        <v>45</v>
      </c>
      <c r="B3" s="49" t="n">
        <f aca="false">COUNTIFS('Game Log Season 3'!$C$3:$C$1000,"Becca",'Game Log Season 3'!$D$3:$D$1000,A3)</f>
        <v>3</v>
      </c>
      <c r="C3" s="49" t="n">
        <f aca="false">COUNTIFS('Game Log Season 3'!$C$3:$C$1000,"Becca",'Game Log Season 3'!$D$3:$D$1000,A3,'Game Log Season 3'!$F$3:$F$1000,1)</f>
        <v>1</v>
      </c>
      <c r="D3" s="49" t="n">
        <f aca="false">IFERROR(C3/B3,0)</f>
        <v>0.333333333333333</v>
      </c>
    </row>
    <row r="4" customFormat="false" ht="14.25" hidden="false" customHeight="false" outlineLevel="0" collapsed="false">
      <c r="A4" s="49" t="s">
        <v>27</v>
      </c>
      <c r="B4" s="49" t="n">
        <f aca="false">COUNTIFS('Game Log Season 3'!$C$3:$C$1000,"Becca",'Game Log Season 3'!$D$3:$D$1000,A4)</f>
        <v>0</v>
      </c>
      <c r="C4" s="49" t="n">
        <f aca="false">COUNTIFS('Game Log Season 3'!$C$3:$C$1000,"Becca",'Game Log Season 3'!$D$3:$D$1000,A4,'Game Log Season 3'!$F$3:$F$1000,1)</f>
        <v>0</v>
      </c>
      <c r="D4" s="49" t="n">
        <f aca="false">IFERROR(C4/B4,0)</f>
        <v>0</v>
      </c>
    </row>
    <row r="5" customFormat="false" ht="14.25" hidden="false" customHeight="false" outlineLevel="0" collapsed="false">
      <c r="A5" s="49" t="s">
        <v>75</v>
      </c>
      <c r="B5" s="49" t="n">
        <f aca="false">COUNTIFS('Game Log Season 3'!$C$3:$C$1000,"Becca",'Game Log Season 3'!$D$3:$D$1000,A5)</f>
        <v>3</v>
      </c>
      <c r="C5" s="49" t="n">
        <f aca="false">COUNTIFS('Game Log Season 3'!$C$3:$C$1000,"Becca",'Game Log Season 3'!$D$3:$D$1000,A5,'Game Log Season 3'!$F$3:$F$1000,1)</f>
        <v>1</v>
      </c>
      <c r="D5" s="49" t="n">
        <f aca="false">IFERROR(C5/B5,0)</f>
        <v>0.333333333333333</v>
      </c>
    </row>
    <row r="6" customFormat="false" ht="14.25" hidden="false" customHeight="false" outlineLevel="0" collapsed="false">
      <c r="A6" s="49" t="s">
        <v>95</v>
      </c>
      <c r="B6" s="49" t="n">
        <f aca="false">COUNTIFS('Game Log Season 3'!$C$3:$C$1000,"Becca",'Game Log Season 3'!$D$3:$D$1000,A6)</f>
        <v>1</v>
      </c>
      <c r="C6" s="49" t="n">
        <f aca="false">COUNTIFS('Game Log Season 3'!$C$3:$C$1000,"Becca",'Game Log Season 3'!$D$3:$D$1000,A6,'Game Log Season 3'!$F$3:$F$1000,1)</f>
        <v>0</v>
      </c>
      <c r="D6" s="49" t="n">
        <f aca="false">IFERROR(C6/B6,0)</f>
        <v>0</v>
      </c>
    </row>
    <row r="7" customFormat="false" ht="14.25" hidden="false" customHeight="false" outlineLevel="0" collapsed="false">
      <c r="A7" s="49" t="s">
        <v>106</v>
      </c>
      <c r="B7" s="49" t="n">
        <f aca="false">COUNTIFS('Game Log Season 3'!$C$3:$C$1000,"Becca",'Game Log Season 3'!$D$3:$D$1000,A7)</f>
        <v>0</v>
      </c>
      <c r="C7" s="49" t="n">
        <f aca="false">COUNTIFS('Game Log Season 3'!$C$3:$C$1000,"Becca",'Game Log Season 3'!$D$3:$D$1000,A7,'Game Log Season 3'!$F$3:$F$1000,1)</f>
        <v>0</v>
      </c>
      <c r="D7" s="49" t="n">
        <f aca="false">IFERROR(C7/B7,0)</f>
        <v>0</v>
      </c>
    </row>
    <row r="8" customFormat="false" ht="14.25" hidden="false" customHeight="false" outlineLevel="0" collapsed="false">
      <c r="A8" s="47" t="s">
        <v>28</v>
      </c>
      <c r="B8" s="48" t="n">
        <f aca="false">COUNTIFS('Game Log Season 3'!$C$3:$C$1000,A8)</f>
        <v>14</v>
      </c>
      <c r="C8" s="48" t="n">
        <f aca="false">COUNTIFS('Game Log Season 3'!$C$3:$C$1000,A8,'Game Log Season 3'!$F$3:$F$1000,1)</f>
        <v>4</v>
      </c>
      <c r="D8" s="48" t="n">
        <f aca="false">IFERROR(C8/B8,0)</f>
        <v>0.285714285714286</v>
      </c>
    </row>
    <row r="9" customFormat="false" ht="14.25" hidden="false" customHeight="false" outlineLevel="0" collapsed="false">
      <c r="A9" s="49" t="s">
        <v>68</v>
      </c>
      <c r="B9" s="49" t="n">
        <f aca="false">COUNTIFS('Game Log Season 3'!$C$3:$C$1000,"Manny",'Game Log Season 3'!$D$3:$D$1000,A9)</f>
        <v>4</v>
      </c>
      <c r="C9" s="49" t="n">
        <f aca="false">COUNTIFS('Game Log Season 3'!$C$3:$C$1000,"Manny",'Game Log Season 3'!$D$3:$D$1000,A9,'Game Log Season 3'!$F$3:$F$1000,1)</f>
        <v>2</v>
      </c>
      <c r="D9" s="49" t="n">
        <f aca="false">IFERROR(C9/B9,0)</f>
        <v>0.5</v>
      </c>
    </row>
    <row r="10" customFormat="false" ht="14.25" hidden="false" customHeight="false" outlineLevel="0" collapsed="false">
      <c r="A10" s="49" t="s">
        <v>42</v>
      </c>
      <c r="B10" s="49" t="n">
        <f aca="false">COUNTIFS('Game Log Season 3'!$C$3:$C$1000,"Manny",'Game Log Season 3'!$D$3:$D$1000,A10)</f>
        <v>0</v>
      </c>
      <c r="C10" s="49" t="n">
        <f aca="false">COUNTIFS('Game Log Season 3'!$C$3:$C$1000,"Manny",'Game Log Season 3'!$D$3:$D$1000,A10,'Game Log Season 3'!$F$3:$F$1000,1)</f>
        <v>0</v>
      </c>
      <c r="D10" s="49" t="n">
        <f aca="false">IFERROR(C10/B10,0)</f>
        <v>0</v>
      </c>
    </row>
    <row r="11" customFormat="false" ht="14.25" hidden="false" customHeight="false" outlineLevel="0" collapsed="false">
      <c r="A11" s="49" t="s">
        <v>67</v>
      </c>
      <c r="B11" s="49" t="n">
        <f aca="false">COUNTIFS('Game Log Season 3'!$C$3:$C$1000,"Manny",'Game Log Season 3'!$D$3:$D$1000,A11)</f>
        <v>0</v>
      </c>
      <c r="C11" s="49" t="n">
        <f aca="false">COUNTIFS('Game Log Season 3'!$C$3:$C$1000,"Manny",'Game Log Season 3'!$D$3:$D$1000,A11,'Game Log Season 3'!$F$3:$F$1000,1)</f>
        <v>0</v>
      </c>
      <c r="D11" s="49" t="n">
        <f aca="false">IFERROR(C11/B11,0)</f>
        <v>0</v>
      </c>
    </row>
    <row r="12" customFormat="false" ht="14.25" hidden="false" customHeight="false" outlineLevel="0" collapsed="false">
      <c r="A12" s="49" t="s">
        <v>82</v>
      </c>
      <c r="B12" s="49" t="n">
        <f aca="false">COUNTIFS('Game Log Season 3'!$C$3:$C$1000,"Manny",'Game Log Season 3'!$D$3:$D$1000,A12)</f>
        <v>0</v>
      </c>
      <c r="C12" s="49" t="n">
        <f aca="false">COUNTIFS('Game Log Season 3'!$C$3:$C$1000,"Manny",'Game Log Season 3'!$D$3:$D$1000,A12,'Game Log Season 3'!$F$3:$F$1000,1)</f>
        <v>0</v>
      </c>
      <c r="D12" s="49" t="n">
        <f aca="false">IFERROR(C12/B12,0)</f>
        <v>0</v>
      </c>
    </row>
    <row r="13" customFormat="false" ht="14.25" hidden="false" customHeight="false" outlineLevel="0" collapsed="false">
      <c r="A13" s="49" t="s">
        <v>44</v>
      </c>
      <c r="B13" s="49" t="n">
        <f aca="false">COUNTIFS('Game Log Season 3'!$C$3:$C$1000,"Manny",'Game Log Season 3'!$D$3:$D$1000,A13)</f>
        <v>0</v>
      </c>
      <c r="C13" s="49" t="n">
        <f aca="false">COUNTIFS('Game Log Season 3'!$C$3:$C$1000,"Manny",'Game Log Season 3'!$D$3:$D$1000,A13,'Game Log Season 3'!$F$3:$F$1000,1)</f>
        <v>0</v>
      </c>
      <c r="D13" s="49" t="n">
        <f aca="false">IFERROR(C13/B13,0)</f>
        <v>0</v>
      </c>
    </row>
    <row r="14" customFormat="false" ht="14.25" hidden="false" customHeight="false" outlineLevel="0" collapsed="false">
      <c r="A14" s="49" t="s">
        <v>88</v>
      </c>
      <c r="B14" s="49" t="n">
        <f aca="false">COUNTIFS('Game Log Season 3'!$C$3:$C$1000,"Manny",'Game Log Season 3'!$D$3:$D$1000,A14)</f>
        <v>2</v>
      </c>
      <c r="C14" s="49" t="n">
        <f aca="false">COUNTIFS('Game Log Season 3'!$C$3:$C$1000,"Manny",'Game Log Season 3'!$D$3:$D$1000,A14,'Game Log Season 3'!$F$3:$F$1000,1)</f>
        <v>0</v>
      </c>
      <c r="D14" s="49" t="n">
        <f aca="false">IFERROR(C14/B14,0)</f>
        <v>0</v>
      </c>
    </row>
    <row r="15" customFormat="false" ht="14.25" hidden="false" customHeight="false" outlineLevel="0" collapsed="false">
      <c r="A15" s="49" t="s">
        <v>48</v>
      </c>
      <c r="B15" s="49" t="n">
        <f aca="false">COUNTIFS('Game Log Season 3'!$C$3:$C$1000,"Manny",'Game Log Season 3'!$D$3:$D$1000,A15)</f>
        <v>0</v>
      </c>
      <c r="C15" s="49" t="n">
        <f aca="false">COUNTIFS('Game Log Season 3'!$C$3:$C$1000,"Manny",'Game Log Season 3'!$D$3:$D$1000,A15,'Game Log Season 3'!$F$3:$F$1000,1)</f>
        <v>0</v>
      </c>
      <c r="D15" s="49" t="n">
        <f aca="false">IFERROR(C15/B15,0)</f>
        <v>0</v>
      </c>
    </row>
    <row r="16" customFormat="false" ht="14.25" hidden="false" customHeight="false" outlineLevel="0" collapsed="false">
      <c r="A16" s="49" t="s">
        <v>37</v>
      </c>
      <c r="B16" s="49" t="n">
        <f aca="false">COUNTIFS('Game Log Season 3'!$C$3:$C$1000,"Manny",'Game Log Season 3'!$D$3:$D$1000,A16)</f>
        <v>1</v>
      </c>
      <c r="C16" s="49" t="n">
        <f aca="false">COUNTIFS('Game Log Season 3'!$C$3:$C$1000,"Manny",'Game Log Season 3'!$D$3:$D$1000,A16,'Game Log Season 3'!$F$3:$F$1000,1)</f>
        <v>1</v>
      </c>
      <c r="D16" s="49" t="n">
        <f aca="false">IFERROR(C16/B16,0)</f>
        <v>1</v>
      </c>
    </row>
    <row r="17" customFormat="false" ht="14.25" hidden="false" customHeight="false" outlineLevel="0" collapsed="false">
      <c r="A17" s="49" t="s">
        <v>91</v>
      </c>
      <c r="B17" s="49" t="n">
        <f aca="false">COUNTIFS('Game Log Season 3'!$C$3:$C$1000,"Manny",'Game Log Season 3'!$D$3:$D$1000,A17)</f>
        <v>6</v>
      </c>
      <c r="C17" s="49" t="n">
        <f aca="false">COUNTIFS('Game Log Season 3'!$C$3:$C$1000,"Manny",'Game Log Season 3'!$D$3:$D$1000,A17,'Game Log Season 3'!$F$3:$F$1000,1)</f>
        <v>1</v>
      </c>
      <c r="D17" s="49" t="n">
        <f aca="false">IFERROR(C17/B17,0)</f>
        <v>0.166666666666667</v>
      </c>
    </row>
    <row r="18" customFormat="false" ht="14.25" hidden="false" customHeight="false" outlineLevel="0" collapsed="false">
      <c r="A18" s="49" t="s">
        <v>47</v>
      </c>
      <c r="B18" s="49" t="n">
        <f aca="false">COUNTIFS('Game Log Season 3'!$C$3:$C$1000,"Manny",'Game Log Season 3'!$D$3:$D$1000,A18)</f>
        <v>1</v>
      </c>
      <c r="C18" s="49" t="n">
        <f aca="false">COUNTIFS('Game Log Season 3'!$C$3:$C$1000,"Manny",'Game Log Season 3'!$D$3:$D$1000,A18,'Game Log Season 3'!$F$3:$F$1000,1)</f>
        <v>0</v>
      </c>
      <c r="D18" s="49" t="n">
        <f aca="false">IFERROR(C18/B18,0)</f>
        <v>0</v>
      </c>
    </row>
    <row r="19" customFormat="false" ht="14.25" hidden="false" customHeight="false" outlineLevel="0" collapsed="false">
      <c r="A19" s="49" t="s">
        <v>119</v>
      </c>
      <c r="B19" s="49" t="n">
        <f aca="false">COUNTIFS('Game Log Season 3'!$C$3:$C$1000,"Manny",'Game Log Season 3'!$D$3:$D$1000,A19)</f>
        <v>0</v>
      </c>
      <c r="C19" s="49" t="n">
        <f aca="false">COUNTIFS('Game Log Season 3'!$C$3:$C$1000,"Manny",'Game Log Season 3'!$D$3:$D$1000,A19,'Game Log Season 3'!$F$3:$F$1000,1)</f>
        <v>0</v>
      </c>
      <c r="D19" s="49" t="n">
        <f aca="false">IFERROR(C19/B19,0)</f>
        <v>0</v>
      </c>
    </row>
    <row r="20" customFormat="false" ht="14.25" hidden="false" customHeight="false" outlineLevel="0" collapsed="false">
      <c r="A20" s="49" t="s">
        <v>121</v>
      </c>
      <c r="B20" s="49" t="n">
        <f aca="false">COUNTIFS('Game Log Season 3'!$C$3:$C$1000,"Manny",'Game Log Season 3'!$D$3:$D$1000,A20)</f>
        <v>0</v>
      </c>
      <c r="C20" s="49" t="n">
        <f aca="false">COUNTIFS('Game Log Season 3'!$C$3:$C$1000,"Manny",'Game Log Season 3'!$D$3:$D$1000,A20,'Game Log Season 3'!$F$3:$F$1000,1)</f>
        <v>0</v>
      </c>
      <c r="D20" s="49" t="n">
        <f aca="false">IFERROR(C20/B20,0)</f>
        <v>0</v>
      </c>
    </row>
    <row r="21" customFormat="false" ht="14.25" hidden="false" customHeight="false" outlineLevel="0" collapsed="false">
      <c r="A21" s="49" t="s">
        <v>123</v>
      </c>
      <c r="B21" s="49" t="n">
        <f aca="false">COUNTIFS('Game Log Season 3'!$C$3:$C$1000,"Manny",'Game Log Season 3'!$D$3:$D$1000,A21)</f>
        <v>0</v>
      </c>
      <c r="C21" s="49" t="n">
        <f aca="false">COUNTIFS('Game Log Season 3'!$C$3:$C$1000,"Manny",'Game Log Season 3'!$D$3:$D$1000,A21,'Game Log Season 3'!$F$3:$F$1000,1)</f>
        <v>0</v>
      </c>
      <c r="D21" s="49" t="n">
        <f aca="false">IFERROR(C21/B21,0)</f>
        <v>0</v>
      </c>
    </row>
    <row r="22" customFormat="false" ht="14.25" hidden="false" customHeight="false" outlineLevel="0" collapsed="false">
      <c r="A22" s="47" t="s">
        <v>30</v>
      </c>
      <c r="B22" s="48" t="n">
        <f aca="false">COUNTIFS('Game Log Season 3'!$C$3:$C$1000,A22)</f>
        <v>12</v>
      </c>
      <c r="C22" s="48" t="n">
        <f aca="false">COUNTIFS('Game Log Season 3'!$C$3:$C$1000,A22,'Game Log Season 3'!$F$3:$F$1000,1)</f>
        <v>5</v>
      </c>
      <c r="D22" s="48" t="n">
        <f aca="false">IFERROR(C22/B22,0)</f>
        <v>0.416666666666667</v>
      </c>
    </row>
    <row r="23" customFormat="false" ht="14.25" hidden="false" customHeight="false" outlineLevel="0" collapsed="false">
      <c r="A23" s="49" t="s">
        <v>73</v>
      </c>
      <c r="B23" s="49" t="n">
        <f aca="false">COUNTIFS('Game Log Season 3'!$C$3:$C$1000,"Mateo",'Game Log Season 3'!$D$3:$D$1000,A23)</f>
        <v>0</v>
      </c>
      <c r="C23" s="49" t="n">
        <f aca="false">COUNTIFS('Game Log Season 3'!$C$3:$C$1000,"Mateo",'Game Log Season 3'!$D$3:$D$1000,A23,'Game Log Season 3'!$F$3:$F$1000,1)</f>
        <v>0</v>
      </c>
      <c r="D23" s="49" t="n">
        <f aca="false">IFERROR(C23/B23,0)</f>
        <v>0</v>
      </c>
    </row>
    <row r="24" customFormat="false" ht="14.25" hidden="false" customHeight="false" outlineLevel="0" collapsed="false">
      <c r="A24" s="49" t="s">
        <v>31</v>
      </c>
      <c r="B24" s="49" t="n">
        <f aca="false">COUNTIFS('Game Log Season 3'!$C$3:$C$1000,"Mateo",'Game Log Season 3'!$D$3:$D$1000,A24)</f>
        <v>1</v>
      </c>
      <c r="C24" s="49" t="n">
        <f aca="false">COUNTIFS('Game Log Season 3'!$C$3:$C$1000,"Mateo",'Game Log Season 3'!$D$3:$D$1000,A24,'Game Log Season 3'!$F$3:$F$1000,1)</f>
        <v>0</v>
      </c>
      <c r="D24" s="49" t="n">
        <f aca="false">IFERROR(C24/B24,0)</f>
        <v>0</v>
      </c>
    </row>
    <row r="25" customFormat="false" ht="14.25" hidden="false" customHeight="false" outlineLevel="0" collapsed="false">
      <c r="A25" s="49" t="s">
        <v>34</v>
      </c>
      <c r="B25" s="49" t="n">
        <f aca="false">COUNTIFS('Game Log Season 3'!$C$3:$C$1000,"Mateo",'Game Log Season 3'!$D$3:$D$1000,A25)</f>
        <v>0</v>
      </c>
      <c r="C25" s="49" t="n">
        <f aca="false">COUNTIFS('Game Log Season 3'!$C$3:$C$1000,"Mateo",'Game Log Season 3'!$D$3:$D$1000,A25,'Game Log Season 3'!$F$3:$F$1000,1)</f>
        <v>0</v>
      </c>
      <c r="D25" s="49" t="n">
        <f aca="false">IFERROR(C25/B25,0)</f>
        <v>0</v>
      </c>
    </row>
    <row r="26" customFormat="false" ht="14.25" hidden="false" customHeight="false" outlineLevel="0" collapsed="false">
      <c r="A26" s="49" t="s">
        <v>74</v>
      </c>
      <c r="B26" s="49" t="n">
        <f aca="false">COUNTIFS('Game Log Season 3'!$C$3:$C$1000,"Mateo",'Game Log Season 3'!$D$3:$D$1000,A26)</f>
        <v>0</v>
      </c>
      <c r="C26" s="49" t="n">
        <f aca="false">COUNTIFS('Game Log Season 3'!$C$3:$C$1000,"Mateo",'Game Log Season 3'!$D$3:$D$1000,A26,'Game Log Season 3'!$F$3:$F$1000,1)</f>
        <v>0</v>
      </c>
      <c r="D26" s="49" t="n">
        <f aca="false">IFERROR(C26/B26,0)</f>
        <v>0</v>
      </c>
    </row>
    <row r="27" customFormat="false" ht="14.25" hidden="false" customHeight="false" outlineLevel="0" collapsed="false">
      <c r="A27" s="49" t="s">
        <v>57</v>
      </c>
      <c r="B27" s="49" t="n">
        <f aca="false">COUNTIFS('Game Log Season 3'!$C$3:$C$1000,"Mateo",'Game Log Season 3'!$D$3:$D$1000,A27)</f>
        <v>0</v>
      </c>
      <c r="C27" s="49" t="n">
        <f aca="false">COUNTIFS('Game Log Season 3'!$C$3:$C$1000,"Mateo",'Game Log Season 3'!$D$3:$D$1000,A27,'Game Log Season 3'!$F$3:$F$1000,1)</f>
        <v>0</v>
      </c>
      <c r="D27" s="49" t="n">
        <f aca="false">IFERROR(C27/B27,0)</f>
        <v>0</v>
      </c>
    </row>
    <row r="28" customFormat="false" ht="14.25" hidden="false" customHeight="false" outlineLevel="0" collapsed="false">
      <c r="A28" s="49" t="s">
        <v>80</v>
      </c>
      <c r="B28" s="49" t="n">
        <f aca="false">COUNTIFS('Game Log Season 3'!$C$3:$C$1000,"Mateo",'Game Log Season 3'!$D$3:$D$1000,A28)</f>
        <v>0</v>
      </c>
      <c r="C28" s="49" t="n">
        <f aca="false">COUNTIFS('Game Log Season 3'!$C$3:$C$1000,"Mateo",'Game Log Season 3'!$D$3:$D$1000,A28,'Game Log Season 3'!$F$3:$F$1000,1)</f>
        <v>0</v>
      </c>
      <c r="D28" s="49" t="n">
        <f aca="false">IFERROR(C28/B28,0)</f>
        <v>0</v>
      </c>
    </row>
    <row r="29" customFormat="false" ht="14.25" hidden="false" customHeight="false" outlineLevel="0" collapsed="false">
      <c r="A29" s="49" t="s">
        <v>81</v>
      </c>
      <c r="B29" s="49" t="n">
        <f aca="false">COUNTIFS('Game Log Season 3'!$C$3:$C$1000,"Mateo",'Game Log Season 3'!$D$3:$D$1000,A29)</f>
        <v>0</v>
      </c>
      <c r="C29" s="49" t="n">
        <f aca="false">COUNTIFS('Game Log Season 3'!$C$3:$C$1000,"Mateo",'Game Log Season 3'!$D$3:$D$1000,A29,'Game Log Season 3'!$F$3:$F$1000,1)</f>
        <v>0</v>
      </c>
      <c r="D29" s="49" t="n">
        <f aca="false">IFERROR(C29/B29,0)</f>
        <v>0</v>
      </c>
    </row>
    <row r="30" customFormat="false" ht="14.25" hidden="false" customHeight="false" outlineLevel="0" collapsed="false">
      <c r="A30" s="49" t="s">
        <v>83</v>
      </c>
      <c r="B30" s="49" t="n">
        <f aca="false">COUNTIFS('Game Log Season 3'!$C$3:$C$1000,"Mateo",'Game Log Season 3'!$D$3:$D$1000,A30)</f>
        <v>1</v>
      </c>
      <c r="C30" s="49" t="n">
        <f aca="false">COUNTIFS('Game Log Season 3'!$C$3:$C$1000,"Mateo",'Game Log Season 3'!$D$3:$D$1000,A30,'Game Log Season 3'!$F$3:$F$1000,1)</f>
        <v>0</v>
      </c>
      <c r="D30" s="49" t="n">
        <f aca="false">IFERROR(C30/B30,0)</f>
        <v>0</v>
      </c>
    </row>
    <row r="31" customFormat="false" ht="14.25" hidden="false" customHeight="false" outlineLevel="0" collapsed="false">
      <c r="A31" s="49" t="s">
        <v>48</v>
      </c>
      <c r="B31" s="49" t="n">
        <f aca="false">COUNTIFS('Game Log Season 3'!$C$3:$C$1000,"Mateo",'Game Log Season 3'!$D$3:$D$1000,A31)</f>
        <v>1</v>
      </c>
      <c r="C31" s="49" t="n">
        <f aca="false">COUNTIFS('Game Log Season 3'!$C$3:$C$1000,"Mateo",'Game Log Season 3'!$D$3:$D$1000,A31,'Game Log Season 3'!$F$3:$F$1000,1)</f>
        <v>1</v>
      </c>
      <c r="D31" s="49" t="n">
        <f aca="false">IFERROR(C31/B31,0)</f>
        <v>1</v>
      </c>
    </row>
    <row r="32" customFormat="false" ht="14.25" hidden="false" customHeight="false" outlineLevel="0" collapsed="false">
      <c r="A32" s="49" t="s">
        <v>90</v>
      </c>
      <c r="B32" s="49" t="n">
        <f aca="false">COUNTIFS('Game Log Season 3'!$C$3:$C$1000,"Mateo",'Game Log Season 3'!$D$3:$D$1000,A32)</f>
        <v>4</v>
      </c>
      <c r="C32" s="49" t="n">
        <f aca="false">COUNTIFS('Game Log Season 3'!$C$3:$C$1000,"Mateo",'Game Log Season 3'!$D$3:$D$1000,A32,'Game Log Season 3'!$F$3:$F$1000,1)</f>
        <v>0</v>
      </c>
      <c r="D32" s="49" t="n">
        <f aca="false">IFERROR(C32/B32,0)</f>
        <v>0</v>
      </c>
    </row>
    <row r="33" customFormat="false" ht="14.25" hidden="false" customHeight="false" outlineLevel="0" collapsed="false">
      <c r="A33" s="49" t="s">
        <v>46</v>
      </c>
      <c r="B33" s="49" t="n">
        <f aca="false">COUNTIFS('Game Log Season 3'!$C$3:$C$1000,"Mateo",'Game Log Season 3'!$D$3:$D$1000,A33)</f>
        <v>1</v>
      </c>
      <c r="C33" s="49" t="n">
        <f aca="false">COUNTIFS('Game Log Season 3'!$C$3:$C$1000,"Mateo",'Game Log Season 3'!$D$3:$D$1000,A33,'Game Log Season 3'!$F$3:$F$1000,1)</f>
        <v>1</v>
      </c>
      <c r="D33" s="49" t="n">
        <f aca="false">IFERROR(C33/B33,0)</f>
        <v>1</v>
      </c>
    </row>
    <row r="34" customFormat="false" ht="14.25" hidden="false" customHeight="false" outlineLevel="0" collapsed="false">
      <c r="A34" s="49" t="s">
        <v>92</v>
      </c>
      <c r="B34" s="49" t="n">
        <f aca="false">COUNTIFS('Game Log Season 3'!$C$3:$C$1000,"Mateo",'Game Log Season 3'!$D$3:$D$1000,A34)</f>
        <v>3</v>
      </c>
      <c r="C34" s="49" t="n">
        <f aca="false">COUNTIFS('Game Log Season 3'!$C$3:$C$1000,"Mateo",'Game Log Season 3'!$D$3:$D$1000,A34,'Game Log Season 3'!$F$3:$F$1000,1)</f>
        <v>2</v>
      </c>
      <c r="D34" s="49" t="n">
        <f aca="false">IFERROR(C34/B34,0)</f>
        <v>0.666666666666667</v>
      </c>
    </row>
    <row r="35" customFormat="false" ht="14.25" hidden="false" customHeight="false" outlineLevel="0" collapsed="false">
      <c r="A35" s="49" t="s">
        <v>40</v>
      </c>
      <c r="B35" s="49" t="n">
        <f aca="false">COUNTIFS('Game Log Season 3'!$C$3:$C$1000,"Mateo",'Game Log Season 3'!$D$3:$D$1000,A35)</f>
        <v>1</v>
      </c>
      <c r="C35" s="49" t="n">
        <f aca="false">COUNTIFS('Game Log Season 3'!$C$3:$C$1000,"Mateo",'Game Log Season 3'!$D$3:$D$1000,A35,'Game Log Season 3'!$F$3:$F$1000,1)</f>
        <v>1</v>
      </c>
      <c r="D35" s="49" t="n">
        <f aca="false">IFERROR(C35/B35,0)</f>
        <v>1</v>
      </c>
    </row>
    <row r="36" customFormat="false" ht="14.25" hidden="false" customHeight="false" outlineLevel="0" collapsed="false">
      <c r="A36" s="49" t="s">
        <v>140</v>
      </c>
      <c r="B36" s="49" t="n">
        <f aca="false">COUNTIFS('Game Log Season 3'!$C$3:$C$1000,"Mateo",'Game Log Season 3'!$D$3:$D$1000,A36)</f>
        <v>0</v>
      </c>
      <c r="C36" s="49" t="n">
        <f aca="false">COUNTIFS('Game Log Season 3'!$C$3:$C$1000,"Mateo",'Game Log Season 3'!$D$3:$D$1000,A36,'Game Log Season 3'!$F$3:$F$1000,1)</f>
        <v>0</v>
      </c>
      <c r="D36" s="49" t="n">
        <f aca="false">IFERROR(C36/B36,0)</f>
        <v>0</v>
      </c>
    </row>
    <row r="37" customFormat="false" ht="14.25" hidden="false" customHeight="false" outlineLevel="0" collapsed="false">
      <c r="A37" s="49" t="s">
        <v>93</v>
      </c>
      <c r="B37" s="49" t="n">
        <f aca="false">COUNTIFS('Game Log Season 3'!$C$3:$C$1000,"Mateo",'Game Log Season 3'!$D$3:$D$1000,A37)</f>
        <v>0</v>
      </c>
      <c r="C37" s="49" t="n">
        <f aca="false">COUNTIFS('Game Log Season 3'!$C$3:$C$1000,"Mateo",'Game Log Season 3'!$D$3:$D$1000,A37,'Game Log Season 3'!$F$3:$F$1000,1)</f>
        <v>0</v>
      </c>
      <c r="D37" s="49" t="n">
        <f aca="false">IFERROR(C37/B37,0)</f>
        <v>0</v>
      </c>
    </row>
    <row r="38" customFormat="false" ht="14.25" hidden="false" customHeight="false" outlineLevel="0" collapsed="false">
      <c r="A38" s="49" t="s">
        <v>143</v>
      </c>
      <c r="B38" s="49" t="n">
        <f aca="false">COUNTIFS('Game Log Season 3'!$C$3:$C$1000,"Mateo",'Game Log Season 3'!$D$3:$D$1000,A38)</f>
        <v>0</v>
      </c>
      <c r="C38" s="49" t="n">
        <f aca="false">COUNTIFS('Game Log Season 3'!$C$3:$C$1000,"Mateo",'Game Log Season 3'!$D$3:$D$1000,A38,'Game Log Season 3'!$F$3:$F$1000,1)</f>
        <v>0</v>
      </c>
      <c r="D38" s="49" t="n">
        <f aca="false">IFERROR(C38/B38,0)</f>
        <v>0</v>
      </c>
    </row>
    <row r="39" customFormat="false" ht="14.25" hidden="false" customHeight="false" outlineLevel="0" collapsed="false">
      <c r="A39" s="49" t="s">
        <v>145</v>
      </c>
      <c r="B39" s="49" t="n">
        <f aca="false">COUNTIFS('Game Log Season 3'!$C$3:$C$1000,"Mateo",'Game Log Season 3'!$D$3:$D$1000,A39)</f>
        <v>0</v>
      </c>
      <c r="C39" s="49" t="n">
        <f aca="false">COUNTIFS('Game Log Season 3'!$C$3:$C$1000,"Mateo",'Game Log Season 3'!$D$3:$D$1000,A39,'Game Log Season 3'!$F$3:$F$1000,1)</f>
        <v>0</v>
      </c>
      <c r="D39" s="49" t="n">
        <f aca="false">IFERROR(C39/B39,0)</f>
        <v>0</v>
      </c>
    </row>
    <row r="40" customFormat="false" ht="14.25" hidden="false" customHeight="false" outlineLevel="0" collapsed="false">
      <c r="A40" s="47" t="s">
        <v>32</v>
      </c>
      <c r="B40" s="48" t="n">
        <f aca="false">COUNTIFS('Game Log Season 3'!$C$3:$C$1000,A40)</f>
        <v>11</v>
      </c>
      <c r="C40" s="48" t="n">
        <f aca="false">COUNTIFS('Game Log Season 3'!$C$3:$C$1000,A40,'Game Log Season 3'!$F$3:$F$1000,1)</f>
        <v>3</v>
      </c>
      <c r="D40" s="48" t="n">
        <f aca="false">IFERROR(C40/B40,0)</f>
        <v>0.272727272727273</v>
      </c>
    </row>
    <row r="41" customFormat="false" ht="14.25" hidden="false" customHeight="false" outlineLevel="0" collapsed="false">
      <c r="A41" s="49" t="s">
        <v>36</v>
      </c>
      <c r="B41" s="49" t="n">
        <f aca="false">COUNTIFS('Game Log Season 3'!$C$3:$C$1000,"Ryan",'Game Log Season 3'!$D$3:$D$1000,A41)</f>
        <v>0</v>
      </c>
      <c r="C41" s="49" t="n">
        <f aca="false">COUNTIFS('Game Log Season 3'!$C$3:$C$1000,"Ryan",'Game Log Season 3'!$D$3:$D$1000,A41,'Game Log Season 3'!$F$3:$F$1000,1)</f>
        <v>0</v>
      </c>
      <c r="D41" s="49" t="n">
        <f aca="false">IFERROR(C41/B41,0)</f>
        <v>0</v>
      </c>
    </row>
    <row r="42" customFormat="false" ht="14.25" hidden="false" customHeight="false" outlineLevel="0" collapsed="false">
      <c r="A42" s="49" t="s">
        <v>62</v>
      </c>
      <c r="B42" s="49" t="n">
        <f aca="false">COUNTIFS('Game Log Season 3'!$C$3:$C$1000,"Ryan",'Game Log Season 3'!$D$3:$D$1000,A42)</f>
        <v>1</v>
      </c>
      <c r="C42" s="49" t="n">
        <f aca="false">COUNTIFS('Game Log Season 3'!$C$3:$C$1000,"Ryan",'Game Log Season 3'!$D$3:$D$1000,A42,'Game Log Season 3'!$F$3:$F$1000,1)</f>
        <v>0</v>
      </c>
      <c r="D42" s="49" t="n">
        <f aca="false">IFERROR(C42/B42,0)</f>
        <v>0</v>
      </c>
    </row>
    <row r="43" customFormat="false" ht="14.25" hidden="false" customHeight="false" outlineLevel="0" collapsed="false">
      <c r="A43" s="49" t="s">
        <v>33</v>
      </c>
      <c r="B43" s="49" t="n">
        <f aca="false">COUNTIFS('Game Log Season 3'!$C$3:$C$1000,"Ryan",'Game Log Season 3'!$D$3:$D$1000,A43)</f>
        <v>0</v>
      </c>
      <c r="C43" s="49" t="n">
        <f aca="false">COUNTIFS('Game Log Season 3'!$C$3:$C$1000,"Ryan",'Game Log Season 3'!$D$3:$D$1000,A43,'Game Log Season 3'!$F$3:$F$1000,1)</f>
        <v>0</v>
      </c>
      <c r="D43" s="49" t="n">
        <f aca="false">IFERROR(C43/B43,0)</f>
        <v>0</v>
      </c>
    </row>
    <row r="44" customFormat="false" ht="14.25" hidden="false" customHeight="false" outlineLevel="0" collapsed="false">
      <c r="A44" s="49" t="s">
        <v>61</v>
      </c>
      <c r="B44" s="49" t="n">
        <f aca="false">COUNTIFS('Game Log Season 3'!$C$3:$C$1000,"Ryan",'Game Log Season 3'!$D$3:$D$1000,A44)</f>
        <v>0</v>
      </c>
      <c r="C44" s="49" t="n">
        <f aca="false">COUNTIFS('Game Log Season 3'!$C$3:$C$1000,"Ryan",'Game Log Season 3'!$D$3:$D$1000,A44,'Game Log Season 3'!$F$3:$F$1000,1)</f>
        <v>0</v>
      </c>
      <c r="D44" s="49" t="n">
        <f aca="false">IFERROR(C44/B44,0)</f>
        <v>0</v>
      </c>
    </row>
    <row r="45" customFormat="false" ht="14.25" hidden="false" customHeight="false" outlineLevel="0" collapsed="false">
      <c r="A45" s="49" t="s">
        <v>41</v>
      </c>
      <c r="B45" s="49" t="n">
        <f aca="false">COUNTIFS('Game Log Season 3'!$C$3:$C$1000,"Ryan",'Game Log Season 3'!$D$3:$D$1000,A45)</f>
        <v>1</v>
      </c>
      <c r="C45" s="49" t="n">
        <f aca="false">COUNTIFS('Game Log Season 3'!$C$3:$C$1000,"Ryan",'Game Log Season 3'!$D$3:$D$1000,A45,'Game Log Season 3'!$F$3:$F$1000,1)</f>
        <v>1</v>
      </c>
      <c r="D45" s="49" t="n">
        <f aca="false">IFERROR(C45/B45,0)</f>
        <v>1</v>
      </c>
    </row>
    <row r="46" customFormat="false" ht="14.25" hidden="false" customHeight="false" outlineLevel="0" collapsed="false">
      <c r="A46" s="49" t="s">
        <v>79</v>
      </c>
      <c r="B46" s="49" t="n">
        <f aca="false">COUNTIFS('Game Log Season 3'!$C$3:$C$1000,"Ryan",'Game Log Season 3'!$D$3:$D$1000,A46)</f>
        <v>1</v>
      </c>
      <c r="C46" s="49" t="n">
        <f aca="false">COUNTIFS('Game Log Season 3'!$C$3:$C$1000,"Ryan",'Game Log Season 3'!$D$3:$D$1000,A46,'Game Log Season 3'!$F$3:$F$1000,1)</f>
        <v>0</v>
      </c>
      <c r="D46" s="49" t="n">
        <f aca="false">IFERROR(C46/B46,0)</f>
        <v>0</v>
      </c>
    </row>
    <row r="47" customFormat="false" ht="14.25" hidden="false" customHeight="false" outlineLevel="0" collapsed="false">
      <c r="A47" s="49" t="s">
        <v>54</v>
      </c>
      <c r="B47" s="49" t="n">
        <f aca="false">COUNTIFS('Game Log Season 3'!$C$3:$C$1000,"Ryan",'Game Log Season 3'!$D$3:$D$1000,A47)</f>
        <v>2</v>
      </c>
      <c r="C47" s="49" t="n">
        <f aca="false">COUNTIFS('Game Log Season 3'!$C$3:$C$1000,"Ryan",'Game Log Season 3'!$D$3:$D$1000,A47,'Game Log Season 3'!$F$3:$F$1000,1)</f>
        <v>0</v>
      </c>
      <c r="D47" s="49" t="n">
        <f aca="false">IFERROR(C47/B47,0)</f>
        <v>0</v>
      </c>
    </row>
    <row r="48" customFormat="false" ht="14.25" hidden="false" customHeight="false" outlineLevel="0" collapsed="false">
      <c r="A48" s="49" t="s">
        <v>87</v>
      </c>
      <c r="B48" s="49" t="n">
        <f aca="false">COUNTIFS('Game Log Season 3'!$C$3:$C$1000,"Ryan",'Game Log Season 3'!$D$3:$D$1000,A48)</f>
        <v>0</v>
      </c>
      <c r="C48" s="49" t="n">
        <f aca="false">COUNTIFS('Game Log Season 3'!$C$3:$C$1000,"Ryan",'Game Log Season 3'!$D$3:$D$1000,A48,'Game Log Season 3'!$F$3:$F$1000,1)</f>
        <v>0</v>
      </c>
      <c r="D48" s="49" t="n">
        <f aca="false">IFERROR(C48/B48,0)</f>
        <v>0</v>
      </c>
    </row>
    <row r="49" customFormat="false" ht="14.25" hidden="false" customHeight="false" outlineLevel="0" collapsed="false">
      <c r="A49" s="49" t="s">
        <v>89</v>
      </c>
      <c r="B49" s="49" t="n">
        <f aca="false">COUNTIFS('Game Log Season 3'!$C$3:$C$1000,"Ryan",'Game Log Season 3'!$D$3:$D$1000,A49)</f>
        <v>2</v>
      </c>
      <c r="C49" s="49" t="n">
        <f aca="false">COUNTIFS('Game Log Season 3'!$C$3:$C$1000,"Ryan",'Game Log Season 3'!$D$3:$D$1000,A49,'Game Log Season 3'!$F$3:$F$1000,1)</f>
        <v>0</v>
      </c>
      <c r="D49" s="49" t="n">
        <f aca="false">IFERROR(C49/B49,0)</f>
        <v>0</v>
      </c>
    </row>
    <row r="50" customFormat="false" ht="14.25" hidden="false" customHeight="false" outlineLevel="0" collapsed="false">
      <c r="A50" s="49" t="s">
        <v>94</v>
      </c>
      <c r="B50" s="49" t="n">
        <f aca="false">COUNTIFS('Game Log Season 3'!$C$3:$C$1000,"Ryan",'Game Log Season 3'!$D$3:$D$1000,A50)</f>
        <v>2</v>
      </c>
      <c r="C50" s="49" t="n">
        <f aca="false">COUNTIFS('Game Log Season 3'!$C$3:$C$1000,"Ryan",'Game Log Season 3'!$D$3:$D$1000,A50,'Game Log Season 3'!$F$3:$F$1000,1)</f>
        <v>1</v>
      </c>
      <c r="D50" s="49" t="n">
        <f aca="false">IFERROR(C50/B50,0)</f>
        <v>0.5</v>
      </c>
    </row>
    <row r="51" customFormat="false" ht="14.25" hidden="false" customHeight="false" outlineLevel="0" collapsed="false">
      <c r="A51" s="49" t="s">
        <v>97</v>
      </c>
      <c r="B51" s="49" t="n">
        <f aca="false">COUNTIFS('Game Log Season 3'!$C$3:$C$1000,"Ryan",'Game Log Season 3'!$D$3:$D$1000,A51)</f>
        <v>2</v>
      </c>
      <c r="C51" s="49" t="n">
        <f aca="false">COUNTIFS('Game Log Season 3'!$C$3:$C$1000,"Ryan",'Game Log Season 3'!$D$3:$D$1000,A51,'Game Log Season 3'!$F$3:$F$1000,1)</f>
        <v>1</v>
      </c>
      <c r="D51" s="49" t="n">
        <f aca="false">IFERROR(C51/B51,0)</f>
        <v>0.5</v>
      </c>
    </row>
    <row r="52" customFormat="false" ht="14.25" hidden="false" customHeight="false" outlineLevel="0" collapsed="false">
      <c r="A52" s="49" t="s">
        <v>157</v>
      </c>
      <c r="B52" s="49" t="n">
        <f aca="false">COUNTIFS('Game Log Season 3'!$C$3:$C$1000,"Ryan",'Game Log Season 3'!$D$3:$D$1000,A52)</f>
        <v>0</v>
      </c>
      <c r="C52" s="49" t="n">
        <f aca="false">COUNTIFS('Game Log Season 3'!$C$3:$C$1000,"Ryan",'Game Log Season 3'!$D$3:$D$1000,A52,'Game Log Season 3'!$F$3:$F$1000,1)</f>
        <v>0</v>
      </c>
      <c r="D52" s="49" t="n">
        <f aca="false">IFERROR(C52/B52,0)</f>
        <v>0</v>
      </c>
    </row>
    <row r="53" customFormat="false" ht="14.25" hidden="false" customHeight="false" outlineLevel="0" collapsed="false">
      <c r="A53" s="49" t="s">
        <v>43</v>
      </c>
      <c r="B53" s="49" t="n">
        <f aca="false">COUNTIFS('Game Log Season 3'!$C$3:$C$1000,"Ryan",'Game Log Season 3'!$D$3:$D$1000,A53)</f>
        <v>0</v>
      </c>
      <c r="C53" s="49" t="n">
        <f aca="false">COUNTIFS('Game Log Season 3'!$C$3:$C$1000,"Ryan",'Game Log Season 3'!$D$3:$D$1000,A53,'Game Log Season 3'!$F$3:$F$1000,1)</f>
        <v>0</v>
      </c>
      <c r="D53" s="49" t="n">
        <f aca="false">IFERROR(C53/B53,0)</f>
        <v>0</v>
      </c>
    </row>
    <row r="54" customFormat="false" ht="14.25" hidden="false" customHeight="false" outlineLevel="0" collapsed="false">
      <c r="A54" s="49" t="s">
        <v>160</v>
      </c>
      <c r="B54" s="49" t="n">
        <f aca="false">COUNTIFS('Game Log Season 3'!$C$3:$C$1000,"Ryan",'Game Log Season 3'!$D$3:$D$1000,A54)</f>
        <v>0</v>
      </c>
      <c r="C54" s="49" t="n">
        <f aca="false">COUNTIFS('Game Log Season 3'!$C$3:$C$1000,"Ryan",'Game Log Season 3'!$D$3:$D$1000,A54,'Game Log Season 3'!$F$3:$F$1000,1)</f>
        <v>0</v>
      </c>
      <c r="D54" s="49" t="n">
        <f aca="false">IFERROR(C54/B54,0)</f>
        <v>0</v>
      </c>
    </row>
    <row r="55" customFormat="false" ht="14.25" hidden="false" customHeight="false" outlineLevel="0" collapsed="false">
      <c r="A55" s="47" t="s">
        <v>70</v>
      </c>
      <c r="B55" s="48" t="n">
        <f aca="false">COUNTIFS('Game Log Season 3'!$C$3:$C$1000,A55)</f>
        <v>2</v>
      </c>
      <c r="C55" s="48" t="n">
        <f aca="false">COUNTIFS('Game Log Season 3'!$C$3:$C$1000,A55,'Game Log Season 3'!$F$3:$F$1000,1)</f>
        <v>0</v>
      </c>
      <c r="D55" s="48" t="n">
        <f aca="false">IFERROR(C55/B55,0)</f>
        <v>0</v>
      </c>
    </row>
    <row r="56" customFormat="false" ht="14.25" hidden="false" customHeight="false" outlineLevel="0" collapsed="false">
      <c r="A56" s="49" t="s">
        <v>71</v>
      </c>
      <c r="B56" s="49" t="n">
        <f aca="false">COUNTIFS('Game Log Season 3'!$C$3:$C$1000,"Kristy",'Game Log Season 3'!$D$3:$D$1000,A56)</f>
        <v>0</v>
      </c>
      <c r="C56" s="49" t="n">
        <f aca="false">COUNTIFS('Game Log Season 3'!$C$3:$C$1000,"Kristy",'Game Log Season 3'!$D$3:$D$1000,A56,'Game Log Season 3'!$F$3:$F$1000,1)</f>
        <v>0</v>
      </c>
      <c r="D56" s="49" t="n">
        <f aca="false">IFERROR(C56/B56,0)</f>
        <v>0</v>
      </c>
    </row>
    <row r="57" customFormat="false" ht="14.25" hidden="false" customHeight="false" outlineLevel="0" collapsed="false">
      <c r="A57" s="49" t="s">
        <v>57</v>
      </c>
      <c r="B57" s="49" t="n">
        <f aca="false">COUNTIFS('Game Log Season 3'!$C$3:$C$1000,"Kristy",'Game Log Season 3'!$D$3:$D$1000,A57)</f>
        <v>1</v>
      </c>
      <c r="C57" s="49" t="n">
        <f aca="false">COUNTIFS('Game Log Season 3'!$C$3:$C$1000,"Kristy",'Game Log Season 3'!$D$3:$D$1000,A57,'Game Log Season 3'!$F$3:$F$1000,1)</f>
        <v>0</v>
      </c>
      <c r="D57" s="49" t="n">
        <f aca="false">IFERROR(C57/B57,0)</f>
        <v>0</v>
      </c>
    </row>
    <row r="58" customFormat="false" ht="14.25" hidden="false" customHeight="false" outlineLevel="0" collapsed="false">
      <c r="A58" s="49" t="s">
        <v>78</v>
      </c>
      <c r="B58" s="49" t="n">
        <f aca="false">COUNTIFS('Game Log Season 3'!$C$3:$C$1000,"Kristy",'Game Log Season 3'!$D$3:$D$1000,A58)</f>
        <v>0</v>
      </c>
      <c r="C58" s="49" t="n">
        <f aca="false">COUNTIFS('Game Log Season 3'!$C$3:$C$1000,"Kristy",'Game Log Season 3'!$D$3:$D$1000,A58,'Game Log Season 3'!$F$3:$F$1000,1)</f>
        <v>0</v>
      </c>
      <c r="D58" s="49" t="n">
        <f aca="false">IFERROR(C58/B58,0)</f>
        <v>0</v>
      </c>
    </row>
    <row r="59" customFormat="false" ht="14.25" hidden="false" customHeight="false" outlineLevel="0" collapsed="false">
      <c r="A59" s="49" t="s">
        <v>85</v>
      </c>
      <c r="B59" s="49" t="n">
        <f aca="false">COUNTIFS('Game Log Season 3'!$C$3:$C$1000,"Kristy",'Game Log Season 3'!$D$3:$D$1000,A59)</f>
        <v>0</v>
      </c>
      <c r="C59" s="49" t="n">
        <f aca="false">COUNTIFS('Game Log Season 3'!$C$3:$C$1000,"Kristy",'Game Log Season 3'!$D$3:$D$1000,A59,'Game Log Season 3'!$F$3:$F$1000,1)</f>
        <v>0</v>
      </c>
      <c r="D59" s="49" t="n">
        <f aca="false">IFERROR(C59/B59,0)</f>
        <v>0</v>
      </c>
    </row>
    <row r="60" customFormat="false" ht="14.25" hidden="false" customHeight="false" outlineLevel="0" collapsed="false">
      <c r="A60" s="49" t="s">
        <v>93</v>
      </c>
      <c r="B60" s="49" t="n">
        <f aca="false">COUNTIFS('Game Log Season 3'!$C$3:$C$1000,"Kristy",'Game Log Season 3'!$D$3:$D$1000,A60)</f>
        <v>1</v>
      </c>
      <c r="C60" s="49" t="n">
        <f aca="false">COUNTIFS('Game Log Season 3'!$C$3:$C$1000,"Kristy",'Game Log Season 3'!$D$3:$D$1000,A60,'Game Log Season 3'!$F$3:$F$1000,1)</f>
        <v>0</v>
      </c>
      <c r="D60" s="49" t="n">
        <f aca="false">IFERROR(C60/B60,0)</f>
        <v>0</v>
      </c>
    </row>
    <row r="61" customFormat="false" ht="14.25" hidden="false" customHeight="false" outlineLevel="0" collapsed="false">
      <c r="A61" s="47" t="s">
        <v>38</v>
      </c>
      <c r="B61" s="48" t="n">
        <f aca="false">COUNTIFS('Game Log Season 3'!$C$3:$C$1000,A61)</f>
        <v>1</v>
      </c>
      <c r="C61" s="48" t="n">
        <f aca="false">COUNTIFS('Game Log Season 3'!$C$3:$C$1000,A61,'Game Log Season 3'!$F$3:$F$1000,1)</f>
        <v>0</v>
      </c>
      <c r="D61" s="48" t="n">
        <f aca="false">IFERROR(C61/B61,0)</f>
        <v>0</v>
      </c>
    </row>
    <row r="62" customFormat="false" ht="14.25" hidden="false" customHeight="false" outlineLevel="0" collapsed="false">
      <c r="A62" s="49" t="s">
        <v>49</v>
      </c>
      <c r="B62" s="49" t="n">
        <f aca="false">COUNTIFS('Game Log Season 3'!$C$3:$C$1000,"Joseph",'Game Log Season 3'!$D$3:$D$1000,A62)</f>
        <v>0</v>
      </c>
      <c r="C62" s="49" t="n">
        <f aca="false">COUNTIFS('Game Log Season 3'!$C$3:$C$1000,"Joseph",'Game Log Season 3'!$D$3:$D$1000,A62,'Game Log Season 3'!$F$3:$F$1000,1)</f>
        <v>0</v>
      </c>
      <c r="D62" s="49" t="n">
        <f aca="false">IFERROR(C62/B62,0)</f>
        <v>0</v>
      </c>
    </row>
    <row r="63" customFormat="false" ht="14.25" hidden="false" customHeight="false" outlineLevel="0" collapsed="false">
      <c r="A63" s="49" t="s">
        <v>76</v>
      </c>
      <c r="B63" s="49" t="n">
        <f aca="false">COUNTIFS('Game Log Season 3'!$C$3:$C$1000,"Joseph",'Game Log Season 3'!$D$3:$D$1000,A63)</f>
        <v>0</v>
      </c>
      <c r="C63" s="49" t="n">
        <f aca="false">COUNTIFS('Game Log Season 3'!$C$3:$C$1000,"Joseph",'Game Log Season 3'!$D$3:$D$1000,A63,'Game Log Season 3'!$F$3:$F$1000,1)</f>
        <v>0</v>
      </c>
      <c r="D63" s="49" t="n">
        <f aca="false">IFERROR(C63/B63,0)</f>
        <v>0</v>
      </c>
    </row>
    <row r="64" customFormat="false" ht="14.25" hidden="false" customHeight="false" outlineLevel="0" collapsed="false">
      <c r="A64" s="49" t="s">
        <v>77</v>
      </c>
      <c r="B64" s="49" t="n">
        <f aca="false">COUNTIFS('Game Log Season 3'!$C$3:$C$1000,"Joseph",'Game Log Season 3'!$D$3:$D$1000,A64)</f>
        <v>0</v>
      </c>
      <c r="C64" s="49" t="n">
        <f aca="false">COUNTIFS('Game Log Season 3'!$C$3:$C$1000,"Joseph",'Game Log Season 3'!$D$3:$D$1000,A64,'Game Log Season 3'!$F$3:$F$1000,1)</f>
        <v>0</v>
      </c>
      <c r="D64" s="49" t="n">
        <f aca="false">IFERROR(C64/B64,0)</f>
        <v>0</v>
      </c>
    </row>
    <row r="65" customFormat="false" ht="14.25" hidden="false" customHeight="false" outlineLevel="0" collapsed="false">
      <c r="A65" s="49" t="s">
        <v>64</v>
      </c>
      <c r="B65" s="49" t="n">
        <f aca="false">COUNTIFS('Game Log Season 3'!$C$3:$C$1000,"Joseph",'Game Log Season 3'!$D$3:$D$1000,A65)</f>
        <v>0</v>
      </c>
      <c r="C65" s="49" t="n">
        <f aca="false">COUNTIFS('Game Log Season 3'!$C$3:$C$1000,"Joseph",'Game Log Season 3'!$D$3:$D$1000,A65,'Game Log Season 3'!$F$3:$F$1000,1)</f>
        <v>0</v>
      </c>
      <c r="D65" s="49" t="n">
        <f aca="false">IFERROR(C65/B65,0)</f>
        <v>0</v>
      </c>
    </row>
    <row r="66" customFormat="false" ht="14.25" hidden="false" customHeight="false" outlineLevel="0" collapsed="false">
      <c r="A66" s="49" t="s">
        <v>63</v>
      </c>
      <c r="B66" s="49" t="n">
        <f aca="false">COUNTIFS('Game Log Season 3'!$C$3:$C$1000,"Joseph",'Game Log Season 3'!$D$3:$D$1000,A66)</f>
        <v>1</v>
      </c>
      <c r="C66" s="49" t="n">
        <f aca="false">COUNTIFS('Game Log Season 3'!$C$3:$C$1000,"Joseph",'Game Log Season 3'!$D$3:$D$1000,A66,'Game Log Season 3'!$F$3:$F$1000,1)</f>
        <v>0</v>
      </c>
      <c r="D66" s="49" t="n">
        <f aca="false">IFERROR(C66/B66,0)</f>
        <v>0</v>
      </c>
    </row>
    <row r="67" customFormat="false" ht="14.25" hidden="false" customHeight="false" outlineLevel="0" collapsed="false">
      <c r="A67" s="47" t="s">
        <v>59</v>
      </c>
      <c r="B67" s="48" t="n">
        <f aca="false">COUNTIFS('Game Log Season 3'!$C$3:$C$1000,A67)</f>
        <v>0</v>
      </c>
      <c r="C67" s="48" t="n">
        <f aca="false">COUNTIFS('Game Log Season 3'!$C$3:$C$1000,A67,'Game Log Season 3'!$F$3:$F$1000,1)</f>
        <v>0</v>
      </c>
      <c r="D67" s="48" t="n">
        <f aca="false">IFERROR(C67/B67,0)</f>
        <v>0</v>
      </c>
    </row>
    <row r="68" customFormat="false" ht="14.25" hidden="false" customHeight="false" outlineLevel="0" collapsed="false">
      <c r="A68" s="49" t="s">
        <v>33</v>
      </c>
      <c r="B68" s="49" t="n">
        <f aca="false">COUNTIFS('Game Log Season 3'!$C$3:$C$1000,"Red",'Game Log Season 3'!$D$3:$D$1000,A68)</f>
        <v>0</v>
      </c>
      <c r="C68" s="49" t="n">
        <f aca="false">COUNTIFS('Game Log Season 3'!$C$3:$C$1000,"Red",'Game Log Season 3'!$D$3:$D$1000,A68,'Game Log Season 3'!$F$3:$F$1000,1)</f>
        <v>0</v>
      </c>
      <c r="D68" s="49" t="n">
        <f aca="false">IFERROR(C68/B68,0)</f>
        <v>0</v>
      </c>
    </row>
    <row r="69" customFormat="false" ht="14.25" hidden="false" customHeight="false" outlineLevel="0" collapsed="false">
      <c r="A69" s="49" t="s">
        <v>69</v>
      </c>
      <c r="B69" s="49" t="n">
        <f aca="false">COUNTIFS('Game Log Season 3'!$C$3:$C$1000,"Red",'Game Log Season 3'!$D$3:$D$1000,A69)</f>
        <v>0</v>
      </c>
      <c r="C69" s="49" t="n">
        <f aca="false">COUNTIFS('Game Log Season 3'!$C$3:$C$1000,"Red",'Game Log Season 3'!$D$3:$D$1000,A69,'Game Log Season 3'!$F$3:$F$1000,1)</f>
        <v>0</v>
      </c>
      <c r="D69" s="49" t="n">
        <f aca="false">IFERROR(C69/B69,0)</f>
        <v>0</v>
      </c>
    </row>
    <row r="70" customFormat="false" ht="14.25" hidden="false" customHeight="false" outlineLevel="0" collapsed="false">
      <c r="A70" s="49" t="s">
        <v>84</v>
      </c>
      <c r="B70" s="49" t="n">
        <f aca="false">COUNTIFS('Game Log Season 3'!$C$3:$C$1000,"Red",'Game Log Season 3'!$D$3:$D$1000,A70)</f>
        <v>0</v>
      </c>
      <c r="C70" s="49" t="n">
        <f aca="false">COUNTIFS('Game Log Season 3'!$C$3:$C$1000,"Red",'Game Log Season 3'!$D$3:$D$1000,A70,'Game Log Season 3'!$F$3:$F$1000,1)</f>
        <v>0</v>
      </c>
      <c r="D70" s="49" t="n">
        <f aca="false">IFERROR(C70/B70,0)</f>
        <v>0</v>
      </c>
    </row>
    <row r="71" customFormat="false" ht="14.25" hidden="false" customHeight="false" outlineLevel="0" collapsed="false">
      <c r="A71" s="47" t="s">
        <v>51</v>
      </c>
      <c r="B71" s="48" t="n">
        <f aca="false">COUNTIFS('Game Log Season 3'!$C$3:$C$1000,A71)</f>
        <v>4</v>
      </c>
      <c r="C71" s="48" t="n">
        <f aca="false">COUNTIFS('Game Log Season 3'!$C$3:$C$1000,A71,'Game Log Season 3'!$F$3:$F$1000,1)</f>
        <v>0</v>
      </c>
      <c r="D71" s="48" t="n">
        <f aca="false">IFERROR(C71/B71,0)</f>
        <v>0</v>
      </c>
    </row>
    <row r="72" customFormat="false" ht="14.25" hidden="false" customHeight="false" outlineLevel="0" collapsed="false">
      <c r="A72" s="49" t="s">
        <v>52</v>
      </c>
      <c r="B72" s="49" t="n">
        <f aca="false">COUNTIFS('Game Log Season 3'!$C$3:$C$1000,"Michelle",'Game Log Season 3'!$D$3:$D$1000,A72)</f>
        <v>3</v>
      </c>
      <c r="C72" s="49" t="n">
        <f aca="false">COUNTIFS('Game Log Season 3'!$C$3:$C$1000,"Michelle",'Game Log Season 3'!$D$3:$D$1000,A72,'Game Log Season 3'!$F$3:$F$1000,1)</f>
        <v>0</v>
      </c>
      <c r="D72" s="49" t="n">
        <f aca="false">IFERROR(C72/B72,0)</f>
        <v>0</v>
      </c>
    </row>
    <row r="73" customFormat="false" ht="14.25" hidden="false" customHeight="false" outlineLevel="0" collapsed="false">
      <c r="A73" s="49" t="s">
        <v>86</v>
      </c>
      <c r="B73" s="49" t="n">
        <f aca="false">COUNTIFS('Game Log Season 3'!$C$3:$C$1000,"Michelle",'Game Log Season 3'!$D$3:$D$1000,A73)</f>
        <v>0</v>
      </c>
      <c r="C73" s="49" t="n">
        <f aca="false">COUNTIFS('Game Log Season 3'!$C$3:$C$1000,"Michelle",'Game Log Season 3'!$D$3:$D$1000,A73,'Game Log Season 3'!$F$3:$F$1000,1)</f>
        <v>0</v>
      </c>
      <c r="D73" s="49" t="n">
        <f aca="false">IFERROR(C73/B73,0)</f>
        <v>0</v>
      </c>
    </row>
    <row r="74" customFormat="false" ht="14.25" hidden="false" customHeight="false" outlineLevel="0" collapsed="false">
      <c r="A74" s="49" t="s">
        <v>96</v>
      </c>
      <c r="B74" s="49" t="n">
        <f aca="false">COUNTIFS('Game Log Season 3'!$C$3:$C$1000,"Michelle",'Game Log Season 3'!$D$3:$D$1000,A74)</f>
        <v>1</v>
      </c>
      <c r="C74" s="49" t="n">
        <f aca="false">COUNTIFS('Game Log Season 3'!$C$3:$C$1000,"Michelle",'Game Log Season 3'!$D$3:$D$1000,A74,'Game Log Season 3'!$F$3:$F$1000,1)</f>
        <v>0</v>
      </c>
      <c r="D74" s="49" t="n">
        <f aca="false">IFERROR(C74/B74,0)</f>
        <v>0</v>
      </c>
    </row>
    <row r="75" customFormat="false" ht="14.25" hidden="false" customHeight="false" outlineLevel="0" collapsed="false">
      <c r="A75" s="47" t="s">
        <v>166</v>
      </c>
      <c r="B75" s="48" t="n">
        <f aca="false">COUNTIFS('Game Log Season 3'!$C$3:$C$1000,A75)</f>
        <v>0</v>
      </c>
      <c r="C75" s="48" t="n">
        <f aca="false">COUNTIFS('Game Log Season 3'!$C$3:$C$1000,A75,'Game Log Season 3'!$F$3:$F$1000,1)</f>
        <v>0</v>
      </c>
      <c r="D75" s="48" t="n">
        <f aca="false">IFERROR(C75/B75,0)</f>
        <v>0</v>
      </c>
    </row>
    <row r="76" customFormat="false" ht="14.25" hidden="false" customHeight="false" outlineLevel="0" collapsed="false">
      <c r="A76" s="49" t="s">
        <v>37</v>
      </c>
      <c r="B76" s="49" t="n">
        <f aca="false">COUNTIFS('Game Log Season 3'!$C$3:$C$1000,"Hiccup_The_Hero",'Game Log Season 3'!$D$3:$D$1000,A76)</f>
        <v>0</v>
      </c>
      <c r="C76" s="49" t="n">
        <f aca="false">COUNTIFS('Game Log Season 3'!$C$3:$C$1000,"Hiccup_The_Hero",'Game Log Season 3'!$D$3:$D$1000,A76,'Game Log Season 3'!$F$3:$F$1000,1)</f>
        <v>0</v>
      </c>
      <c r="D76" s="49" t="n">
        <f aca="false">IFERROR(C76/B76,0)</f>
        <v>0</v>
      </c>
    </row>
    <row r="77" customFormat="false" ht="14.25" hidden="false" customHeight="false" outlineLevel="0" collapsed="false">
      <c r="A77" s="49" t="s">
        <v>48</v>
      </c>
      <c r="B77" s="49" t="n">
        <f aca="false">COUNTIFS('Game Log Season 3'!$C$3:$C$1000,"Hiccup_The_Hero",'Game Log Season 3'!$D$3:$D$1000,A77)</f>
        <v>0</v>
      </c>
      <c r="C77" s="49" t="n">
        <f aca="false">COUNTIFS('Game Log Season 3'!$C$3:$C$1000,"Hiccup_The_Hero",'Game Log Season 3'!$D$3:$D$1000,A77,'Game Log Season 3'!$F$3:$F$1000,1)</f>
        <v>0</v>
      </c>
      <c r="D77" s="49" t="n">
        <f aca="false">IFERROR(C77/B77,0)</f>
        <v>0</v>
      </c>
    </row>
    <row r="78" customFormat="false" ht="14.25" hidden="false" customHeight="false" outlineLevel="0" collapsed="false">
      <c r="A78" s="49" t="s">
        <v>169</v>
      </c>
      <c r="B78" s="49" t="n">
        <f aca="false">COUNTIFS('Game Log Season 3'!$C$3:$C$1000,"Hiccup_The_Hero",'Game Log Season 3'!$D$3:$D$1000,A78)</f>
        <v>0</v>
      </c>
      <c r="C78" s="49" t="n">
        <f aca="false">COUNTIFS('Game Log Season 3'!$C$3:$C$1000,"Hiccup_The_Hero",'Game Log Season 3'!$D$3:$D$1000,A78,'Game Log Season 3'!$F$3:$F$1000,1)</f>
        <v>0</v>
      </c>
      <c r="D78" s="49" t="n">
        <f aca="false">IFERROR(C78/B78,0)</f>
        <v>0</v>
      </c>
    </row>
    <row r="79" customFormat="false" ht="14.25" hidden="false" customHeight="false" outlineLevel="0" collapsed="false">
      <c r="A79" s="49" t="s">
        <v>119</v>
      </c>
      <c r="B79" s="49" t="n">
        <f aca="false">COUNTIFS('Game Log Season 3'!$C$3:$C$1000,"Hiccup_The_Hero",'Game Log Season 3'!$D$3:$D$1000,A79)</f>
        <v>0</v>
      </c>
      <c r="C79" s="49" t="n">
        <f aca="false">COUNTIFS('Game Log Season 3'!$C$3:$C$1000,"Hiccup_The_Hero",'Game Log Season 3'!$D$3:$D$1000,A79,'Game Log Season 3'!$F$3:$F$1000,1)</f>
        <v>0</v>
      </c>
      <c r="D79" s="49" t="n">
        <f aca="false">IFERROR(C79/B79,0)</f>
        <v>0</v>
      </c>
    </row>
    <row r="80" customFormat="false" ht="14.25" hidden="false" customHeight="false" outlineLevel="0" collapsed="false">
      <c r="A80" s="49" t="s">
        <v>68</v>
      </c>
      <c r="B80" s="49" t="n">
        <f aca="false">COUNTIFS('Game Log Season 3'!$C$3:$C$1000,"Hiccup_The_Hero",'Game Log Season 3'!$D$3:$D$1000,A80)</f>
        <v>0</v>
      </c>
      <c r="C80" s="49" t="n">
        <f aca="false">COUNTIFS('Game Log Season 3'!$C$3:$C$1000,"Hiccup_The_Hero",'Game Log Season 3'!$D$3:$D$1000,A80,'Game Log Season 3'!$F$3:$F$1000,1)</f>
        <v>0</v>
      </c>
      <c r="D80" s="49" t="n">
        <f aca="false">IFERROR(C80/B80,0)</f>
        <v>0</v>
      </c>
    </row>
    <row r="81" customFormat="false" ht="14.25" hidden="false" customHeight="false" outlineLevel="0" collapsed="false">
      <c r="A81" s="49" t="s">
        <v>91</v>
      </c>
      <c r="B81" s="49" t="n">
        <f aca="false">COUNTIFS('Game Log Season 3'!$C$3:$C$1000,"Hiccup_The_Hero",'Game Log Season 3'!$D$3:$D$1000,A81)</f>
        <v>0</v>
      </c>
      <c r="C81" s="49" t="n">
        <f aca="false">COUNTIFS('Game Log Season 3'!$C$3:$C$1000,"Hiccup_The_Hero",'Game Log Season 3'!$D$3:$D$1000,A81,'Game Log Season 3'!$F$3:$F$1000,1)</f>
        <v>0</v>
      </c>
      <c r="D81" s="49" t="n">
        <f aca="false">IFERROR(C81/B81,0)</f>
        <v>0</v>
      </c>
    </row>
    <row r="82" customFormat="false" ht="14.25" hidden="false" customHeight="false" outlineLevel="0" collapsed="false">
      <c r="A82" s="49" t="s">
        <v>82</v>
      </c>
      <c r="B82" s="49" t="n">
        <f aca="false">COUNTIFS('Game Log Season 3'!$C$3:$C$1000,"Hiccup_The_Hero",'Game Log Season 3'!$D$3:$D$1000,A82)</f>
        <v>0</v>
      </c>
      <c r="C82" s="49" t="n">
        <f aca="false">COUNTIFS('Game Log Season 3'!$C$3:$C$1000,"Hiccup_The_Hero",'Game Log Season 3'!$D$3:$D$1000,A82,'Game Log Season 3'!$F$3:$F$1000,1)</f>
        <v>0</v>
      </c>
      <c r="D82" s="49" t="n">
        <f aca="false">IFERROR(C82/B82,0)</f>
        <v>0</v>
      </c>
    </row>
    <row r="83" customFormat="false" ht="14.25" hidden="false" customHeight="false" outlineLevel="0" collapsed="false">
      <c r="A83" s="49" t="s">
        <v>121</v>
      </c>
      <c r="B83" s="49" t="n">
        <f aca="false">COUNTIFS('Game Log Season 3'!$C$3:$C$1000,"Hiccup_The_Hero",'Game Log Season 3'!$D$3:$D$1000,A83)</f>
        <v>0</v>
      </c>
      <c r="C83" s="49" t="n">
        <f aca="false">COUNTIFS('Game Log Season 3'!$C$3:$C$1000,"Hiccup_The_Hero",'Game Log Season 3'!$D$3:$D$1000,A83,'Game Log Season 3'!$F$3:$F$1000,1)</f>
        <v>0</v>
      </c>
      <c r="D83" s="49" t="n">
        <f aca="false">IFERROR(C83/B83,0)</f>
        <v>0</v>
      </c>
    </row>
    <row r="84" customFormat="false" ht="14.25" hidden="false" customHeight="false" outlineLevel="0" collapsed="false">
      <c r="A84" s="49" t="s">
        <v>176</v>
      </c>
      <c r="B84" s="49" t="n">
        <f aca="false">COUNTIFS('Game Log Season 3'!$C$3:$C$1000,"Hiccup_The_Hero",'Game Log Season 3'!$D$3:$D$1000,A84)</f>
        <v>0</v>
      </c>
      <c r="C84" s="49" t="n">
        <f aca="false">COUNTIFS('Game Log Season 3'!$C$3:$C$1000,"Hiccup_The_Hero",'Game Log Season 3'!$D$3:$D$1000,A84,'Game Log Season 3'!$F$3:$F$1000,1)</f>
        <v>0</v>
      </c>
      <c r="D84" s="49" t="n">
        <f aca="false">IFERROR(C84/B84,0)</f>
        <v>0</v>
      </c>
    </row>
    <row r="85" customFormat="false" ht="14.25" hidden="false" customHeight="false" outlineLevel="0" collapsed="false">
      <c r="A85" s="49" t="s">
        <v>123</v>
      </c>
      <c r="B85" s="49" t="n">
        <f aca="false">COUNTIFS('Game Log Season 3'!$C$3:$C$1000,"Hiccup_The_Hero",'Game Log Season 3'!$D$3:$D$1000,A85)</f>
        <v>0</v>
      </c>
      <c r="C85" s="49" t="n">
        <f aca="false">COUNTIFS('Game Log Season 3'!$C$3:$C$1000,"Hiccup_The_Hero",'Game Log Season 3'!$D$3:$D$1000,A85,'Game Log Season 3'!$F$3:$F$1000,1)</f>
        <v>0</v>
      </c>
      <c r="D85" s="49" t="n">
        <f aca="false">IFERROR(C85/B85,0)</f>
        <v>0</v>
      </c>
    </row>
    <row r="86" customFormat="false" ht="14.25" hidden="false" customHeight="false" outlineLevel="0" collapsed="false">
      <c r="A86" s="49" t="s">
        <v>157</v>
      </c>
      <c r="B86" s="49" t="n">
        <f aca="false">COUNTIFS('Game Log Season 3'!$C$3:$C$1000,"Hiccup_The_Hero",'Game Log Season 3'!$D$3:$D$1000,A86)</f>
        <v>0</v>
      </c>
      <c r="C86" s="49" t="n">
        <f aca="false">COUNTIFS('Game Log Season 3'!$C$3:$C$1000,"Hiccup_The_Hero",'Game Log Season 3'!$D$3:$D$1000,A86,'Game Log Season 3'!$F$3:$F$1000,1)</f>
        <v>0</v>
      </c>
      <c r="D86" s="49" t="n">
        <f aca="false">IFERROR(C86/B86,0)</f>
        <v>0</v>
      </c>
    </row>
    <row r="87" customFormat="false" ht="14.25" hidden="false" customHeight="false" outlineLevel="0" collapsed="false">
      <c r="A87" s="49" t="s">
        <v>88</v>
      </c>
      <c r="B87" s="49" t="n">
        <f aca="false">COUNTIFS('Game Log Season 3'!$C$3:$C$1000,"Hiccup_The_Hero",'Game Log Season 3'!$D$3:$D$1000,A87)</f>
        <v>0</v>
      </c>
      <c r="C87" s="49" t="n">
        <f aca="false">COUNTIFS('Game Log Season 3'!$C$3:$C$1000,"Hiccup_The_Hero",'Game Log Season 3'!$D$3:$D$1000,A87,'Game Log Season 3'!$F$3:$F$1000,1)</f>
        <v>0</v>
      </c>
      <c r="D87" s="49" t="n">
        <f aca="false">IFERROR(C87/B87,0)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false" outlineLevel="0" collapsed="false">
      <c r="A1" s="51" t="s">
        <v>185</v>
      </c>
      <c r="B1" s="51" t="s">
        <v>186</v>
      </c>
      <c r="C1" s="51" t="s">
        <v>187</v>
      </c>
      <c r="D1" s="51" t="s">
        <v>188</v>
      </c>
      <c r="E1" s="51" t="s">
        <v>184</v>
      </c>
      <c r="F1" s="51" t="s">
        <v>189</v>
      </c>
      <c r="G1" s="51" t="s">
        <v>190</v>
      </c>
      <c r="H1" s="51" t="s">
        <v>191</v>
      </c>
      <c r="I1" s="51" t="s">
        <v>192</v>
      </c>
      <c r="J1" s="51" t="s">
        <v>193</v>
      </c>
      <c r="K1" s="51" t="s">
        <v>194</v>
      </c>
      <c r="L1" s="51" t="s">
        <v>195</v>
      </c>
    </row>
    <row r="2" customFormat="false" ht="14.25" hidden="false" customHeight="false" outlineLevel="0" collapsed="false">
      <c r="A2" s="1" t="s">
        <v>30</v>
      </c>
      <c r="B2" s="18" t="n">
        <f aca="false">(H2*0.3)+(I2*0.2)+(L2*0.5)</f>
        <v>0.371988902467902</v>
      </c>
      <c r="C2" s="15" t="n">
        <f aca="false">COUNTIFS('Game Log Season 3'!$C$3:$C$126, "Mateo", 'Game Log Season 3'!$F$3:$F$126, 1)</f>
        <v>5</v>
      </c>
      <c r="D2" s="15" t="n">
        <f aca="false">COUNTIFS('Game Log Season 3'!$C$3:$C$126, "Mateo", 'Game Log Season 3'!$F$3:$F$126, 0)</f>
        <v>7</v>
      </c>
      <c r="E2" s="18" t="n">
        <f aca="false">IFERROR(C2/(C2+D2),0)</f>
        <v>0.416666666666667</v>
      </c>
      <c r="F2" s="15" t="n">
        <f aca="false">SUMIFS('Game Log Season 3'!$J$3:$J$126, 'Game Log Season 3'!$C$3:$C$126, "Mateo", 'Game Log Season 3'!$F$3:$F$126, 1)</f>
        <v>3.55</v>
      </c>
      <c r="G2" s="15" t="n">
        <f aca="false">IFERROR((1-(AVERAGEIFS('Game Log Season 3'!$J$3:$J$126, 'Game Log Season 3'!$C$3:$C$126, "Mateo", 'Game Log Season 3'!$F$3:$F$126, 0)*-1))*D2,0)</f>
        <v>5.13333333333333</v>
      </c>
      <c r="H2" s="18" t="n">
        <f aca="false">IFERROR(F2/(F2+G2),0)</f>
        <v>0.408829174664108</v>
      </c>
      <c r="I2" s="18" t="n">
        <f aca="false">IF(C2&lt;&gt;0,AVERAGEIF('Game Log Season 3'!$C$3:$C$126, "Mateo", 'Game Log Season 3'!$K$3:$K$126),0)</f>
        <v>0.238611111111111</v>
      </c>
      <c r="J2" s="15" t="n">
        <f aca="false">IFERROR((1-(AVERAGEIFS('Game Log Season 3'!$M$3:$M$126, 'Game Log Season 3'!$C$3:$C$126, "Mateo", 'Game Log Season 3'!$F$3:$F$126, 1)-0.5))*C2, 0)</f>
        <v>5.01575</v>
      </c>
      <c r="K2" s="15" t="n">
        <f aca="false">IFERROR((1+(AVERAGEIFS('Game Log Season 3'!$M$3:$M$126, 'Game Log Season 3'!$C$3:$C$126, "Mateo", 'Game Log Season 3'!$F$3:$F$126, 0)-0.5))*D2, 0)</f>
        <v>7.423</v>
      </c>
      <c r="L2" s="18" t="n">
        <f aca="false">IFERROR(J2/(J2+K2),0)</f>
        <v>0.403235855692895</v>
      </c>
    </row>
    <row r="3" customFormat="false" ht="14.25" hidden="false" customHeight="false" outlineLevel="0" collapsed="false">
      <c r="A3" s="1" t="s">
        <v>32</v>
      </c>
      <c r="B3" s="18" t="n">
        <f aca="false">(H3*0.3)+(I3*0.2)+(L3*0.5)</f>
        <v>0.249788769042654</v>
      </c>
      <c r="C3" s="15" t="n">
        <f aca="false">COUNTIFS('Game Log Season 3'!$C$3:$C$126, "Ryan", 'Game Log Season 3'!$F$3:$F$126, 1)</f>
        <v>3</v>
      </c>
      <c r="D3" s="15" t="n">
        <f aca="false">COUNTIFS('Game Log Season 3'!$C$3:$C$126, "Ryan", 'Game Log Season 3'!$F$3:$F$126, 0)</f>
        <v>8</v>
      </c>
      <c r="E3" s="18" t="n">
        <f aca="false">IFERROR(C3/(C3+D3),0)</f>
        <v>0.272727272727273</v>
      </c>
      <c r="F3" s="15" t="n">
        <f aca="false">SUMIFS('Game Log Season 3'!$J$3:$J$126, 'Game Log Season 3'!$C$3:$C$126, "Ryan", 'Game Log Season 3'!$F$3:$F$126, 1)</f>
        <v>2.13333333333333</v>
      </c>
      <c r="G3" s="15" t="n">
        <f aca="false">IFERROR((1-(AVERAGEIFS('Game Log Season 3'!$J$3:$J$126, 'Game Log Season 3'!$C$3:$C$126, "Ryan", 'Game Log Season 3'!$F$3:$F$126, 0)*-1))*D3,0)</f>
        <v>5.71666666666667</v>
      </c>
      <c r="H3" s="18" t="n">
        <f aca="false">IFERROR(F3/(F3+G3),0)</f>
        <v>0.271762208067941</v>
      </c>
      <c r="I3" s="18" t="n">
        <f aca="false">IF(C3&lt;&gt;0,AVERAGEIF('Game Log Season 3'!$C$3:$C$126, "Ryan", 'Game Log Season 3'!$K$3:$K$126),0)</f>
        <v>0.187575757575758</v>
      </c>
      <c r="J3" s="15" t="n">
        <f aca="false">IFERROR((1-(AVERAGEIFS('Game Log Season 3'!$M$3:$M$126, 'Game Log Season 3'!$C$3:$C$126, "Ryan", 'Game Log Season 3'!$F$3:$F$126, 1)-0.5))*C3, 0)</f>
        <v>2.9415</v>
      </c>
      <c r="K3" s="15" t="n">
        <f aca="false">IFERROR((1+(AVERAGEIFS('Game Log Season 3'!$M$3:$M$126, 'Game Log Season 3'!$C$3:$C$126, "Ryan", 'Game Log Season 3'!$F$3:$F$126, 0)-0.5))*D3, 0)</f>
        <v>8.3075</v>
      </c>
      <c r="L3" s="18" t="n">
        <f aca="false">IFERROR(J3/(J3+K3),0)</f>
        <v>0.261489910214241</v>
      </c>
    </row>
    <row r="4" customFormat="false" ht="14.25" hidden="false" customHeight="false" outlineLevel="0" collapsed="false">
      <c r="A4" s="1" t="s">
        <v>26</v>
      </c>
      <c r="B4" s="18" t="n">
        <f aca="false">(H4*0.3)+(I4*0.2)+(L4*0.5)</f>
        <v>0.257655970198026</v>
      </c>
      <c r="C4" s="15" t="n">
        <f aca="false">COUNTIFS('Game Log Season 3'!$C$3:$C$126, "Becca", 'Game Log Season 3'!$F$3:$F$126, 1)</f>
        <v>2</v>
      </c>
      <c r="D4" s="15" t="n">
        <f aca="false">COUNTIFS('Game Log Season 3'!$C$3:$C$126, "Becca", 'Game Log Season 3'!$F$3:$F$126, 0)</f>
        <v>5</v>
      </c>
      <c r="E4" s="18" t="n">
        <f aca="false">IFERROR(C4/(C4+D4),0)</f>
        <v>0.285714285714286</v>
      </c>
      <c r="F4" s="15" t="n">
        <f aca="false">SUMIFS('Game Log Season 3'!$J$3:$J$126, 'Game Log Season 3'!$C$3:$C$126, "Becca", 'Game Log Season 3'!$F$3:$F$126, 1)</f>
        <v>1.5</v>
      </c>
      <c r="G4" s="15" t="n">
        <f aca="false">IFERROR((1-(AVERAGEIFS('Game Log Season 3'!$J$3:$J$126, 'Game Log Season 3'!$C$3:$C$126, "Becca", 'Game Log Season 3'!$F$3:$F$126, 0)*-1))*D4,0)</f>
        <v>3.63333333333333</v>
      </c>
      <c r="H4" s="18" t="n">
        <f aca="false">IFERROR(F4/(F4+G4),0)</f>
        <v>0.292207792207792</v>
      </c>
      <c r="I4" s="18" t="n">
        <f aca="false">IF(C4&lt;&gt;0,AVERAGEIF('Game Log Season 3'!$C$3:$C$126, "Becca", 'Game Log Season 3'!$K$3:$K$126),0)</f>
        <v>0.0771428571428572</v>
      </c>
      <c r="J4" s="15" t="n">
        <f aca="false">IFERROR((1-(AVERAGEIFS('Game Log Season 3'!$M$3:$M$126, 'Game Log Season 3'!$C$3:$C$126, "Becca", 'Game Log Season 3'!$F$3:$F$126, 1)-0.5))*C4, 0)</f>
        <v>2.15</v>
      </c>
      <c r="K4" s="15" t="n">
        <f aca="false">IFERROR((1+(AVERAGEIFS('Game Log Season 3'!$M$3:$M$126, 'Game Log Season 3'!$C$3:$C$126, "Becca", 'Game Log Season 3'!$F$3:$F$126, 0)-0.5))*D4, 0)</f>
        <v>4.805</v>
      </c>
      <c r="L4" s="18" t="n">
        <f aca="false">IFERROR(J4/(J4+K4),0)</f>
        <v>0.309130122214234</v>
      </c>
    </row>
    <row r="5" customFormat="false" ht="14.25" hidden="false" customHeight="false" outlineLevel="0" collapsed="false">
      <c r="A5" s="1" t="s">
        <v>28</v>
      </c>
      <c r="B5" s="18" t="n">
        <f aca="false">(H5*0.3)+(I5*0.2)+(L5*0.5)</f>
        <v>0.259653014766718</v>
      </c>
      <c r="C5" s="15" t="n">
        <f aca="false">COUNTIFS('Game Log Season 3'!$C$3:$C$126, "Manny", 'Game Log Season 3'!$F$3:$F$126, 1)</f>
        <v>4</v>
      </c>
      <c r="D5" s="15" t="n">
        <f aca="false">COUNTIFS('Game Log Season 3'!$C$3:$C$126, "Manny", 'Game Log Season 3'!$F$3:$F$126, 0)</f>
        <v>10</v>
      </c>
      <c r="E5" s="18" t="n">
        <f aca="false">IFERROR(C5/(C5+D5),0)</f>
        <v>0.285714285714286</v>
      </c>
      <c r="F5" s="15" t="n">
        <f aca="false">SUMIFS('Game Log Season 3'!$J$3:$J$126, 'Game Log Season 3'!$C$3:$C$126, "Manny", 'Game Log Season 3'!$F$3:$F$126, 1)</f>
        <v>2.83333333333333</v>
      </c>
      <c r="G5" s="15" t="n">
        <f aca="false">IFERROR((1-(AVERAGEIFS('Game Log Season 3'!$J$3:$J$126, 'Game Log Season 3'!$C$3:$C$126, "Manny", 'Game Log Season 3'!$F$3:$F$126, 0)*-1))*D5,0)</f>
        <v>7.18333333333333</v>
      </c>
      <c r="H5" s="18" t="n">
        <f aca="false">IFERROR(F5/(F5+G5),0)</f>
        <v>0.282861896838602</v>
      </c>
      <c r="I5" s="18" t="n">
        <f aca="false">IF(C5&lt;&gt;0,AVERAGEIF('Game Log Season 3'!$C$3:$C$126, "Manny", 'Game Log Season 3'!$K$3:$K$126),0)</f>
        <v>0.166428571428571</v>
      </c>
      <c r="J5" s="15" t="n">
        <f aca="false">IFERROR((1-(AVERAGEIFS('Game Log Season 3'!$M$3:$M$126, 'Game Log Season 3'!$C$3:$C$126, "Manny", 'Game Log Season 3'!$F$3:$F$126, 1)-0.5))*C5, 0)</f>
        <v>3.8005</v>
      </c>
      <c r="K5" s="15" t="n">
        <f aca="false">IFERROR((1+(AVERAGEIFS('Game Log Season 3'!$M$3:$M$126, 'Game Log Season 3'!$C$3:$C$126, "Manny", 'Game Log Season 3'!$F$3:$F$126, 0)-0.5))*D5, 0)</f>
        <v>9.628</v>
      </c>
      <c r="L5" s="18" t="n">
        <f aca="false">IFERROR(J5/(J5+K5),0)</f>
        <v>0.283017462858845</v>
      </c>
    </row>
    <row r="6" customFormat="false" ht="14.25" hidden="false" customHeight="false" outlineLevel="0" collapsed="false">
      <c r="A6" s="1" t="s">
        <v>70</v>
      </c>
      <c r="B6" s="18" t="n">
        <f aca="false">(H6*0.3)+(I6*0.2)+(L6*0.5)</f>
        <v>0</v>
      </c>
      <c r="C6" s="15" t="n">
        <f aca="false">COUNTIFS('Game Log Season 3'!$C$3:$C$126, "Kristy", 'Game Log Season 3'!$F$3:$F$126, 1)</f>
        <v>0</v>
      </c>
      <c r="D6" s="15" t="n">
        <f aca="false">COUNTIFS('Game Log Season 3'!$C$3:$C$126, "Kristy", 'Game Log Season 3'!$F$3:$F$126, 0)</f>
        <v>2</v>
      </c>
      <c r="E6" s="18" t="n">
        <f aca="false">IFERROR(C6/(C6+D6),0)</f>
        <v>0</v>
      </c>
      <c r="F6" s="15" t="n">
        <f aca="false">SUMIFS('Game Log Season 3'!$J$3:$J$126, 'Game Log Season 3'!$C$3:$C$126, "Kristy", 'Game Log Season 3'!$F$3:$F$126, 1)</f>
        <v>0</v>
      </c>
      <c r="G6" s="15" t="n">
        <f aca="false">IFERROR((1-(AVERAGEIFS('Game Log Season 3'!$J$3:$J$126, 'Game Log Season 3'!$C$3:$C$126, "Kristy", 'Game Log Season 3'!$F$3:$F$126, 0)*-1))*D6,0)</f>
        <v>1.6</v>
      </c>
      <c r="H6" s="18" t="n">
        <f aca="false">IFERROR(F6/(F6+G6),0)</f>
        <v>0</v>
      </c>
      <c r="I6" s="18" t="n">
        <f aca="false">IF(C6&lt;&gt;0,AVERAGEIF('Game Log Season 3'!$C$3:$C$126, "Kristy", 'Game Log Season 3'!$K$3:$K$126),0)</f>
        <v>0</v>
      </c>
      <c r="J6" s="15" t="n">
        <f aca="false">IFERROR((1-(AVERAGEIFS('Game Log Season 3'!$M$3:$M$126, 'Game Log Season 3'!$C$3:$C$126, "Kristy", 'Game Log Season 3'!$F$3:$F$126, 1)-0.5))*C6, 0)</f>
        <v>0</v>
      </c>
      <c r="K6" s="15" t="n">
        <f aca="false">IFERROR((1+(AVERAGEIFS('Game Log Season 3'!$M$3:$M$126, 'Game Log Season 3'!$C$3:$C$126, "Kristy", 'Game Log Season 3'!$F$3:$F$126, 0)-0.5))*D6, 0)</f>
        <v>1.955</v>
      </c>
      <c r="L6" s="18" t="n">
        <f aca="false">IFERROR(J6/(J6+K6),0)</f>
        <v>0</v>
      </c>
    </row>
    <row r="7" customFormat="false" ht="14.25" hidden="false" customHeight="false" outlineLevel="0" collapsed="false">
      <c r="A7" s="1" t="s">
        <v>38</v>
      </c>
      <c r="B7" s="18" t="n">
        <f aca="false">(H7*0.3)+(I7*0.2)+(L7*0.5)</f>
        <v>0</v>
      </c>
      <c r="C7" s="15" t="n">
        <f aca="false">COUNTIFS('Game Log Season 3'!$C$3:$C$126, "Joseph", 'Game Log Season 3'!$F$3:$F$126, 1)</f>
        <v>0</v>
      </c>
      <c r="D7" s="15" t="n">
        <f aca="false">COUNTIFS('Game Log Season 3'!$C$3:$C$126, "Joseph", 'Game Log Season 3'!$F$3:$F$126, 0)</f>
        <v>1</v>
      </c>
      <c r="E7" s="18" t="n">
        <f aca="false">IFERROR(C7/(C7+D7),0)</f>
        <v>0</v>
      </c>
      <c r="F7" s="15" t="n">
        <f aca="false">SUMIFS('Game Log Season 3'!$J$3:$J$126, 'Game Log Season 3'!$C$3:$C$126, "Joseph", 'Game Log Season 3'!$F$3:$F$126, 1)</f>
        <v>0</v>
      </c>
      <c r="G7" s="15" t="n">
        <f aca="false">IFERROR((1-(AVERAGEIFS('Game Log Season 3'!$J$3:$J$126, 'Game Log Season 3'!$C$3:$C$126, "Joseph", 'Game Log Season 3'!$F$3:$F$126, 0)*-1))*D7,0)</f>
        <v>0.8</v>
      </c>
      <c r="H7" s="18" t="n">
        <f aca="false">IFERROR(F7/(F7+G7),0)</f>
        <v>0</v>
      </c>
      <c r="I7" s="18" t="n">
        <f aca="false">IF(C7&lt;&gt;0,AVERAGEIF('Game Log Season 3'!$C$3:$C$126, "Joseph", 'Game Log Season 3'!$K$3:$K$126),0)</f>
        <v>0</v>
      </c>
      <c r="J7" s="15" t="n">
        <f aca="false">IFERROR((1-(AVERAGEIFS('Game Log Season 3'!$M$3:$M$126, 'Game Log Season 3'!$C$3:$C$126, "Joseph", 'Game Log Season 3'!$F$3:$F$126, 1)-0.5))*C7, 0)</f>
        <v>0</v>
      </c>
      <c r="K7" s="15" t="n">
        <f aca="false">IFERROR((1+(AVERAGEIFS('Game Log Season 3'!$M$3:$M$126, 'Game Log Season 3'!$C$3:$C$126, "Joseph", 'Game Log Season 3'!$F$3:$F$126, 0)-0.5))*D7, 0)</f>
        <v>1.04275</v>
      </c>
      <c r="L7" s="18" t="n">
        <f aca="false">IFERROR(J7/(J7+K7),0)</f>
        <v>0</v>
      </c>
    </row>
    <row r="8" customFormat="false" ht="14.25" hidden="false" customHeight="false" outlineLevel="0" collapsed="false">
      <c r="A8" s="1" t="s">
        <v>51</v>
      </c>
      <c r="B8" s="18" t="n">
        <f aca="false">(H8*0.3)+(I8*0.2)+(L8*0.5)</f>
        <v>0</v>
      </c>
      <c r="C8" s="15" t="n">
        <f aca="false">COUNTIFS('Game Log Season 3'!$C$3:$C$126, "Michelle", 'Game Log Season 3'!$F$3:$F$126, 1)</f>
        <v>0</v>
      </c>
      <c r="D8" s="15" t="n">
        <f aca="false">COUNTIFS('Game Log Season 3'!$C$3:$C$126, "Michelle", 'Game Log Season 3'!$F$3:$F$126, 0)</f>
        <v>4</v>
      </c>
      <c r="E8" s="18" t="n">
        <f aca="false">IFERROR(C8/(C8+D8),0)</f>
        <v>0</v>
      </c>
      <c r="F8" s="15" t="n">
        <f aca="false">SUMIFS('Game Log Season 3'!$J$3:$J$126, 'Game Log Season 3'!$C$3:$C$126, "Michelle", 'Game Log Season 3'!$F$3:$F$126, 1)</f>
        <v>0</v>
      </c>
      <c r="G8" s="15" t="n">
        <f aca="false">IFERROR((1-(AVERAGEIFS('Game Log Season 3'!$J$3:$J$126, 'Game Log Season 3'!$C$3:$C$126, "Michelle", 'Game Log Season 3'!$F$3:$F$126, 0)*-1))*D8,0)</f>
        <v>2.91666666666667</v>
      </c>
      <c r="H8" s="18" t="n">
        <f aca="false">IFERROR(F8/(F8+G8),0)</f>
        <v>0</v>
      </c>
      <c r="I8" s="18" t="n">
        <f aca="false">IF(C8&lt;&gt;0,AVERAGEIF('Game Log Season 3'!$C$3:$C$126, "Michelle", 'Game Log Season 3'!$K$3:$K$126),0)</f>
        <v>0</v>
      </c>
      <c r="J8" s="15" t="n">
        <f aca="false">IFERROR((1-(AVERAGEIFS('Game Log Season 3'!$M$3:$M$126, 'Game Log Season 3'!$C$3:$C$126, "Michelle", 'Game Log Season 3'!$F$3:$F$126, 1)-0.5))*C8, 0)</f>
        <v>0</v>
      </c>
      <c r="K8" s="15" t="n">
        <f aca="false">IFERROR((1+(AVERAGEIFS('Game Log Season 3'!$M$3:$M$126, 'Game Log Season 3'!$C$3:$C$126, "Michelle", 'Game Log Season 3'!$F$3:$F$126, 0)-0.5))*D8, 0)</f>
        <v>3.7465</v>
      </c>
      <c r="L8" s="18" t="n">
        <f aca="false">IFERROR(J8/(J8+K8),0)</f>
        <v>0</v>
      </c>
    </row>
    <row r="9" customFormat="false" ht="14.25" hidden="false" customHeight="false" outlineLevel="0" collapsed="false">
      <c r="A9" s="1" t="s">
        <v>59</v>
      </c>
      <c r="B9" s="18" t="n">
        <f aca="false">(H9*0.3)+(I9*0.2)+(L9*0.5)</f>
        <v>0</v>
      </c>
      <c r="C9" s="15" t="n">
        <f aca="false">COUNTIFS('Game Log Season 3'!$C$3:$C$126, "Red", 'Game Log Season 3'!$F$3:$F$126, 1)</f>
        <v>0</v>
      </c>
      <c r="D9" s="15" t="n">
        <f aca="false">COUNTIFS('Game Log Season 3'!$C$3:$C$126, "Red", 'Game Log Season 3'!$F$3:$F$126, 0)</f>
        <v>0</v>
      </c>
      <c r="E9" s="18" t="n">
        <f aca="false">IFERROR(C9/(C9+D9),0)</f>
        <v>0</v>
      </c>
      <c r="F9" s="15" t="n">
        <f aca="false">SUMIFS('Game Log Season 3'!$J$3:$J$126, 'Game Log Season 3'!$C$3:$C$126, "Red", 'Game Log Season 3'!$F$3:$F$126, 1)</f>
        <v>0</v>
      </c>
      <c r="G9" s="15" t="n">
        <f aca="false">IFERROR((1-(AVERAGEIFS('Game Log Season 3'!$J$3:$J$126, 'Game Log Season 3'!$C$3:$C$126, "Red", 'Game Log Season 3'!$F$3:$F$126, 0)*-1))*D9,0)</f>
        <v>0</v>
      </c>
      <c r="H9" s="18" t="n">
        <f aca="false">IFERROR(F9/(F9+G9),0)</f>
        <v>0</v>
      </c>
      <c r="I9" s="18" t="n">
        <f aca="false">IF(C9&lt;&gt;0,AVERAGEIF('Game Log Season 3'!$C$3:$C$126, "Red", 'Game Log Season 3'!$K$3:$K$126),0)</f>
        <v>0</v>
      </c>
      <c r="J9" s="15" t="n">
        <f aca="false">IFERROR((1-(AVERAGEIFS('Game Log Season 3'!$M$3:$M$126, 'Game Log Season 3'!$C$3:$C$126, "Red", 'Game Log Season 3'!$F$3:$F$126, 1)-0.5))*C9, 0)</f>
        <v>0</v>
      </c>
      <c r="K9" s="15" t="n">
        <f aca="false">IFERROR((1+(AVERAGEIFS('Game Log Season 3'!$M$3:$M$126, 'Game Log Season 3'!$C$3:$C$126, "Red", 'Game Log Season 3'!$F$3:$F$126, 0)-0.5))*D9, 0)</f>
        <v>0</v>
      </c>
      <c r="L9" s="18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