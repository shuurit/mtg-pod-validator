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b23a57f093e829b/Documents/MTG/"/>
    </mc:Choice>
  </mc:AlternateContent>
  <xr:revisionPtr revIDLastSave="2631" documentId="8_{7AD9B90C-98D6-4CEA-B5D8-A8398F5679FD}" xr6:coauthVersionLast="47" xr6:coauthVersionMax="47" xr10:uidLastSave="{FF185EFC-A89D-4180-883E-73A7299F91A7}"/>
  <bookViews>
    <workbookView xWindow="-108" yWindow="-108" windowWidth="23256" windowHeight="12456" firstSheet="2" activeTab="3" xr2:uid="{098F7199-AB3D-41F5-AC2C-C6B1AA81101D}"/>
  </bookViews>
  <sheets>
    <sheet name="Game Log Season 1" sheetId="5" r:id="rId1"/>
    <sheet name="Game Log Season 2" sheetId="8" r:id="rId2"/>
    <sheet name="Game Log Season 3" sheetId="10" r:id="rId3"/>
    <sheet name="Current Deck Strength" sheetId="9" r:id="rId4"/>
    <sheet name="Deck Win Rates" sheetId="7" r:id="rId5"/>
    <sheet name="Player Adjusted Ranks" sheetId="6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  <definedName name="_xlnm._FilterDatabase" localSheetId="5" hidden="1">'Player Adjusted Ranks'!$A$1:$L$9</definedName>
  </definedNames>
  <calcPr calcId="191029" fullCalcOnLoad="1"/>
  <pivotCaches>
    <pivotCache cacheId="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7" l="1"/>
  <c r="D35" i="7"/>
  <c r="B7" i="9"/>
  <c r="X50" i="10"/>
  <c r="X49" i="10"/>
  <c r="X48" i="10"/>
  <c r="U50" i="10"/>
  <c r="U49" i="10"/>
  <c r="U48" i="10"/>
  <c r="Q50" i="10"/>
  <c r="Q49" i="10"/>
  <c r="Q48" i="10"/>
  <c r="L50" i="10"/>
  <c r="M50" i="10" s="1"/>
  <c r="L49" i="10"/>
  <c r="M49" i="10" s="1"/>
  <c r="M48" i="10"/>
  <c r="L48" i="10"/>
  <c r="K50" i="10"/>
  <c r="N50" i="10"/>
  <c r="O50" i="10"/>
  <c r="K49" i="10"/>
  <c r="N49" i="10"/>
  <c r="O49" i="10" s="1"/>
  <c r="K48" i="10"/>
  <c r="N48" i="10"/>
  <c r="O48" i="10"/>
  <c r="J50" i="10"/>
  <c r="J49" i="10"/>
  <c r="J48" i="10"/>
  <c r="X47" i="10"/>
  <c r="X46" i="10"/>
  <c r="X45" i="10"/>
  <c r="U47" i="10"/>
  <c r="U46" i="10"/>
  <c r="U45" i="10"/>
  <c r="Q47" i="10"/>
  <c r="Q46" i="10"/>
  <c r="Q45" i="10"/>
  <c r="L47" i="10"/>
  <c r="M47" i="10" s="1"/>
  <c r="L46" i="10"/>
  <c r="M46" i="10" s="1"/>
  <c r="L45" i="10"/>
  <c r="M45" i="10" s="1"/>
  <c r="K47" i="10"/>
  <c r="N47" i="10"/>
  <c r="O47" i="10" s="1"/>
  <c r="K46" i="10"/>
  <c r="N46" i="10"/>
  <c r="O46" i="10" s="1"/>
  <c r="K45" i="10"/>
  <c r="N45" i="10"/>
  <c r="O45" i="10"/>
  <c r="J47" i="10"/>
  <c r="J46" i="10"/>
  <c r="J45" i="10"/>
  <c r="X44" i="10"/>
  <c r="X43" i="10"/>
  <c r="X42" i="10"/>
  <c r="U44" i="10"/>
  <c r="U43" i="10"/>
  <c r="U42" i="10"/>
  <c r="Q44" i="10"/>
  <c r="Q43" i="10"/>
  <c r="Q42" i="10"/>
  <c r="L44" i="10"/>
  <c r="M44" i="10" s="1"/>
  <c r="L43" i="10"/>
  <c r="M43" i="10" s="1"/>
  <c r="L42" i="10"/>
  <c r="M42" i="10" s="1"/>
  <c r="K44" i="10"/>
  <c r="N44" i="10"/>
  <c r="O44" i="10" s="1"/>
  <c r="K43" i="10"/>
  <c r="N43" i="10"/>
  <c r="O43" i="10" s="1"/>
  <c r="K42" i="10"/>
  <c r="N42" i="10"/>
  <c r="O42" i="10" s="1"/>
  <c r="J44" i="10"/>
  <c r="J43" i="10"/>
  <c r="J42" i="10"/>
  <c r="D34" i="7"/>
  <c r="D33" i="7"/>
  <c r="B33" i="9"/>
  <c r="B18" i="9"/>
  <c r="X41" i="10"/>
  <c r="X40" i="10"/>
  <c r="X39" i="10"/>
  <c r="U41" i="10"/>
  <c r="U40" i="10"/>
  <c r="U39" i="10"/>
  <c r="Q41" i="10"/>
  <c r="Q40" i="10"/>
  <c r="Q39" i="10"/>
  <c r="L41" i="10"/>
  <c r="M41" i="10" s="1"/>
  <c r="L40" i="10"/>
  <c r="M40" i="10" s="1"/>
  <c r="M39" i="10"/>
  <c r="L39" i="10"/>
  <c r="K41" i="10"/>
  <c r="N41" i="10"/>
  <c r="O41" i="10" s="1"/>
  <c r="K40" i="10"/>
  <c r="N40" i="10"/>
  <c r="O40" i="10"/>
  <c r="K39" i="10"/>
  <c r="N39" i="10"/>
  <c r="O39" i="10" s="1"/>
  <c r="J41" i="10"/>
  <c r="J40" i="10"/>
  <c r="J39" i="10"/>
  <c r="F2" i="6" s="1"/>
  <c r="D32" i="7"/>
  <c r="D31" i="7"/>
  <c r="X38" i="10"/>
  <c r="X37" i="10"/>
  <c r="X36" i="10"/>
  <c r="X35" i="10"/>
  <c r="U38" i="10"/>
  <c r="U37" i="10"/>
  <c r="U36" i="10"/>
  <c r="U35" i="10"/>
  <c r="Q38" i="10"/>
  <c r="Q37" i="10"/>
  <c r="Q36" i="10"/>
  <c r="Q35" i="10"/>
  <c r="L38" i="10"/>
  <c r="M38" i="10" s="1"/>
  <c r="L37" i="10"/>
  <c r="M37" i="10" s="1"/>
  <c r="L36" i="10"/>
  <c r="M36" i="10" s="1"/>
  <c r="L35" i="10"/>
  <c r="M35" i="10" s="1"/>
  <c r="K38" i="10"/>
  <c r="N38" i="10"/>
  <c r="O38" i="10"/>
  <c r="K37" i="10"/>
  <c r="N37" i="10"/>
  <c r="O37" i="10" s="1"/>
  <c r="K36" i="10"/>
  <c r="N36" i="10"/>
  <c r="O36" i="10" s="1"/>
  <c r="K35" i="10"/>
  <c r="N35" i="10"/>
  <c r="O35" i="10"/>
  <c r="J38" i="10"/>
  <c r="J37" i="10"/>
  <c r="J36" i="10"/>
  <c r="J35" i="10"/>
  <c r="D30" i="7"/>
  <c r="D29" i="7"/>
  <c r="B2" i="9"/>
  <c r="X34" i="10"/>
  <c r="X33" i="10"/>
  <c r="X32" i="10"/>
  <c r="U34" i="10"/>
  <c r="U33" i="10"/>
  <c r="U32" i="10"/>
  <c r="Q34" i="10"/>
  <c r="Q33" i="10"/>
  <c r="Q32" i="10"/>
  <c r="L34" i="10"/>
  <c r="M34" i="10" s="1"/>
  <c r="L33" i="10"/>
  <c r="M33" i="10" s="1"/>
  <c r="L32" i="10"/>
  <c r="M32" i="10" s="1"/>
  <c r="K34" i="10"/>
  <c r="N34" i="10"/>
  <c r="O34" i="10"/>
  <c r="K33" i="10"/>
  <c r="N33" i="10"/>
  <c r="O33" i="10"/>
  <c r="K32" i="10"/>
  <c r="N32" i="10"/>
  <c r="O32" i="10" s="1"/>
  <c r="J34" i="10"/>
  <c r="J33" i="10"/>
  <c r="J32" i="10"/>
  <c r="F5" i="6" s="1"/>
  <c r="D28" i="7"/>
  <c r="D27" i="7"/>
  <c r="X31" i="10"/>
  <c r="X30" i="10"/>
  <c r="X29" i="10"/>
  <c r="X28" i="10"/>
  <c r="U31" i="10"/>
  <c r="U30" i="10"/>
  <c r="U29" i="10"/>
  <c r="U28" i="10"/>
  <c r="Q31" i="10"/>
  <c r="Q30" i="10"/>
  <c r="Q29" i="10"/>
  <c r="Q28" i="10"/>
  <c r="L31" i="10"/>
  <c r="M31" i="10" s="1"/>
  <c r="M30" i="10"/>
  <c r="L30" i="10"/>
  <c r="L29" i="10"/>
  <c r="M29" i="10" s="1"/>
  <c r="L28" i="10"/>
  <c r="M28" i="10" s="1"/>
  <c r="K31" i="10"/>
  <c r="N31" i="10"/>
  <c r="O31" i="10" s="1"/>
  <c r="K30" i="10"/>
  <c r="N30" i="10"/>
  <c r="O30" i="10"/>
  <c r="K29" i="10"/>
  <c r="N29" i="10"/>
  <c r="O29" i="10" s="1"/>
  <c r="K28" i="10"/>
  <c r="N28" i="10"/>
  <c r="O28" i="10" s="1"/>
  <c r="J31" i="10"/>
  <c r="J30" i="10"/>
  <c r="J29" i="10"/>
  <c r="J28" i="10"/>
  <c r="D26" i="7"/>
  <c r="D25" i="7"/>
  <c r="D24" i="7"/>
  <c r="D23" i="7"/>
  <c r="D22" i="7"/>
  <c r="B45" i="9"/>
  <c r="B51" i="9"/>
  <c r="X27" i="10"/>
  <c r="X26" i="10"/>
  <c r="X25" i="10"/>
  <c r="X24" i="10"/>
  <c r="X23" i="10"/>
  <c r="U27" i="10"/>
  <c r="U26" i="10"/>
  <c r="U25" i="10"/>
  <c r="U24" i="10"/>
  <c r="U23" i="10"/>
  <c r="Q27" i="10"/>
  <c r="Q26" i="10"/>
  <c r="Q25" i="10"/>
  <c r="Q24" i="10"/>
  <c r="Q23" i="10"/>
  <c r="L27" i="10"/>
  <c r="M27" i="10" s="1"/>
  <c r="L26" i="10"/>
  <c r="M26" i="10" s="1"/>
  <c r="L25" i="10"/>
  <c r="M25" i="10" s="1"/>
  <c r="L24" i="10"/>
  <c r="M24" i="10" s="1"/>
  <c r="L23" i="10"/>
  <c r="M23" i="10" s="1"/>
  <c r="K27" i="10"/>
  <c r="N27" i="10"/>
  <c r="O27" i="10"/>
  <c r="K26" i="10"/>
  <c r="N26" i="10"/>
  <c r="O26" i="10"/>
  <c r="K25" i="10"/>
  <c r="N25" i="10"/>
  <c r="O25" i="10" s="1"/>
  <c r="K24" i="10"/>
  <c r="N24" i="10"/>
  <c r="O24" i="10"/>
  <c r="K23" i="10"/>
  <c r="N23" i="10"/>
  <c r="O23" i="10" s="1"/>
  <c r="J27" i="10"/>
  <c r="J26" i="10"/>
  <c r="J25" i="10"/>
  <c r="J24" i="10"/>
  <c r="J23" i="10"/>
  <c r="D21" i="7"/>
  <c r="X22" i="10"/>
  <c r="X21" i="10"/>
  <c r="X20" i="10"/>
  <c r="X19" i="10"/>
  <c r="U22" i="10"/>
  <c r="U21" i="10"/>
  <c r="U20" i="10"/>
  <c r="U19" i="10"/>
  <c r="Q22" i="10"/>
  <c r="Q21" i="10"/>
  <c r="Q20" i="10"/>
  <c r="Q19" i="10"/>
  <c r="L22" i="10"/>
  <c r="M22" i="10" s="1"/>
  <c r="L21" i="10"/>
  <c r="M21" i="10" s="1"/>
  <c r="L20" i="10"/>
  <c r="M20" i="10" s="1"/>
  <c r="M19" i="10"/>
  <c r="L19" i="10"/>
  <c r="K22" i="10"/>
  <c r="N22" i="10"/>
  <c r="O22" i="10" s="1"/>
  <c r="K21" i="10"/>
  <c r="N21" i="10"/>
  <c r="O21" i="10" s="1"/>
  <c r="K20" i="10"/>
  <c r="N20" i="10"/>
  <c r="O20" i="10"/>
  <c r="K19" i="10"/>
  <c r="N19" i="10"/>
  <c r="O19" i="10"/>
  <c r="J22" i="10"/>
  <c r="J21" i="10"/>
  <c r="J20" i="10"/>
  <c r="J19" i="10"/>
  <c r="F4" i="6" s="1"/>
  <c r="D20" i="7"/>
  <c r="D19" i="7"/>
  <c r="X18" i="10"/>
  <c r="X17" i="10"/>
  <c r="X16" i="10"/>
  <c r="U18" i="10"/>
  <c r="U17" i="10"/>
  <c r="U16" i="10"/>
  <c r="Q18" i="10"/>
  <c r="Q17" i="10"/>
  <c r="Q16" i="10"/>
  <c r="L18" i="10"/>
  <c r="M18" i="10" s="1"/>
  <c r="M17" i="10"/>
  <c r="L17" i="10"/>
  <c r="L16" i="10"/>
  <c r="M16" i="10" s="1"/>
  <c r="K18" i="10"/>
  <c r="N18" i="10"/>
  <c r="O18" i="10" s="1"/>
  <c r="K17" i="10"/>
  <c r="N17" i="10"/>
  <c r="O17" i="10" s="1"/>
  <c r="K16" i="10"/>
  <c r="N16" i="10"/>
  <c r="O16" i="10"/>
  <c r="J18" i="10"/>
  <c r="J17" i="10"/>
  <c r="J16" i="10"/>
  <c r="D18" i="7"/>
  <c r="X15" i="10"/>
  <c r="X14" i="10"/>
  <c r="X13" i="10"/>
  <c r="X12" i="10"/>
  <c r="U15" i="10"/>
  <c r="U14" i="10"/>
  <c r="U13" i="10"/>
  <c r="U12" i="10"/>
  <c r="Q15" i="10"/>
  <c r="Q14" i="10"/>
  <c r="Q13" i="10"/>
  <c r="Q12" i="10"/>
  <c r="L15" i="10"/>
  <c r="M15" i="10" s="1"/>
  <c r="L14" i="10"/>
  <c r="M14" i="10" s="1"/>
  <c r="L13" i="10"/>
  <c r="M13" i="10" s="1"/>
  <c r="L12" i="10"/>
  <c r="M12" i="10" s="1"/>
  <c r="K15" i="10"/>
  <c r="N15" i="10"/>
  <c r="O15" i="10" s="1"/>
  <c r="K14" i="10"/>
  <c r="N14" i="10"/>
  <c r="O14" i="10" s="1"/>
  <c r="K13" i="10"/>
  <c r="N13" i="10"/>
  <c r="O13" i="10" s="1"/>
  <c r="K12" i="10"/>
  <c r="N12" i="10"/>
  <c r="O12" i="10" s="1"/>
  <c r="J15" i="10"/>
  <c r="J14" i="10"/>
  <c r="J13" i="10"/>
  <c r="J12" i="10"/>
  <c r="D17" i="7"/>
  <c r="D16" i="7"/>
  <c r="D15" i="7"/>
  <c r="D14" i="7"/>
  <c r="D13" i="7"/>
  <c r="X11" i="10"/>
  <c r="X10" i="10"/>
  <c r="X9" i="10"/>
  <c r="X8" i="10"/>
  <c r="U11" i="10"/>
  <c r="U10" i="10"/>
  <c r="U9" i="10"/>
  <c r="U8" i="10"/>
  <c r="Q11" i="10"/>
  <c r="Q10" i="10"/>
  <c r="Q9" i="10"/>
  <c r="Q8" i="10"/>
  <c r="M8" i="10"/>
  <c r="M11" i="10"/>
  <c r="L11" i="10"/>
  <c r="L10" i="10"/>
  <c r="M10" i="10" s="1"/>
  <c r="L9" i="10"/>
  <c r="M9" i="10" s="1"/>
  <c r="L8" i="10"/>
  <c r="K11" i="10"/>
  <c r="N11" i="10"/>
  <c r="O11" i="10" s="1"/>
  <c r="K10" i="10"/>
  <c r="N10" i="10"/>
  <c r="O10" i="10" s="1"/>
  <c r="K9" i="10"/>
  <c r="N9" i="10"/>
  <c r="O9" i="10"/>
  <c r="K8" i="10"/>
  <c r="N8" i="10"/>
  <c r="O8" i="10" s="1"/>
  <c r="J11" i="10"/>
  <c r="J10" i="10"/>
  <c r="J9" i="10"/>
  <c r="J8" i="10"/>
  <c r="F9" i="6"/>
  <c r="D9" i="6"/>
  <c r="K9" i="6" s="1"/>
  <c r="C9" i="6"/>
  <c r="J9" i="6" s="1"/>
  <c r="F8" i="6"/>
  <c r="D8" i="6"/>
  <c r="C8" i="6"/>
  <c r="J8" i="6" s="1"/>
  <c r="F7" i="6"/>
  <c r="D7" i="6"/>
  <c r="G7" i="6" s="1"/>
  <c r="C7" i="6"/>
  <c r="I7" i="6" s="1"/>
  <c r="F6" i="6"/>
  <c r="D6" i="6"/>
  <c r="C6" i="6"/>
  <c r="I6" i="6" s="1"/>
  <c r="D5" i="6"/>
  <c r="C5" i="6"/>
  <c r="I5" i="6" s="1"/>
  <c r="D4" i="6"/>
  <c r="C4" i="6"/>
  <c r="F3" i="6"/>
  <c r="D3" i="6"/>
  <c r="C3" i="6"/>
  <c r="D2" i="6"/>
  <c r="C2" i="6"/>
  <c r="I2" i="6" s="1"/>
  <c r="U7" i="10"/>
  <c r="Q7" i="10"/>
  <c r="N7" i="10"/>
  <c r="O7" i="10" s="1"/>
  <c r="L7" i="10"/>
  <c r="M7" i="10" s="1"/>
  <c r="K7" i="10"/>
  <c r="J7" i="10"/>
  <c r="U6" i="10"/>
  <c r="Q6" i="10"/>
  <c r="N6" i="10"/>
  <c r="O6" i="10" s="1"/>
  <c r="L6" i="10"/>
  <c r="M6" i="10" s="1"/>
  <c r="K6" i="10"/>
  <c r="J6" i="10"/>
  <c r="U5" i="10"/>
  <c r="Q5" i="10"/>
  <c r="N5" i="10"/>
  <c r="O5" i="10" s="1"/>
  <c r="L5" i="10"/>
  <c r="M5" i="10" s="1"/>
  <c r="K5" i="10"/>
  <c r="J5" i="10"/>
  <c r="U4" i="10"/>
  <c r="Q4" i="10"/>
  <c r="N4" i="10"/>
  <c r="O4" i="10" s="1"/>
  <c r="L4" i="10"/>
  <c r="M4" i="10" s="1"/>
  <c r="K4" i="10"/>
  <c r="J4" i="10"/>
  <c r="U3" i="10"/>
  <c r="Q3" i="10"/>
  <c r="N3" i="10"/>
  <c r="O3" i="10" s="1"/>
  <c r="L3" i="10"/>
  <c r="M3" i="10" s="1"/>
  <c r="K3" i="10"/>
  <c r="J3" i="10"/>
  <c r="U116" i="8"/>
  <c r="U115" i="8"/>
  <c r="U114" i="8"/>
  <c r="U113" i="8"/>
  <c r="U112" i="8"/>
  <c r="Q116" i="8"/>
  <c r="Q115" i="8"/>
  <c r="Q114" i="8"/>
  <c r="Q113" i="8"/>
  <c r="Q112" i="8"/>
  <c r="L116" i="8"/>
  <c r="M116" i="8" s="1"/>
  <c r="L115" i="8"/>
  <c r="M115" i="8" s="1"/>
  <c r="L114" i="8"/>
  <c r="M114" i="8" s="1"/>
  <c r="L113" i="8"/>
  <c r="M113" i="8" s="1"/>
  <c r="L112" i="8"/>
  <c r="M112" i="8" s="1"/>
  <c r="K116" i="8"/>
  <c r="N116" i="8"/>
  <c r="O116" i="8" s="1"/>
  <c r="X116" i="8" s="1"/>
  <c r="K115" i="8"/>
  <c r="N115" i="8"/>
  <c r="O115" i="8" s="1"/>
  <c r="K114" i="8"/>
  <c r="N114" i="8"/>
  <c r="O114" i="8" s="1"/>
  <c r="K113" i="8"/>
  <c r="N113" i="8"/>
  <c r="O113" i="8" s="1"/>
  <c r="X113" i="8" s="1"/>
  <c r="K112" i="8"/>
  <c r="N112" i="8"/>
  <c r="O112" i="8" s="1"/>
  <c r="J116" i="8"/>
  <c r="J115" i="8"/>
  <c r="J114" i="8"/>
  <c r="J113" i="8"/>
  <c r="J112" i="8"/>
  <c r="U111" i="8"/>
  <c r="U110" i="8"/>
  <c r="U109" i="8"/>
  <c r="U108" i="8"/>
  <c r="U107" i="8"/>
  <c r="Q111" i="8"/>
  <c r="Q110" i="8"/>
  <c r="X110" i="8" s="1"/>
  <c r="Q109" i="8"/>
  <c r="X109" i="8" s="1"/>
  <c r="Q108" i="8"/>
  <c r="Q107" i="8"/>
  <c r="L111" i="8"/>
  <c r="M111" i="8" s="1"/>
  <c r="L110" i="8"/>
  <c r="M110" i="8" s="1"/>
  <c r="L109" i="8"/>
  <c r="M109" i="8" s="1"/>
  <c r="L108" i="8"/>
  <c r="M108" i="8" s="1"/>
  <c r="L107" i="8"/>
  <c r="M107" i="8" s="1"/>
  <c r="K111" i="8"/>
  <c r="N111" i="8"/>
  <c r="O111" i="8" s="1"/>
  <c r="X111" i="8" s="1"/>
  <c r="K110" i="8"/>
  <c r="N110" i="8"/>
  <c r="O110" i="8" s="1"/>
  <c r="K109" i="8"/>
  <c r="N109" i="8"/>
  <c r="O109" i="8" s="1"/>
  <c r="K108" i="8"/>
  <c r="N108" i="8"/>
  <c r="O108" i="8" s="1"/>
  <c r="K107" i="8"/>
  <c r="N107" i="8"/>
  <c r="O107" i="8" s="1"/>
  <c r="X107" i="8" s="1"/>
  <c r="J111" i="8"/>
  <c r="J110" i="8"/>
  <c r="J109" i="8"/>
  <c r="J108" i="8"/>
  <c r="J107" i="8"/>
  <c r="U106" i="8"/>
  <c r="U105" i="8"/>
  <c r="U104" i="8"/>
  <c r="Q106" i="8"/>
  <c r="Q105" i="8"/>
  <c r="Q104" i="8"/>
  <c r="L106" i="8"/>
  <c r="M106" i="8" s="1"/>
  <c r="L105" i="8"/>
  <c r="M105" i="8" s="1"/>
  <c r="L104" i="8"/>
  <c r="M104" i="8" s="1"/>
  <c r="K106" i="8"/>
  <c r="N106" i="8"/>
  <c r="O106" i="8" s="1"/>
  <c r="X106" i="8" s="1"/>
  <c r="K105" i="8"/>
  <c r="N105" i="8"/>
  <c r="O105" i="8" s="1"/>
  <c r="X105" i="8" s="1"/>
  <c r="K104" i="8"/>
  <c r="N104" i="8"/>
  <c r="O104" i="8" s="1"/>
  <c r="X104" i="8" s="1"/>
  <c r="J106" i="8"/>
  <c r="J105" i="8"/>
  <c r="J104" i="8"/>
  <c r="U103" i="8"/>
  <c r="U102" i="8"/>
  <c r="U101" i="8"/>
  <c r="U100" i="8"/>
  <c r="U99" i="8"/>
  <c r="Q103" i="8"/>
  <c r="Q102" i="8"/>
  <c r="Q101" i="8"/>
  <c r="Q100" i="8"/>
  <c r="Q99" i="8"/>
  <c r="L103" i="8"/>
  <c r="M103" i="8" s="1"/>
  <c r="L102" i="8"/>
  <c r="M102" i="8" s="1"/>
  <c r="L101" i="8"/>
  <c r="M101" i="8" s="1"/>
  <c r="L100" i="8"/>
  <c r="M100" i="8" s="1"/>
  <c r="L99" i="8"/>
  <c r="M99" i="8" s="1"/>
  <c r="K103" i="8"/>
  <c r="N103" i="8"/>
  <c r="O103" i="8" s="1"/>
  <c r="X103" i="8" s="1"/>
  <c r="K102" i="8"/>
  <c r="N102" i="8"/>
  <c r="O102" i="8" s="1"/>
  <c r="X102" i="8" s="1"/>
  <c r="K101" i="8"/>
  <c r="N101" i="8"/>
  <c r="O101" i="8" s="1"/>
  <c r="X101" i="8" s="1"/>
  <c r="K100" i="8"/>
  <c r="N100" i="8"/>
  <c r="O100" i="8" s="1"/>
  <c r="K99" i="8"/>
  <c r="N99" i="8"/>
  <c r="O99" i="8" s="1"/>
  <c r="J103" i="8"/>
  <c r="J102" i="8"/>
  <c r="J101" i="8"/>
  <c r="J100" i="8"/>
  <c r="J99" i="8"/>
  <c r="U98" i="8"/>
  <c r="U97" i="8"/>
  <c r="U96" i="8"/>
  <c r="Q98" i="8"/>
  <c r="Q97" i="8"/>
  <c r="Q96" i="8"/>
  <c r="L98" i="8"/>
  <c r="M98" i="8" s="1"/>
  <c r="L97" i="8"/>
  <c r="M97" i="8" s="1"/>
  <c r="L96" i="8"/>
  <c r="M96" i="8" s="1"/>
  <c r="K98" i="8"/>
  <c r="N98" i="8"/>
  <c r="O98" i="8" s="1"/>
  <c r="K97" i="8"/>
  <c r="N97" i="8"/>
  <c r="O97" i="8" s="1"/>
  <c r="K96" i="8"/>
  <c r="N96" i="8"/>
  <c r="O96" i="8"/>
  <c r="J98" i="8"/>
  <c r="J97" i="8"/>
  <c r="J96" i="8"/>
  <c r="X91" i="8"/>
  <c r="U95" i="8"/>
  <c r="U94" i="8"/>
  <c r="U93" i="8"/>
  <c r="U92" i="8"/>
  <c r="U91" i="8"/>
  <c r="Q95" i="8"/>
  <c r="Q94" i="8"/>
  <c r="Q93" i="8"/>
  <c r="Q92" i="8"/>
  <c r="Q91" i="8"/>
  <c r="L95" i="8"/>
  <c r="M95" i="8" s="1"/>
  <c r="L94" i="8"/>
  <c r="M94" i="8" s="1"/>
  <c r="L93" i="8"/>
  <c r="M93" i="8" s="1"/>
  <c r="L92" i="8"/>
  <c r="M92" i="8" s="1"/>
  <c r="L91" i="8"/>
  <c r="M91" i="8" s="1"/>
  <c r="K95" i="8"/>
  <c r="N95" i="8"/>
  <c r="O95" i="8" s="1"/>
  <c r="X95" i="8" s="1"/>
  <c r="K94" i="8"/>
  <c r="N94" i="8"/>
  <c r="O94" i="8" s="1"/>
  <c r="X94" i="8" s="1"/>
  <c r="K93" i="8"/>
  <c r="N93" i="8"/>
  <c r="O93" i="8" s="1"/>
  <c r="K92" i="8"/>
  <c r="N92" i="8"/>
  <c r="O92" i="8" s="1"/>
  <c r="X92" i="8" s="1"/>
  <c r="K91" i="8"/>
  <c r="N91" i="8"/>
  <c r="O91" i="8" s="1"/>
  <c r="J95" i="8"/>
  <c r="J94" i="8"/>
  <c r="J93" i="8"/>
  <c r="J92" i="8"/>
  <c r="J91" i="8"/>
  <c r="X90" i="8"/>
  <c r="U90" i="8"/>
  <c r="U89" i="8"/>
  <c r="U88" i="8"/>
  <c r="U87" i="8"/>
  <c r="U86" i="8"/>
  <c r="Q90" i="8"/>
  <c r="Q89" i="8"/>
  <c r="Q88" i="8"/>
  <c r="Q87" i="8"/>
  <c r="Q86" i="8"/>
  <c r="L90" i="8"/>
  <c r="M90" i="8" s="1"/>
  <c r="L89" i="8"/>
  <c r="M89" i="8" s="1"/>
  <c r="M88" i="8"/>
  <c r="L88" i="8"/>
  <c r="L87" i="8"/>
  <c r="M87" i="8" s="1"/>
  <c r="L86" i="8"/>
  <c r="M86" i="8" s="1"/>
  <c r="K90" i="8"/>
  <c r="N90" i="8"/>
  <c r="O90" i="8" s="1"/>
  <c r="K89" i="8"/>
  <c r="N89" i="8"/>
  <c r="O89" i="8" s="1"/>
  <c r="K88" i="8"/>
  <c r="N88" i="8"/>
  <c r="O88" i="8" s="1"/>
  <c r="X88" i="8" s="1"/>
  <c r="K87" i="8"/>
  <c r="N87" i="8"/>
  <c r="O87" i="8" s="1"/>
  <c r="X87" i="8" s="1"/>
  <c r="K86" i="8"/>
  <c r="N86" i="8"/>
  <c r="O86" i="8" s="1"/>
  <c r="X86" i="8" s="1"/>
  <c r="J90" i="8"/>
  <c r="J89" i="8"/>
  <c r="J88" i="8"/>
  <c r="J87" i="8"/>
  <c r="J86" i="8"/>
  <c r="U85" i="8"/>
  <c r="U84" i="8"/>
  <c r="U83" i="8"/>
  <c r="Q85" i="8"/>
  <c r="Q84" i="8"/>
  <c r="Q83" i="8"/>
  <c r="L85" i="8"/>
  <c r="M85" i="8" s="1"/>
  <c r="L84" i="8"/>
  <c r="M84" i="8" s="1"/>
  <c r="L83" i="8"/>
  <c r="M83" i="8" s="1"/>
  <c r="L49" i="8"/>
  <c r="K85" i="8"/>
  <c r="N85" i="8"/>
  <c r="O85" i="8" s="1"/>
  <c r="K84" i="8"/>
  <c r="N84" i="8"/>
  <c r="O84" i="8" s="1"/>
  <c r="X84" i="8" s="1"/>
  <c r="K83" i="8"/>
  <c r="N83" i="8"/>
  <c r="O83" i="8" s="1"/>
  <c r="X83" i="8" s="1"/>
  <c r="J85" i="8"/>
  <c r="J84" i="8"/>
  <c r="J83" i="8"/>
  <c r="B61" i="9"/>
  <c r="U82" i="8"/>
  <c r="U81" i="8"/>
  <c r="U80" i="8"/>
  <c r="U79" i="8"/>
  <c r="U78" i="8"/>
  <c r="U77" i="8"/>
  <c r="Q82" i="8"/>
  <c r="Q81" i="8"/>
  <c r="Q80" i="8"/>
  <c r="Q79" i="8"/>
  <c r="Q78" i="8"/>
  <c r="X78" i="8" s="1"/>
  <c r="Q77" i="8"/>
  <c r="X77" i="8" s="1"/>
  <c r="L82" i="8"/>
  <c r="M82" i="8" s="1"/>
  <c r="L81" i="8"/>
  <c r="M81" i="8" s="1"/>
  <c r="L80" i="8"/>
  <c r="M80" i="8" s="1"/>
  <c r="L79" i="8"/>
  <c r="M79" i="8" s="1"/>
  <c r="L78" i="8"/>
  <c r="M78" i="8" s="1"/>
  <c r="M77" i="8"/>
  <c r="L77" i="8"/>
  <c r="K82" i="8"/>
  <c r="N82" i="8"/>
  <c r="O82" i="8" s="1"/>
  <c r="K81" i="8"/>
  <c r="N81" i="8"/>
  <c r="O81" i="8" s="1"/>
  <c r="X81" i="8" s="1"/>
  <c r="K80" i="8"/>
  <c r="N80" i="8"/>
  <c r="O80" i="8" s="1"/>
  <c r="X80" i="8" s="1"/>
  <c r="K79" i="8"/>
  <c r="N79" i="8"/>
  <c r="O79" i="8" s="1"/>
  <c r="K78" i="8"/>
  <c r="N78" i="8"/>
  <c r="O78" i="8" s="1"/>
  <c r="K77" i="8"/>
  <c r="N77" i="8"/>
  <c r="O77" i="8" s="1"/>
  <c r="J82" i="8"/>
  <c r="J81" i="8"/>
  <c r="J80" i="8"/>
  <c r="J79" i="8"/>
  <c r="J78" i="8"/>
  <c r="J77" i="8"/>
  <c r="U76" i="8"/>
  <c r="X76" i="8" s="1"/>
  <c r="U75" i="8"/>
  <c r="X75" i="8" s="1"/>
  <c r="U74" i="8"/>
  <c r="U73" i="8"/>
  <c r="U72" i="8"/>
  <c r="Q76" i="8"/>
  <c r="Q75" i="8"/>
  <c r="Q74" i="8"/>
  <c r="Q73" i="8"/>
  <c r="Q72" i="8"/>
  <c r="L76" i="8"/>
  <c r="M76" i="8" s="1"/>
  <c r="L75" i="8"/>
  <c r="M75" i="8" s="1"/>
  <c r="L74" i="8"/>
  <c r="M74" i="8" s="1"/>
  <c r="M73" i="8"/>
  <c r="L73" i="8"/>
  <c r="L72" i="8"/>
  <c r="M72" i="8" s="1"/>
  <c r="K76" i="8"/>
  <c r="N76" i="8"/>
  <c r="O76" i="8" s="1"/>
  <c r="K75" i="8"/>
  <c r="N75" i="8"/>
  <c r="O75" i="8" s="1"/>
  <c r="K74" i="8"/>
  <c r="N74" i="8"/>
  <c r="O74" i="8" s="1"/>
  <c r="K73" i="8"/>
  <c r="N73" i="8"/>
  <c r="O73" i="8" s="1"/>
  <c r="X73" i="8" s="1"/>
  <c r="K72" i="8"/>
  <c r="N72" i="8"/>
  <c r="O72" i="8" s="1"/>
  <c r="X72" i="8" s="1"/>
  <c r="J76" i="8"/>
  <c r="J75" i="8"/>
  <c r="J74" i="8"/>
  <c r="J73" i="8"/>
  <c r="J72" i="8"/>
  <c r="U71" i="8"/>
  <c r="U70" i="8"/>
  <c r="U69" i="8"/>
  <c r="U68" i="8"/>
  <c r="U67" i="8"/>
  <c r="Q71" i="8"/>
  <c r="Q70" i="8"/>
  <c r="Q69" i="8"/>
  <c r="Q68" i="8"/>
  <c r="Q67" i="8"/>
  <c r="L71" i="8"/>
  <c r="M71" i="8" s="1"/>
  <c r="L70" i="8"/>
  <c r="M70" i="8" s="1"/>
  <c r="L69" i="8"/>
  <c r="M69" i="8" s="1"/>
  <c r="L68" i="8"/>
  <c r="M68" i="8" s="1"/>
  <c r="L67" i="8"/>
  <c r="M67" i="8" s="1"/>
  <c r="K71" i="8"/>
  <c r="N71" i="8"/>
  <c r="O71" i="8" s="1"/>
  <c r="K70" i="8"/>
  <c r="N70" i="8"/>
  <c r="O70" i="8" s="1"/>
  <c r="X70" i="8" s="1"/>
  <c r="K69" i="8"/>
  <c r="N69" i="8"/>
  <c r="O69" i="8" s="1"/>
  <c r="K68" i="8"/>
  <c r="N68" i="8"/>
  <c r="O68" i="8" s="1"/>
  <c r="X68" i="8" s="1"/>
  <c r="K67" i="8"/>
  <c r="N67" i="8"/>
  <c r="O67" i="8" s="1"/>
  <c r="X67" i="8" s="1"/>
  <c r="J71" i="8"/>
  <c r="J70" i="8"/>
  <c r="J69" i="8"/>
  <c r="J68" i="8"/>
  <c r="J67" i="8"/>
  <c r="U66" i="8"/>
  <c r="X66" i="8" s="1"/>
  <c r="U65" i="8"/>
  <c r="U64" i="8"/>
  <c r="U63" i="8"/>
  <c r="U62" i="8"/>
  <c r="U61" i="8"/>
  <c r="Q66" i="8"/>
  <c r="Q65" i="8"/>
  <c r="Q64" i="8"/>
  <c r="Q63" i="8"/>
  <c r="Q62" i="8"/>
  <c r="Q61" i="8"/>
  <c r="L66" i="8"/>
  <c r="M66" i="8" s="1"/>
  <c r="L65" i="8"/>
  <c r="M65" i="8" s="1"/>
  <c r="L64" i="8"/>
  <c r="M64" i="8" s="1"/>
  <c r="L63" i="8"/>
  <c r="M63" i="8" s="1"/>
  <c r="L62" i="8"/>
  <c r="M62" i="8" s="1"/>
  <c r="L61" i="8"/>
  <c r="M61" i="8" s="1"/>
  <c r="K66" i="8"/>
  <c r="N66" i="8"/>
  <c r="O66" i="8" s="1"/>
  <c r="K65" i="8"/>
  <c r="N65" i="8"/>
  <c r="O65" i="8" s="1"/>
  <c r="X65" i="8" s="1"/>
  <c r="K64" i="8"/>
  <c r="N64" i="8"/>
  <c r="O64" i="8" s="1"/>
  <c r="K63" i="8"/>
  <c r="N63" i="8"/>
  <c r="O63" i="8" s="1"/>
  <c r="X63" i="8" s="1"/>
  <c r="K62" i="8"/>
  <c r="N62" i="8"/>
  <c r="O62" i="8" s="1"/>
  <c r="X62" i="8" s="1"/>
  <c r="K61" i="8"/>
  <c r="N61" i="8"/>
  <c r="O61" i="8" s="1"/>
  <c r="J66" i="8"/>
  <c r="J65" i="8"/>
  <c r="J64" i="8"/>
  <c r="J63" i="8"/>
  <c r="J62" i="8"/>
  <c r="J61" i="8"/>
  <c r="U60" i="8"/>
  <c r="U59" i="8"/>
  <c r="U58" i="8"/>
  <c r="U57" i="8"/>
  <c r="U56" i="8"/>
  <c r="Q60" i="8"/>
  <c r="Q59" i="8"/>
  <c r="Q58" i="8"/>
  <c r="Q57" i="8"/>
  <c r="Q56" i="8"/>
  <c r="L60" i="8"/>
  <c r="M60" i="8" s="1"/>
  <c r="L59" i="8"/>
  <c r="M59" i="8" s="1"/>
  <c r="L58" i="8"/>
  <c r="M58" i="8" s="1"/>
  <c r="L57" i="8"/>
  <c r="M57" i="8" s="1"/>
  <c r="M56" i="8"/>
  <c r="L56" i="8"/>
  <c r="K60" i="8"/>
  <c r="N60" i="8"/>
  <c r="O60" i="8" s="1"/>
  <c r="K59" i="8"/>
  <c r="N59" i="8"/>
  <c r="O59" i="8" s="1"/>
  <c r="X59" i="8" s="1"/>
  <c r="K58" i="8"/>
  <c r="N58" i="8"/>
  <c r="O58" i="8" s="1"/>
  <c r="X58" i="8" s="1"/>
  <c r="K57" i="8"/>
  <c r="N57" i="8"/>
  <c r="O57" i="8" s="1"/>
  <c r="X57" i="8" s="1"/>
  <c r="K56" i="8"/>
  <c r="N56" i="8"/>
  <c r="O56" i="8" s="1"/>
  <c r="J60" i="8"/>
  <c r="J59" i="8"/>
  <c r="J58" i="8"/>
  <c r="J57" i="8"/>
  <c r="J56" i="8"/>
  <c r="U55" i="8"/>
  <c r="U54" i="8"/>
  <c r="U53" i="8"/>
  <c r="U52" i="8"/>
  <c r="Q55" i="8"/>
  <c r="Q54" i="8"/>
  <c r="X54" i="8" s="1"/>
  <c r="Q53" i="8"/>
  <c r="Q52" i="8"/>
  <c r="L55" i="8"/>
  <c r="M55" i="8" s="1"/>
  <c r="M54" i="8"/>
  <c r="L54" i="8"/>
  <c r="L53" i="8"/>
  <c r="M53" i="8" s="1"/>
  <c r="L52" i="8"/>
  <c r="M52" i="8" s="1"/>
  <c r="K55" i="8"/>
  <c r="N55" i="8"/>
  <c r="O55" i="8" s="1"/>
  <c r="X55" i="8" s="1"/>
  <c r="K54" i="8"/>
  <c r="N54" i="8"/>
  <c r="O54" i="8" s="1"/>
  <c r="K53" i="8"/>
  <c r="N53" i="8"/>
  <c r="O53" i="8" s="1"/>
  <c r="K52" i="8"/>
  <c r="N52" i="8"/>
  <c r="O52" i="8" s="1"/>
  <c r="J55" i="8"/>
  <c r="J54" i="8"/>
  <c r="J53" i="8"/>
  <c r="J52" i="8"/>
  <c r="U51" i="8"/>
  <c r="U50" i="8"/>
  <c r="U49" i="8"/>
  <c r="Q51" i="8"/>
  <c r="Q50" i="8"/>
  <c r="Q49" i="8"/>
  <c r="L51" i="8"/>
  <c r="M51" i="8" s="1"/>
  <c r="L50" i="8"/>
  <c r="M50" i="8" s="1"/>
  <c r="M49" i="8"/>
  <c r="K51" i="8"/>
  <c r="N51" i="8"/>
  <c r="O51" i="8" s="1"/>
  <c r="X51" i="8" s="1"/>
  <c r="K50" i="8"/>
  <c r="N50" i="8"/>
  <c r="O50" i="8" s="1"/>
  <c r="K49" i="8"/>
  <c r="N49" i="8"/>
  <c r="O49" i="8" s="1"/>
  <c r="X49" i="8" s="1"/>
  <c r="J51" i="8"/>
  <c r="J50" i="8"/>
  <c r="J49" i="8"/>
  <c r="U48" i="8"/>
  <c r="U47" i="8"/>
  <c r="U46" i="8"/>
  <c r="Q48" i="8"/>
  <c r="Q47" i="8"/>
  <c r="Q46" i="8"/>
  <c r="L48" i="8"/>
  <c r="M48" i="8" s="1"/>
  <c r="L47" i="8"/>
  <c r="M47" i="8" s="1"/>
  <c r="M46" i="8"/>
  <c r="L46" i="8"/>
  <c r="K48" i="8"/>
  <c r="N48" i="8"/>
  <c r="O48" i="8" s="1"/>
  <c r="X48" i="8" s="1"/>
  <c r="K47" i="8"/>
  <c r="N47" i="8"/>
  <c r="O47" i="8" s="1"/>
  <c r="X47" i="8" s="1"/>
  <c r="K46" i="8"/>
  <c r="N46" i="8"/>
  <c r="O46" i="8"/>
  <c r="J48" i="8"/>
  <c r="J47" i="8"/>
  <c r="J46" i="8"/>
  <c r="U45" i="8"/>
  <c r="U44" i="8"/>
  <c r="U43" i="8"/>
  <c r="U42" i="8"/>
  <c r="U41" i="8"/>
  <c r="Q40" i="8"/>
  <c r="Q39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Q4" i="8"/>
  <c r="Q3" i="8"/>
  <c r="Q45" i="8"/>
  <c r="Q44" i="8"/>
  <c r="Q43" i="8"/>
  <c r="Q42" i="8"/>
  <c r="Q41" i="8"/>
  <c r="M45" i="8"/>
  <c r="L45" i="8"/>
  <c r="L44" i="8"/>
  <c r="M44" i="8" s="1"/>
  <c r="L43" i="8"/>
  <c r="M43" i="8" s="1"/>
  <c r="L42" i="8"/>
  <c r="M42" i="8" s="1"/>
  <c r="L41" i="8"/>
  <c r="M41" i="8" s="1"/>
  <c r="K45" i="8"/>
  <c r="N45" i="8"/>
  <c r="O45" i="8" s="1"/>
  <c r="K44" i="8"/>
  <c r="N44" i="8"/>
  <c r="O44" i="8" s="1"/>
  <c r="K43" i="8"/>
  <c r="N43" i="8"/>
  <c r="O43" i="8" s="1"/>
  <c r="K42" i="8"/>
  <c r="N42" i="8"/>
  <c r="O42" i="8" s="1"/>
  <c r="K41" i="8"/>
  <c r="N41" i="8"/>
  <c r="O41" i="8" s="1"/>
  <c r="J45" i="8"/>
  <c r="J44" i="8"/>
  <c r="J43" i="8"/>
  <c r="J42" i="8"/>
  <c r="J41" i="8"/>
  <c r="B57" i="9"/>
  <c r="U40" i="8"/>
  <c r="X40" i="8" s="1"/>
  <c r="U39" i="8"/>
  <c r="U38" i="8"/>
  <c r="U37" i="8"/>
  <c r="U36" i="8"/>
  <c r="U35" i="8"/>
  <c r="L40" i="8"/>
  <c r="M40" i="8" s="1"/>
  <c r="L39" i="8"/>
  <c r="M39" i="8" s="1"/>
  <c r="L38" i="8"/>
  <c r="M38" i="8" s="1"/>
  <c r="L37" i="8"/>
  <c r="M37" i="8" s="1"/>
  <c r="L36" i="8"/>
  <c r="M36" i="8" s="1"/>
  <c r="L35" i="8"/>
  <c r="M35" i="8" s="1"/>
  <c r="K40" i="8"/>
  <c r="N40" i="8"/>
  <c r="O40" i="8" s="1"/>
  <c r="K39" i="8"/>
  <c r="N39" i="8"/>
  <c r="O39" i="8" s="1"/>
  <c r="X39" i="8" s="1"/>
  <c r="K38" i="8"/>
  <c r="N38" i="8"/>
  <c r="O38" i="8" s="1"/>
  <c r="K37" i="8"/>
  <c r="N37" i="8"/>
  <c r="O37" i="8" s="1"/>
  <c r="X37" i="8" s="1"/>
  <c r="K36" i="8"/>
  <c r="N36" i="8"/>
  <c r="O36" i="8" s="1"/>
  <c r="K35" i="8"/>
  <c r="N35" i="8"/>
  <c r="O35" i="8" s="1"/>
  <c r="J40" i="8"/>
  <c r="J39" i="8"/>
  <c r="J38" i="8"/>
  <c r="J37" i="8"/>
  <c r="J36" i="8"/>
  <c r="J35" i="8"/>
  <c r="U34" i="8"/>
  <c r="U33" i="8"/>
  <c r="U32" i="8"/>
  <c r="U31" i="8"/>
  <c r="L34" i="8"/>
  <c r="M34" i="8" s="1"/>
  <c r="L33" i="8"/>
  <c r="M33" i="8" s="1"/>
  <c r="L32" i="8"/>
  <c r="M32" i="8" s="1"/>
  <c r="L31" i="8"/>
  <c r="M31" i="8" s="1"/>
  <c r="K34" i="8"/>
  <c r="N34" i="8"/>
  <c r="O34" i="8" s="1"/>
  <c r="K33" i="8"/>
  <c r="N33" i="8"/>
  <c r="O33" i="8" s="1"/>
  <c r="K32" i="8"/>
  <c r="N32" i="8"/>
  <c r="O32" i="8" s="1"/>
  <c r="K31" i="8"/>
  <c r="N31" i="8"/>
  <c r="O31" i="8" s="1"/>
  <c r="J34" i="8"/>
  <c r="J33" i="8"/>
  <c r="J32" i="8"/>
  <c r="J31" i="8"/>
  <c r="U30" i="8"/>
  <c r="N30" i="8"/>
  <c r="O30" i="8" s="1"/>
  <c r="L30" i="8"/>
  <c r="M30" i="8" s="1"/>
  <c r="K30" i="8"/>
  <c r="J30" i="8"/>
  <c r="U29" i="8"/>
  <c r="N29" i="8"/>
  <c r="O29" i="8" s="1"/>
  <c r="L29" i="8"/>
  <c r="M29" i="8" s="1"/>
  <c r="K29" i="8"/>
  <c r="J29" i="8"/>
  <c r="U28" i="8"/>
  <c r="N28" i="8"/>
  <c r="O28" i="8" s="1"/>
  <c r="L28" i="8"/>
  <c r="M28" i="8" s="1"/>
  <c r="K28" i="8"/>
  <c r="J28" i="8"/>
  <c r="U27" i="8"/>
  <c r="N27" i="8"/>
  <c r="O27" i="8" s="1"/>
  <c r="L27" i="8"/>
  <c r="M27" i="8" s="1"/>
  <c r="K27" i="8"/>
  <c r="J27" i="8"/>
  <c r="U26" i="8"/>
  <c r="N26" i="8"/>
  <c r="O26" i="8" s="1"/>
  <c r="L26" i="8"/>
  <c r="M26" i="8" s="1"/>
  <c r="K26" i="8"/>
  <c r="J26" i="8"/>
  <c r="U25" i="8"/>
  <c r="U24" i="8"/>
  <c r="U23" i="8"/>
  <c r="U22" i="8"/>
  <c r="U21" i="8"/>
  <c r="U20" i="8"/>
  <c r="L25" i="8"/>
  <c r="M25" i="8" s="1"/>
  <c r="L24" i="8"/>
  <c r="M24" i="8" s="1"/>
  <c r="L23" i="8"/>
  <c r="M23" i="8" s="1"/>
  <c r="L22" i="8"/>
  <c r="M22" i="8" s="1"/>
  <c r="L21" i="8"/>
  <c r="M21" i="8" s="1"/>
  <c r="L20" i="8"/>
  <c r="M20" i="8" s="1"/>
  <c r="K25" i="8"/>
  <c r="N25" i="8"/>
  <c r="O25" i="8" s="1"/>
  <c r="K24" i="8"/>
  <c r="N24" i="8"/>
  <c r="O24" i="8" s="1"/>
  <c r="K23" i="8"/>
  <c r="N23" i="8"/>
  <c r="O23" i="8" s="1"/>
  <c r="K22" i="8"/>
  <c r="N22" i="8"/>
  <c r="O22" i="8" s="1"/>
  <c r="K21" i="8"/>
  <c r="N21" i="8"/>
  <c r="O21" i="8" s="1"/>
  <c r="K20" i="8"/>
  <c r="N20" i="8"/>
  <c r="O20" i="8" s="1"/>
  <c r="J25" i="8"/>
  <c r="J24" i="8"/>
  <c r="J23" i="8"/>
  <c r="J22" i="8"/>
  <c r="J21" i="8"/>
  <c r="J20" i="8"/>
  <c r="U19" i="8"/>
  <c r="U18" i="8"/>
  <c r="U17" i="8"/>
  <c r="L19" i="8"/>
  <c r="M19" i="8" s="1"/>
  <c r="L18" i="8"/>
  <c r="M18" i="8" s="1"/>
  <c r="L17" i="8"/>
  <c r="M17" i="8" s="1"/>
  <c r="K19" i="8"/>
  <c r="N19" i="8"/>
  <c r="O19" i="8" s="1"/>
  <c r="K18" i="8"/>
  <c r="N18" i="8"/>
  <c r="O18" i="8" s="1"/>
  <c r="K17" i="8"/>
  <c r="N17" i="8"/>
  <c r="O17" i="8" s="1"/>
  <c r="J19" i="8"/>
  <c r="J18" i="8"/>
  <c r="J17" i="8"/>
  <c r="U16" i="8"/>
  <c r="U15" i="8"/>
  <c r="U14" i="8"/>
  <c r="L16" i="8"/>
  <c r="M16" i="8" s="1"/>
  <c r="L15" i="8"/>
  <c r="M15" i="8" s="1"/>
  <c r="L14" i="8"/>
  <c r="M14" i="8" s="1"/>
  <c r="K16" i="8"/>
  <c r="N16" i="8"/>
  <c r="O16" i="8" s="1"/>
  <c r="K15" i="8"/>
  <c r="N15" i="8"/>
  <c r="O15" i="8" s="1"/>
  <c r="K14" i="8"/>
  <c r="N14" i="8"/>
  <c r="O14" i="8" s="1"/>
  <c r="J16" i="8"/>
  <c r="J15" i="8"/>
  <c r="J14" i="8"/>
  <c r="U13" i="8"/>
  <c r="U12" i="8"/>
  <c r="U11" i="8"/>
  <c r="U10" i="8"/>
  <c r="U9" i="8"/>
  <c r="U8" i="8"/>
  <c r="L13" i="8"/>
  <c r="M13" i="8" s="1"/>
  <c r="L12" i="8"/>
  <c r="M12" i="8" s="1"/>
  <c r="L11" i="8"/>
  <c r="M11" i="8" s="1"/>
  <c r="L10" i="8"/>
  <c r="M10" i="8" s="1"/>
  <c r="L9" i="8"/>
  <c r="M9" i="8" s="1"/>
  <c r="L8" i="8"/>
  <c r="M8" i="8" s="1"/>
  <c r="K13" i="8"/>
  <c r="N13" i="8"/>
  <c r="O13" i="8" s="1"/>
  <c r="K12" i="8"/>
  <c r="N12" i="8"/>
  <c r="O12" i="8" s="1"/>
  <c r="K11" i="8"/>
  <c r="N11" i="8"/>
  <c r="O11" i="8" s="1"/>
  <c r="K10" i="8"/>
  <c r="N10" i="8"/>
  <c r="O10" i="8" s="1"/>
  <c r="K9" i="8"/>
  <c r="N9" i="8"/>
  <c r="O9" i="8" s="1"/>
  <c r="K8" i="8"/>
  <c r="N8" i="8"/>
  <c r="O8" i="8" s="1"/>
  <c r="J13" i="8"/>
  <c r="J12" i="8"/>
  <c r="J11" i="8"/>
  <c r="J10" i="8"/>
  <c r="J9" i="8"/>
  <c r="J8" i="8"/>
  <c r="U7" i="8"/>
  <c r="U6" i="8"/>
  <c r="U5" i="8"/>
  <c r="U4" i="8"/>
  <c r="U3" i="8"/>
  <c r="N7" i="8"/>
  <c r="O7" i="8" s="1"/>
  <c r="N6" i="8"/>
  <c r="O6" i="8" s="1"/>
  <c r="N5" i="8"/>
  <c r="O5" i="8" s="1"/>
  <c r="N4" i="8"/>
  <c r="O4" i="8" s="1"/>
  <c r="N3" i="8"/>
  <c r="O3" i="8" s="1"/>
  <c r="L7" i="8"/>
  <c r="M7" i="8" s="1"/>
  <c r="L6" i="8"/>
  <c r="M6" i="8" s="1"/>
  <c r="L5" i="8"/>
  <c r="M5" i="8" s="1"/>
  <c r="L4" i="8"/>
  <c r="M4" i="8" s="1"/>
  <c r="L3" i="8"/>
  <c r="M3" i="8" s="1"/>
  <c r="K7" i="8"/>
  <c r="K6" i="8"/>
  <c r="K5" i="8"/>
  <c r="K4" i="8"/>
  <c r="K3" i="8"/>
  <c r="J7" i="8"/>
  <c r="J6" i="8"/>
  <c r="J5" i="8"/>
  <c r="J4" i="8"/>
  <c r="J3" i="8"/>
  <c r="W126" i="5"/>
  <c r="W125" i="5"/>
  <c r="W124" i="5"/>
  <c r="W123" i="5"/>
  <c r="W122" i="5"/>
  <c r="U126" i="5"/>
  <c r="U125" i="5"/>
  <c r="U124" i="5"/>
  <c r="U123" i="5"/>
  <c r="U122" i="5"/>
  <c r="Q126" i="5"/>
  <c r="Q125" i="5"/>
  <c r="Q124" i="5"/>
  <c r="Q123" i="5"/>
  <c r="Q122" i="5"/>
  <c r="L126" i="5"/>
  <c r="M126" i="5" s="1"/>
  <c r="L125" i="5"/>
  <c r="M125" i="5" s="1"/>
  <c r="M124" i="5"/>
  <c r="L124" i="5"/>
  <c r="M123" i="5"/>
  <c r="L123" i="5"/>
  <c r="M122" i="5"/>
  <c r="L122" i="5"/>
  <c r="K126" i="5"/>
  <c r="N126" i="5"/>
  <c r="O126" i="5" s="1"/>
  <c r="K125" i="5"/>
  <c r="N125" i="5"/>
  <c r="O125" i="5"/>
  <c r="K124" i="5"/>
  <c r="N124" i="5"/>
  <c r="O124" i="5"/>
  <c r="K123" i="5"/>
  <c r="N123" i="5"/>
  <c r="O123" i="5" s="1"/>
  <c r="K122" i="5"/>
  <c r="N122" i="5"/>
  <c r="O122" i="5"/>
  <c r="J126" i="5"/>
  <c r="J125" i="5"/>
  <c r="J124" i="5"/>
  <c r="J123" i="5"/>
  <c r="J122" i="5"/>
  <c r="W121" i="5"/>
  <c r="W120" i="5"/>
  <c r="W119" i="5"/>
  <c r="W118" i="5"/>
  <c r="W117" i="5"/>
  <c r="W116" i="5"/>
  <c r="W115" i="5"/>
  <c r="W114" i="5"/>
  <c r="U121" i="5"/>
  <c r="U120" i="5"/>
  <c r="U119" i="5"/>
  <c r="U118" i="5"/>
  <c r="U117" i="5"/>
  <c r="U116" i="5"/>
  <c r="U115" i="5"/>
  <c r="U114" i="5"/>
  <c r="Q121" i="5"/>
  <c r="Q120" i="5"/>
  <c r="Q119" i="5"/>
  <c r="Q118" i="5"/>
  <c r="Q117" i="5"/>
  <c r="Q116" i="5"/>
  <c r="Q115" i="5"/>
  <c r="Q114" i="5"/>
  <c r="M121" i="5"/>
  <c r="M120" i="5"/>
  <c r="M119" i="5"/>
  <c r="M118" i="5"/>
  <c r="M117" i="5"/>
  <c r="M116" i="5"/>
  <c r="M115" i="5"/>
  <c r="M114" i="5"/>
  <c r="L121" i="5"/>
  <c r="L120" i="5"/>
  <c r="L119" i="5"/>
  <c r="L118" i="5"/>
  <c r="L117" i="5"/>
  <c r="L114" i="5"/>
  <c r="L116" i="5"/>
  <c r="L115" i="5"/>
  <c r="K121" i="5"/>
  <c r="N121" i="5"/>
  <c r="O121" i="5" s="1"/>
  <c r="K120" i="5"/>
  <c r="N120" i="5"/>
  <c r="O120" i="5" s="1"/>
  <c r="K119" i="5"/>
  <c r="N119" i="5"/>
  <c r="O119" i="5"/>
  <c r="K118" i="5"/>
  <c r="N118" i="5"/>
  <c r="O118" i="5" s="1"/>
  <c r="K117" i="5"/>
  <c r="N117" i="5"/>
  <c r="O117" i="5" s="1"/>
  <c r="K116" i="5"/>
  <c r="N116" i="5"/>
  <c r="O116" i="5" s="1"/>
  <c r="K115" i="5"/>
  <c r="N115" i="5"/>
  <c r="O115" i="5" s="1"/>
  <c r="K114" i="5"/>
  <c r="N114" i="5"/>
  <c r="O114" i="5"/>
  <c r="J121" i="5"/>
  <c r="J120" i="5"/>
  <c r="J119" i="5"/>
  <c r="J118" i="5"/>
  <c r="J117" i="5"/>
  <c r="J116" i="5"/>
  <c r="J115" i="5"/>
  <c r="J114" i="5"/>
  <c r="W113" i="5"/>
  <c r="W112" i="5"/>
  <c r="W111" i="5"/>
  <c r="U113" i="5"/>
  <c r="U112" i="5"/>
  <c r="U111" i="5"/>
  <c r="Q113" i="5"/>
  <c r="Q112" i="5"/>
  <c r="Q111" i="5"/>
  <c r="L113" i="5"/>
  <c r="M113" i="5" s="1"/>
  <c r="L112" i="5"/>
  <c r="M112" i="5" s="1"/>
  <c r="L111" i="5"/>
  <c r="M111" i="5" s="1"/>
  <c r="K113" i="5"/>
  <c r="N113" i="5"/>
  <c r="O113" i="5" s="1"/>
  <c r="K112" i="5"/>
  <c r="N112" i="5"/>
  <c r="O112" i="5"/>
  <c r="K111" i="5"/>
  <c r="N111" i="5"/>
  <c r="O111" i="5"/>
  <c r="J113" i="5"/>
  <c r="J112" i="5"/>
  <c r="J111" i="5"/>
  <c r="D12" i="7"/>
  <c r="D11" i="7"/>
  <c r="W110" i="5"/>
  <c r="W109" i="5"/>
  <c r="W108" i="5"/>
  <c r="W107" i="5"/>
  <c r="U110" i="5"/>
  <c r="U109" i="5"/>
  <c r="U108" i="5"/>
  <c r="U107" i="5"/>
  <c r="Q110" i="5"/>
  <c r="Q109" i="5"/>
  <c r="Q108" i="5"/>
  <c r="Q107" i="5"/>
  <c r="L110" i="5"/>
  <c r="M110" i="5" s="1"/>
  <c r="L109" i="5"/>
  <c r="M109" i="5" s="1"/>
  <c r="L108" i="5"/>
  <c r="M108" i="5" s="1"/>
  <c r="L107" i="5"/>
  <c r="M107" i="5" s="1"/>
  <c r="K110" i="5"/>
  <c r="N110" i="5"/>
  <c r="O110" i="5" s="1"/>
  <c r="K109" i="5"/>
  <c r="N109" i="5"/>
  <c r="O109" i="5" s="1"/>
  <c r="K108" i="5"/>
  <c r="N108" i="5"/>
  <c r="O108" i="5" s="1"/>
  <c r="K107" i="5"/>
  <c r="N107" i="5"/>
  <c r="O107" i="5" s="1"/>
  <c r="J110" i="5"/>
  <c r="J109" i="5"/>
  <c r="J108" i="5"/>
  <c r="J107" i="5"/>
  <c r="D10" i="7"/>
  <c r="D9" i="7"/>
  <c r="D8" i="7"/>
  <c r="D7" i="7"/>
  <c r="D6" i="7"/>
  <c r="D5" i="7"/>
  <c r="D4" i="7"/>
  <c r="D3" i="7"/>
  <c r="W106" i="5"/>
  <c r="W105" i="5"/>
  <c r="W104" i="5"/>
  <c r="W103" i="5"/>
  <c r="W102" i="5"/>
  <c r="U106" i="5"/>
  <c r="U105" i="5"/>
  <c r="U104" i="5"/>
  <c r="U103" i="5"/>
  <c r="U102" i="5"/>
  <c r="Q106" i="5"/>
  <c r="Q105" i="5"/>
  <c r="Q104" i="5"/>
  <c r="Q103" i="5"/>
  <c r="Q102" i="5"/>
  <c r="L106" i="5"/>
  <c r="M106" i="5" s="1"/>
  <c r="L105" i="5"/>
  <c r="M105" i="5" s="1"/>
  <c r="L104" i="5"/>
  <c r="M104" i="5" s="1"/>
  <c r="M103" i="5"/>
  <c r="L103" i="5"/>
  <c r="L102" i="5"/>
  <c r="M102" i="5" s="1"/>
  <c r="K106" i="5"/>
  <c r="N106" i="5"/>
  <c r="O106" i="5" s="1"/>
  <c r="K105" i="5"/>
  <c r="N105" i="5"/>
  <c r="O105" i="5" s="1"/>
  <c r="K104" i="5"/>
  <c r="N104" i="5"/>
  <c r="O104" i="5" s="1"/>
  <c r="K103" i="5"/>
  <c r="N103" i="5"/>
  <c r="O103" i="5" s="1"/>
  <c r="K102" i="5"/>
  <c r="N102" i="5"/>
  <c r="O102" i="5"/>
  <c r="J106" i="5"/>
  <c r="J105" i="5"/>
  <c r="J104" i="5"/>
  <c r="J103" i="5"/>
  <c r="J102" i="5"/>
  <c r="W101" i="5"/>
  <c r="W100" i="5"/>
  <c r="W99" i="5"/>
  <c r="W98" i="5"/>
  <c r="W97" i="5"/>
  <c r="U101" i="5"/>
  <c r="U100" i="5"/>
  <c r="U99" i="5"/>
  <c r="U98" i="5"/>
  <c r="U97" i="5"/>
  <c r="Q101" i="5"/>
  <c r="Q100" i="5"/>
  <c r="Q99" i="5"/>
  <c r="Q98" i="5"/>
  <c r="Q97" i="5"/>
  <c r="M101" i="5"/>
  <c r="M100" i="5"/>
  <c r="M99" i="5"/>
  <c r="M98" i="5"/>
  <c r="M97" i="5"/>
  <c r="L101" i="5"/>
  <c r="L100" i="5"/>
  <c r="L99" i="5"/>
  <c r="L98" i="5"/>
  <c r="L97" i="5"/>
  <c r="K101" i="5"/>
  <c r="N101" i="5"/>
  <c r="O101" i="5"/>
  <c r="K100" i="5"/>
  <c r="N100" i="5"/>
  <c r="O100" i="5" s="1"/>
  <c r="K99" i="5"/>
  <c r="N99" i="5"/>
  <c r="O99" i="5" s="1"/>
  <c r="K98" i="5"/>
  <c r="N98" i="5"/>
  <c r="O98" i="5" s="1"/>
  <c r="K97" i="5"/>
  <c r="N97" i="5"/>
  <c r="O97" i="5"/>
  <c r="J101" i="5"/>
  <c r="J100" i="5"/>
  <c r="J99" i="5"/>
  <c r="J98" i="5"/>
  <c r="J97" i="5"/>
  <c r="W96" i="5"/>
  <c r="W95" i="5"/>
  <c r="W94" i="5"/>
  <c r="W93" i="5"/>
  <c r="U96" i="5"/>
  <c r="U95" i="5"/>
  <c r="U94" i="5"/>
  <c r="U93" i="5"/>
  <c r="Q96" i="5"/>
  <c r="Q95" i="5"/>
  <c r="Q94" i="5"/>
  <c r="Q93" i="5"/>
  <c r="L96" i="5"/>
  <c r="M96" i="5" s="1"/>
  <c r="L95" i="5"/>
  <c r="M95" i="5" s="1"/>
  <c r="L94" i="5"/>
  <c r="M94" i="5" s="1"/>
  <c r="M93" i="5"/>
  <c r="L93" i="5"/>
  <c r="K96" i="5"/>
  <c r="N96" i="5"/>
  <c r="O96" i="5" s="1"/>
  <c r="K95" i="5"/>
  <c r="N95" i="5"/>
  <c r="O95" i="5"/>
  <c r="K94" i="5"/>
  <c r="N94" i="5"/>
  <c r="O94" i="5"/>
  <c r="K93" i="5"/>
  <c r="N93" i="5"/>
  <c r="O93" i="5"/>
  <c r="J96" i="5"/>
  <c r="J95" i="5"/>
  <c r="J94" i="5"/>
  <c r="J93" i="5"/>
  <c r="W92" i="5"/>
  <c r="W91" i="5"/>
  <c r="W90" i="5"/>
  <c r="W89" i="5"/>
  <c r="W88" i="5"/>
  <c r="U92" i="5"/>
  <c r="U91" i="5"/>
  <c r="U90" i="5"/>
  <c r="U89" i="5"/>
  <c r="U88" i="5"/>
  <c r="Q92" i="5"/>
  <c r="Q91" i="5"/>
  <c r="Q90" i="5"/>
  <c r="Q89" i="5"/>
  <c r="Q88" i="5"/>
  <c r="L92" i="5"/>
  <c r="M92" i="5" s="1"/>
  <c r="L91" i="5"/>
  <c r="M91" i="5" s="1"/>
  <c r="L90" i="5"/>
  <c r="M90" i="5" s="1"/>
  <c r="M89" i="5"/>
  <c r="L89" i="5"/>
  <c r="M88" i="5"/>
  <c r="L88" i="5"/>
  <c r="K92" i="5"/>
  <c r="N92" i="5"/>
  <c r="O92" i="5" s="1"/>
  <c r="K91" i="5"/>
  <c r="N91" i="5"/>
  <c r="O91" i="5" s="1"/>
  <c r="K90" i="5"/>
  <c r="N90" i="5"/>
  <c r="O90" i="5" s="1"/>
  <c r="K89" i="5"/>
  <c r="N89" i="5"/>
  <c r="O89" i="5" s="1"/>
  <c r="K88" i="5"/>
  <c r="N88" i="5"/>
  <c r="O88" i="5" s="1"/>
  <c r="J92" i="5"/>
  <c r="J91" i="5"/>
  <c r="J90" i="5"/>
  <c r="J89" i="5"/>
  <c r="J88" i="5"/>
  <c r="W87" i="5"/>
  <c r="W86" i="5"/>
  <c r="W85" i="5"/>
  <c r="W84" i="5"/>
  <c r="W83" i="5"/>
  <c r="U87" i="5"/>
  <c r="U86" i="5"/>
  <c r="U85" i="5"/>
  <c r="U84" i="5"/>
  <c r="U83" i="5"/>
  <c r="Q87" i="5"/>
  <c r="Q86" i="5"/>
  <c r="Q85" i="5"/>
  <c r="Q84" i="5"/>
  <c r="Q83" i="5"/>
  <c r="M87" i="5"/>
  <c r="M86" i="5"/>
  <c r="M85" i="5"/>
  <c r="M84" i="5"/>
  <c r="M83" i="5"/>
  <c r="L87" i="5"/>
  <c r="L86" i="5"/>
  <c r="L85" i="5"/>
  <c r="L84" i="5"/>
  <c r="L83" i="5"/>
  <c r="K87" i="5"/>
  <c r="N87" i="5"/>
  <c r="O87" i="5" s="1"/>
  <c r="K86" i="5"/>
  <c r="N86" i="5"/>
  <c r="O86" i="5" s="1"/>
  <c r="K85" i="5"/>
  <c r="N85" i="5"/>
  <c r="O85" i="5"/>
  <c r="K84" i="5"/>
  <c r="N84" i="5"/>
  <c r="O84" i="5" s="1"/>
  <c r="K83" i="5"/>
  <c r="N83" i="5"/>
  <c r="O83" i="5" s="1"/>
  <c r="J87" i="5"/>
  <c r="J86" i="5"/>
  <c r="J85" i="5"/>
  <c r="J84" i="5"/>
  <c r="J83" i="5"/>
  <c r="D2" i="7"/>
  <c r="W82" i="5"/>
  <c r="W81" i="5"/>
  <c r="W80" i="5"/>
  <c r="W79" i="5"/>
  <c r="U82" i="5"/>
  <c r="U81" i="5"/>
  <c r="U80" i="5"/>
  <c r="U79" i="5"/>
  <c r="Q82" i="5"/>
  <c r="Q81" i="5"/>
  <c r="Q80" i="5"/>
  <c r="Q79" i="5"/>
  <c r="M82" i="5"/>
  <c r="M81" i="5"/>
  <c r="M80" i="5"/>
  <c r="M79" i="5"/>
  <c r="L82" i="5"/>
  <c r="L81" i="5"/>
  <c r="L80" i="5"/>
  <c r="L79" i="5"/>
  <c r="K82" i="5"/>
  <c r="N82" i="5"/>
  <c r="O82" i="5"/>
  <c r="K81" i="5"/>
  <c r="N81" i="5"/>
  <c r="O81" i="5"/>
  <c r="K80" i="5"/>
  <c r="N80" i="5"/>
  <c r="O80" i="5" s="1"/>
  <c r="K79" i="5"/>
  <c r="N79" i="5"/>
  <c r="O79" i="5"/>
  <c r="J82" i="5"/>
  <c r="J81" i="5"/>
  <c r="J80" i="5"/>
  <c r="J79" i="5"/>
  <c r="W78" i="5"/>
  <c r="W77" i="5"/>
  <c r="W76" i="5"/>
  <c r="W75" i="5"/>
  <c r="U78" i="5"/>
  <c r="U77" i="5"/>
  <c r="U76" i="5"/>
  <c r="U75" i="5"/>
  <c r="Q78" i="5"/>
  <c r="Q77" i="5"/>
  <c r="Q76" i="5"/>
  <c r="Q75" i="5"/>
  <c r="M78" i="5"/>
  <c r="M77" i="5"/>
  <c r="M76" i="5"/>
  <c r="M75" i="5"/>
  <c r="L78" i="5"/>
  <c r="L77" i="5"/>
  <c r="L76" i="5"/>
  <c r="L75" i="5"/>
  <c r="K78" i="5"/>
  <c r="N78" i="5"/>
  <c r="O78" i="5" s="1"/>
  <c r="K77" i="5"/>
  <c r="N77" i="5"/>
  <c r="O77" i="5"/>
  <c r="K76" i="5"/>
  <c r="N76" i="5"/>
  <c r="O76" i="5" s="1"/>
  <c r="K75" i="5"/>
  <c r="N75" i="5"/>
  <c r="O75" i="5" s="1"/>
  <c r="J78" i="5"/>
  <c r="J77" i="5"/>
  <c r="J76" i="5"/>
  <c r="J75" i="5"/>
  <c r="U74" i="5"/>
  <c r="U73" i="5"/>
  <c r="U72" i="5"/>
  <c r="U71" i="5"/>
  <c r="Q74" i="5"/>
  <c r="Q73" i="5"/>
  <c r="Q72" i="5"/>
  <c r="Q71" i="5"/>
  <c r="L74" i="5"/>
  <c r="M74" i="5" s="1"/>
  <c r="L73" i="5"/>
  <c r="M73" i="5" s="1"/>
  <c r="L72" i="5"/>
  <c r="M72" i="5" s="1"/>
  <c r="L71" i="5"/>
  <c r="M71" i="5" s="1"/>
  <c r="K74" i="5"/>
  <c r="N74" i="5"/>
  <c r="O74" i="5" s="1"/>
  <c r="K73" i="5"/>
  <c r="N73" i="5"/>
  <c r="O73" i="5" s="1"/>
  <c r="K72" i="5"/>
  <c r="N72" i="5"/>
  <c r="O72" i="5" s="1"/>
  <c r="K71" i="5"/>
  <c r="N71" i="5"/>
  <c r="O71" i="5" s="1"/>
  <c r="J74" i="5"/>
  <c r="J73" i="5"/>
  <c r="J72" i="5"/>
  <c r="J71" i="5"/>
  <c r="U70" i="5"/>
  <c r="U69" i="5"/>
  <c r="U68" i="5"/>
  <c r="U67" i="5"/>
  <c r="U66" i="5"/>
  <c r="Q70" i="5"/>
  <c r="Q69" i="5"/>
  <c r="Q68" i="5"/>
  <c r="Q67" i="5"/>
  <c r="Q66" i="5"/>
  <c r="L70" i="5"/>
  <c r="M70" i="5" s="1"/>
  <c r="L69" i="5"/>
  <c r="M69" i="5" s="1"/>
  <c r="L68" i="5"/>
  <c r="M68" i="5" s="1"/>
  <c r="L67" i="5"/>
  <c r="M67" i="5" s="1"/>
  <c r="L66" i="5"/>
  <c r="M66" i="5" s="1"/>
  <c r="K70" i="5"/>
  <c r="N70" i="5"/>
  <c r="O70" i="5" s="1"/>
  <c r="K69" i="5"/>
  <c r="N69" i="5"/>
  <c r="O69" i="5" s="1"/>
  <c r="K68" i="5"/>
  <c r="N68" i="5"/>
  <c r="O68" i="5" s="1"/>
  <c r="K67" i="5"/>
  <c r="N67" i="5"/>
  <c r="O67" i="5" s="1"/>
  <c r="K66" i="5"/>
  <c r="N66" i="5"/>
  <c r="O66" i="5" s="1"/>
  <c r="J70" i="5"/>
  <c r="J69" i="5"/>
  <c r="J68" i="5"/>
  <c r="J67" i="5"/>
  <c r="J66" i="5"/>
  <c r="U65" i="5"/>
  <c r="U64" i="5"/>
  <c r="U63" i="5"/>
  <c r="U62" i="5"/>
  <c r="U61" i="5"/>
  <c r="Q65" i="5"/>
  <c r="Q64" i="5"/>
  <c r="Q63" i="5"/>
  <c r="Q62" i="5"/>
  <c r="Q61" i="5"/>
  <c r="L65" i="5"/>
  <c r="M65" i="5" s="1"/>
  <c r="L64" i="5"/>
  <c r="M64" i="5" s="1"/>
  <c r="L63" i="5"/>
  <c r="M63" i="5" s="1"/>
  <c r="L62" i="5"/>
  <c r="M62" i="5" s="1"/>
  <c r="L61" i="5"/>
  <c r="M61" i="5" s="1"/>
  <c r="K65" i="5"/>
  <c r="N65" i="5"/>
  <c r="O65" i="5" s="1"/>
  <c r="K64" i="5"/>
  <c r="N64" i="5"/>
  <c r="O64" i="5" s="1"/>
  <c r="K63" i="5"/>
  <c r="N63" i="5"/>
  <c r="O63" i="5" s="1"/>
  <c r="K62" i="5"/>
  <c r="N62" i="5"/>
  <c r="O62" i="5" s="1"/>
  <c r="K61" i="5"/>
  <c r="N61" i="5"/>
  <c r="O61" i="5" s="1"/>
  <c r="J65" i="5"/>
  <c r="J64" i="5"/>
  <c r="J63" i="5"/>
  <c r="J62" i="5"/>
  <c r="J61" i="5"/>
  <c r="U60" i="5"/>
  <c r="U59" i="5"/>
  <c r="U58" i="5"/>
  <c r="U57" i="5"/>
  <c r="Q60" i="5"/>
  <c r="Q59" i="5"/>
  <c r="Q58" i="5"/>
  <c r="Q57" i="5"/>
  <c r="L60" i="5"/>
  <c r="M60" i="5" s="1"/>
  <c r="L59" i="5"/>
  <c r="M59" i="5" s="1"/>
  <c r="L58" i="5"/>
  <c r="M58" i="5" s="1"/>
  <c r="L57" i="5"/>
  <c r="M57" i="5" s="1"/>
  <c r="K60" i="5"/>
  <c r="N60" i="5"/>
  <c r="O60" i="5" s="1"/>
  <c r="K59" i="5"/>
  <c r="N59" i="5"/>
  <c r="O59" i="5" s="1"/>
  <c r="K58" i="5"/>
  <c r="N58" i="5"/>
  <c r="O58" i="5" s="1"/>
  <c r="K57" i="5"/>
  <c r="N57" i="5"/>
  <c r="O57" i="5" s="1"/>
  <c r="J60" i="5"/>
  <c r="J59" i="5"/>
  <c r="J58" i="5"/>
  <c r="J57" i="5"/>
  <c r="L52" i="5"/>
  <c r="M52" i="5" s="1"/>
  <c r="L51" i="5"/>
  <c r="M51" i="5" s="1"/>
  <c r="L50" i="5"/>
  <c r="M50" i="5" s="1"/>
  <c r="L56" i="5"/>
  <c r="M56" i="5" s="1"/>
  <c r="L55" i="5"/>
  <c r="M55" i="5" s="1"/>
  <c r="L54" i="5"/>
  <c r="M54" i="5" s="1"/>
  <c r="L53" i="5"/>
  <c r="M53" i="5" s="1"/>
  <c r="L49" i="5"/>
  <c r="M49" i="5" s="1"/>
  <c r="L48" i="5"/>
  <c r="M48" i="5" s="1"/>
  <c r="L47" i="5"/>
  <c r="M47" i="5" s="1"/>
  <c r="L46" i="5"/>
  <c r="M46" i="5" s="1"/>
  <c r="L45" i="5"/>
  <c r="M45" i="5" s="1"/>
  <c r="L44" i="5"/>
  <c r="M44" i="5" s="1"/>
  <c r="L43" i="5"/>
  <c r="M43" i="5" s="1"/>
  <c r="L42" i="5"/>
  <c r="M42" i="5" s="1"/>
  <c r="L41" i="5"/>
  <c r="M41" i="5" s="1"/>
  <c r="L40" i="5"/>
  <c r="M40" i="5" s="1"/>
  <c r="L39" i="5"/>
  <c r="M39" i="5" s="1"/>
  <c r="L38" i="5"/>
  <c r="M38" i="5" s="1"/>
  <c r="L37" i="5"/>
  <c r="M37" i="5" s="1"/>
  <c r="L36" i="5"/>
  <c r="M36" i="5" s="1"/>
  <c r="L35" i="5"/>
  <c r="M35" i="5" s="1"/>
  <c r="L34" i="5"/>
  <c r="M34" i="5" s="1"/>
  <c r="L33" i="5"/>
  <c r="M33" i="5" s="1"/>
  <c r="L32" i="5"/>
  <c r="M32" i="5" s="1"/>
  <c r="L31" i="5"/>
  <c r="M31" i="5" s="1"/>
  <c r="L30" i="5"/>
  <c r="M30" i="5" s="1"/>
  <c r="L29" i="5"/>
  <c r="M29" i="5" s="1"/>
  <c r="L28" i="5"/>
  <c r="M28" i="5" s="1"/>
  <c r="L27" i="5"/>
  <c r="M27" i="5" s="1"/>
  <c r="L26" i="5"/>
  <c r="M26" i="5" s="1"/>
  <c r="L25" i="5"/>
  <c r="M25" i="5" s="1"/>
  <c r="L24" i="5"/>
  <c r="M24" i="5" s="1"/>
  <c r="L23" i="5"/>
  <c r="M23" i="5" s="1"/>
  <c r="L22" i="5"/>
  <c r="M22" i="5" s="1"/>
  <c r="L21" i="5"/>
  <c r="M21" i="5" s="1"/>
  <c r="L20" i="5"/>
  <c r="M20" i="5" s="1"/>
  <c r="L19" i="5"/>
  <c r="M19" i="5" s="1"/>
  <c r="L18" i="5"/>
  <c r="M18" i="5" s="1"/>
  <c r="L17" i="5"/>
  <c r="M17" i="5" s="1"/>
  <c r="L16" i="5"/>
  <c r="M16" i="5" s="1"/>
  <c r="L15" i="5"/>
  <c r="M15" i="5" s="1"/>
  <c r="L14" i="5"/>
  <c r="M14" i="5" s="1"/>
  <c r="L13" i="5"/>
  <c r="M13" i="5" s="1"/>
  <c r="L12" i="5"/>
  <c r="M12" i="5" s="1"/>
  <c r="L11" i="5"/>
  <c r="L10" i="5"/>
  <c r="M10" i="5" s="1"/>
  <c r="L9" i="5"/>
  <c r="L8" i="5"/>
  <c r="M8" i="5" s="1"/>
  <c r="L7" i="5"/>
  <c r="M7" i="5" s="1"/>
  <c r="L6" i="5"/>
  <c r="L5" i="5"/>
  <c r="M5" i="5" s="1"/>
  <c r="L4" i="5"/>
  <c r="M4" i="5" s="1"/>
  <c r="L3" i="5"/>
  <c r="M3" i="5" s="1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4" i="5"/>
  <c r="Q3" i="5"/>
  <c r="Q5" i="5"/>
  <c r="U56" i="5"/>
  <c r="U55" i="5"/>
  <c r="U54" i="5"/>
  <c r="U53" i="5"/>
  <c r="N56" i="5"/>
  <c r="O56" i="5" s="1"/>
  <c r="N55" i="5"/>
  <c r="O55" i="5" s="1"/>
  <c r="N54" i="5"/>
  <c r="O54" i="5" s="1"/>
  <c r="N53" i="5"/>
  <c r="O53" i="5" s="1"/>
  <c r="U52" i="5"/>
  <c r="U51" i="5"/>
  <c r="U50" i="5"/>
  <c r="N52" i="5"/>
  <c r="O52" i="5" s="1"/>
  <c r="N51" i="5"/>
  <c r="O51" i="5" s="1"/>
  <c r="N50" i="5"/>
  <c r="O50" i="5" s="1"/>
  <c r="U49" i="5"/>
  <c r="U48" i="5"/>
  <c r="U47" i="5"/>
  <c r="U46" i="5"/>
  <c r="N49" i="5"/>
  <c r="O49" i="5" s="1"/>
  <c r="N48" i="5"/>
  <c r="O48" i="5" s="1"/>
  <c r="N47" i="5"/>
  <c r="O47" i="5" s="1"/>
  <c r="N46" i="5"/>
  <c r="O46" i="5" s="1"/>
  <c r="U45" i="5"/>
  <c r="U44" i="5"/>
  <c r="U43" i="5"/>
  <c r="N45" i="5"/>
  <c r="O45" i="5" s="1"/>
  <c r="N44" i="5"/>
  <c r="O44" i="5" s="1"/>
  <c r="N43" i="5"/>
  <c r="O43" i="5" s="1"/>
  <c r="U42" i="5"/>
  <c r="U41" i="5"/>
  <c r="U40" i="5"/>
  <c r="U39" i="5"/>
  <c r="N42" i="5"/>
  <c r="O42" i="5" s="1"/>
  <c r="N41" i="5"/>
  <c r="O41" i="5" s="1"/>
  <c r="N40" i="5"/>
  <c r="O40" i="5" s="1"/>
  <c r="N39" i="5"/>
  <c r="O39" i="5" s="1"/>
  <c r="U38" i="5"/>
  <c r="U37" i="5"/>
  <c r="U36" i="5"/>
  <c r="N38" i="5"/>
  <c r="O38" i="5" s="1"/>
  <c r="N37" i="5"/>
  <c r="O37" i="5" s="1"/>
  <c r="N36" i="5"/>
  <c r="O36" i="5" s="1"/>
  <c r="U35" i="5"/>
  <c r="U34" i="5"/>
  <c r="U33" i="5"/>
  <c r="N35" i="5"/>
  <c r="O35" i="5" s="1"/>
  <c r="N34" i="5"/>
  <c r="O34" i="5" s="1"/>
  <c r="N33" i="5"/>
  <c r="O33" i="5" s="1"/>
  <c r="U32" i="5"/>
  <c r="U31" i="5"/>
  <c r="U30" i="5"/>
  <c r="U29" i="5"/>
  <c r="N32" i="5"/>
  <c r="O32" i="5" s="1"/>
  <c r="N31" i="5"/>
  <c r="O31" i="5" s="1"/>
  <c r="N30" i="5"/>
  <c r="O30" i="5" s="1"/>
  <c r="N29" i="5"/>
  <c r="O29" i="5" s="1"/>
  <c r="N28" i="5"/>
  <c r="O28" i="5" s="1"/>
  <c r="N27" i="5"/>
  <c r="O27" i="5" s="1"/>
  <c r="N26" i="5"/>
  <c r="O26" i="5" s="1"/>
  <c r="N25" i="5"/>
  <c r="O25" i="5" s="1"/>
  <c r="U28" i="5"/>
  <c r="U27" i="5"/>
  <c r="U26" i="5"/>
  <c r="U25" i="5"/>
  <c r="U24" i="5"/>
  <c r="N24" i="5"/>
  <c r="O24" i="5" s="1"/>
  <c r="U23" i="5"/>
  <c r="N23" i="5"/>
  <c r="O23" i="5" s="1"/>
  <c r="U22" i="5"/>
  <c r="N22" i="5"/>
  <c r="O22" i="5" s="1"/>
  <c r="U21" i="5"/>
  <c r="N21" i="5"/>
  <c r="O21" i="5" s="1"/>
  <c r="U20" i="5"/>
  <c r="N20" i="5"/>
  <c r="O20" i="5" s="1"/>
  <c r="U19" i="5"/>
  <c r="N19" i="5"/>
  <c r="O19" i="5" s="1"/>
  <c r="U18" i="5"/>
  <c r="N18" i="5"/>
  <c r="O18" i="5" s="1"/>
  <c r="U17" i="5"/>
  <c r="N17" i="5"/>
  <c r="O17" i="5" s="1"/>
  <c r="U16" i="5"/>
  <c r="U15" i="5"/>
  <c r="N16" i="5"/>
  <c r="O16" i="5" s="1"/>
  <c r="N15" i="5"/>
  <c r="O15" i="5" s="1"/>
  <c r="U14" i="5"/>
  <c r="U13" i="5"/>
  <c r="U12" i="5"/>
  <c r="U11" i="5"/>
  <c r="N14" i="5"/>
  <c r="O14" i="5" s="1"/>
  <c r="N13" i="5"/>
  <c r="O13" i="5" s="1"/>
  <c r="N12" i="5"/>
  <c r="O12" i="5" s="1"/>
  <c r="N11" i="5"/>
  <c r="O11" i="5" s="1"/>
  <c r="N10" i="5"/>
  <c r="O10" i="5" s="1"/>
  <c r="N9" i="5"/>
  <c r="O9" i="5" s="1"/>
  <c r="N8" i="5"/>
  <c r="O8" i="5" s="1"/>
  <c r="N7" i="5"/>
  <c r="O7" i="5" s="1"/>
  <c r="N6" i="5"/>
  <c r="O6" i="5" s="1"/>
  <c r="N5" i="5"/>
  <c r="O5" i="5" s="1"/>
  <c r="N4" i="5"/>
  <c r="O4" i="5" s="1"/>
  <c r="N3" i="5"/>
  <c r="O3" i="5" s="1"/>
  <c r="U10" i="5"/>
  <c r="U9" i="5"/>
  <c r="U8" i="5"/>
  <c r="U7" i="5"/>
  <c r="U6" i="5"/>
  <c r="U5" i="5"/>
  <c r="U4" i="5"/>
  <c r="U3" i="5"/>
  <c r="J3" i="6" l="1"/>
  <c r="K6" i="6"/>
  <c r="K3" i="6"/>
  <c r="J4" i="6"/>
  <c r="K2" i="6"/>
  <c r="K5" i="6"/>
  <c r="K4" i="6"/>
  <c r="K8" i="6"/>
  <c r="G5" i="6"/>
  <c r="H5" i="6" s="1"/>
  <c r="J7" i="6"/>
  <c r="J5" i="6"/>
  <c r="J6" i="6"/>
  <c r="J2" i="6"/>
  <c r="K7" i="6"/>
  <c r="I3" i="6"/>
  <c r="G3" i="6"/>
  <c r="G8" i="6"/>
  <c r="H8" i="6" s="1"/>
  <c r="I8" i="6"/>
  <c r="G6" i="6"/>
  <c r="H6" i="6" s="1"/>
  <c r="I4" i="6"/>
  <c r="G2" i="6"/>
  <c r="G4" i="6"/>
  <c r="H4" i="6" s="1"/>
  <c r="G9" i="6"/>
  <c r="H9" i="6" s="1"/>
  <c r="I9" i="6"/>
  <c r="X7" i="10"/>
  <c r="X5" i="10"/>
  <c r="X4" i="10"/>
  <c r="X3" i="10"/>
  <c r="X6" i="10"/>
  <c r="X50" i="8"/>
  <c r="X53" i="8"/>
  <c r="X79" i="8"/>
  <c r="X35" i="8"/>
  <c r="X71" i="8"/>
  <c r="X36" i="8"/>
  <c r="X41" i="8"/>
  <c r="X61" i="8"/>
  <c r="X82" i="8"/>
  <c r="X85" i="8"/>
  <c r="X108" i="8"/>
  <c r="X42" i="8"/>
  <c r="X60" i="8"/>
  <c r="X96" i="8"/>
  <c r="X112" i="8"/>
  <c r="X46" i="8"/>
  <c r="X43" i="8"/>
  <c r="X64" i="8"/>
  <c r="X97" i="8"/>
  <c r="X44" i="8"/>
  <c r="X114" i="8"/>
  <c r="X74" i="8"/>
  <c r="X98" i="8"/>
  <c r="X99" i="8"/>
  <c r="X100" i="8"/>
  <c r="X45" i="8"/>
  <c r="X38" i="8"/>
  <c r="X89" i="8"/>
  <c r="X115" i="8"/>
  <c r="X69" i="8"/>
  <c r="X93" i="8"/>
  <c r="X52" i="8"/>
  <c r="X56" i="8"/>
  <c r="X25" i="8"/>
  <c r="X33" i="8"/>
  <c r="X9" i="8"/>
  <c r="X22" i="8"/>
  <c r="X4" i="8"/>
  <c r="X30" i="8"/>
  <c r="X20" i="8"/>
  <c r="X10" i="8"/>
  <c r="X34" i="8"/>
  <c r="X31" i="8"/>
  <c r="X32" i="8"/>
  <c r="X21" i="8"/>
  <c r="X12" i="8"/>
  <c r="X13" i="8"/>
  <c r="X3" i="8"/>
  <c r="X11" i="8"/>
  <c r="X28" i="8"/>
  <c r="X5" i="8"/>
  <c r="X14" i="8"/>
  <c r="X6" i="8"/>
  <c r="X7" i="8"/>
  <c r="X15" i="8"/>
  <c r="X23" i="8"/>
  <c r="X26" i="8"/>
  <c r="X16" i="8"/>
  <c r="X24" i="8"/>
  <c r="X17" i="8"/>
  <c r="X29" i="8"/>
  <c r="X18" i="8"/>
  <c r="X8" i="8"/>
  <c r="X19" i="8"/>
  <c r="X27" i="8"/>
  <c r="L9" i="6"/>
  <c r="H7" i="6"/>
  <c r="E6" i="6"/>
  <c r="E8" i="6"/>
  <c r="E9" i="6"/>
  <c r="E2" i="6"/>
  <c r="E3" i="6"/>
  <c r="E5" i="6"/>
  <c r="E4" i="6"/>
  <c r="E7" i="6"/>
  <c r="W73" i="5"/>
  <c r="W71" i="5"/>
  <c r="W65" i="5"/>
  <c r="W70" i="5"/>
  <c r="W72" i="5"/>
  <c r="W66" i="5"/>
  <c r="W62" i="5"/>
  <c r="W63" i="5"/>
  <c r="W57" i="5"/>
  <c r="W59" i="5"/>
  <c r="W61" i="5"/>
  <c r="W64" i="5"/>
  <c r="W67" i="5"/>
  <c r="W58" i="5"/>
  <c r="W68" i="5"/>
  <c r="W60" i="5"/>
  <c r="W69" i="5"/>
  <c r="W74" i="5"/>
  <c r="M6" i="5"/>
  <c r="M9" i="5"/>
  <c r="M11" i="5"/>
  <c r="W40" i="5"/>
  <c r="W43" i="5"/>
  <c r="W31" i="5"/>
  <c r="W39" i="5"/>
  <c r="W56" i="5"/>
  <c r="W30" i="5"/>
  <c r="W55" i="5"/>
  <c r="W29" i="5"/>
  <c r="W38" i="5"/>
  <c r="W37" i="5"/>
  <c r="W41" i="5"/>
  <c r="W53" i="5"/>
  <c r="W54" i="5"/>
  <c r="W42" i="5"/>
  <c r="W45" i="5"/>
  <c r="W49" i="5"/>
  <c r="W50" i="5"/>
  <c r="W51" i="5"/>
  <c r="W44" i="5"/>
  <c r="W46" i="5"/>
  <c r="W47" i="5"/>
  <c r="W32" i="5"/>
  <c r="W48" i="5"/>
  <c r="W33" i="5"/>
  <c r="W36" i="5"/>
  <c r="W52" i="5"/>
  <c r="W35" i="5"/>
  <c r="W34" i="5"/>
  <c r="W17" i="5"/>
  <c r="W19" i="5"/>
  <c r="W15" i="5"/>
  <c r="W24" i="5"/>
  <c r="W21" i="5"/>
  <c r="W26" i="5"/>
  <c r="W22" i="5"/>
  <c r="W25" i="5"/>
  <c r="W23" i="5"/>
  <c r="W18" i="5"/>
  <c r="W27" i="5"/>
  <c r="W20" i="5"/>
  <c r="W28" i="5"/>
  <c r="W16" i="5"/>
  <c r="W14" i="5"/>
  <c r="W9" i="5"/>
  <c r="W10" i="5"/>
  <c r="W11" i="5"/>
  <c r="W12" i="5"/>
  <c r="W13" i="5"/>
  <c r="W3" i="5"/>
  <c r="W4" i="5"/>
  <c r="W7" i="5"/>
  <c r="W5" i="5"/>
  <c r="W6" i="5"/>
  <c r="W8" i="5"/>
  <c r="L6" i="6" l="1"/>
  <c r="B6" i="6" s="1"/>
  <c r="H3" i="6"/>
  <c r="H2" i="6"/>
  <c r="L3" i="6"/>
  <c r="L8" i="6"/>
  <c r="B8" i="6" s="1"/>
  <c r="L5" i="6"/>
  <c r="B5" i="6" s="1"/>
  <c r="L4" i="6"/>
  <c r="L2" i="6"/>
  <c r="L7" i="6"/>
  <c r="B7" i="6" s="1"/>
  <c r="B9" i="6"/>
  <c r="B2" i="6" l="1"/>
  <c r="B4" i="6"/>
  <c r="B3" i="6"/>
</calcChain>
</file>

<file path=xl/sharedStrings.xml><?xml version="1.0" encoding="utf-8"?>
<sst xmlns="http://schemas.openxmlformats.org/spreadsheetml/2006/main" count="797" uniqueCount="120">
  <si>
    <t>Player Name</t>
  </si>
  <si>
    <t>Pod Size</t>
  </si>
  <si>
    <t>Ryan</t>
  </si>
  <si>
    <t>Manny</t>
  </si>
  <si>
    <t>Joseph</t>
  </si>
  <si>
    <t>Becca</t>
  </si>
  <si>
    <t>Mateo</t>
  </si>
  <si>
    <t>Commander</t>
  </si>
  <si>
    <t>Fire Lord Azula</t>
  </si>
  <si>
    <t>Avatar Aang</t>
  </si>
  <si>
    <t>TOV</t>
  </si>
  <si>
    <t>Ms. Bumbleflower</t>
  </si>
  <si>
    <t>Pop-Off</t>
  </si>
  <si>
    <t>Deck Resilience</t>
  </si>
  <si>
    <t>Games Clearly Behind</t>
  </si>
  <si>
    <t>Successful Recoveries</t>
  </si>
  <si>
    <t>Player Score</t>
  </si>
  <si>
    <t>Normalized Player Score</t>
  </si>
  <si>
    <t>Row Labels</t>
  </si>
  <si>
    <t>Grand Total</t>
  </si>
  <si>
    <t>Game Date</t>
  </si>
  <si>
    <t>Game #</t>
  </si>
  <si>
    <t>Base Game Info</t>
  </si>
  <si>
    <t>Zurgo Stormrender</t>
  </si>
  <si>
    <t>Aminatou, Veil Piercer</t>
  </si>
  <si>
    <t>Rashmi, Eternities Crafter</t>
  </si>
  <si>
    <t>Cloud, Ex-SOLDIER</t>
  </si>
  <si>
    <t>Game Result</t>
  </si>
  <si>
    <t>Place</t>
  </si>
  <si>
    <t>Commander Strength</t>
  </si>
  <si>
    <t>Normalized TOV</t>
  </si>
  <si>
    <t>Disruptions</t>
  </si>
  <si>
    <t>Deck Resilience Score</t>
  </si>
  <si>
    <t>Game Calculated Deck Strength</t>
  </si>
  <si>
    <t>Knockouts</t>
  </si>
  <si>
    <t>Hazel of the Rootbloom</t>
  </si>
  <si>
    <t>Eowyn, Shieldmaiden</t>
  </si>
  <si>
    <t>Fire Lord Zuko</t>
  </si>
  <si>
    <t>Chatterfang, Squirrel General</t>
  </si>
  <si>
    <t>Aragorn, the Uniter</t>
  </si>
  <si>
    <t>Mr. House, President and CEO</t>
  </si>
  <si>
    <t>Turn of Victory/Loss</t>
  </si>
  <si>
    <t>Atraxa, Praetor's Voice</t>
  </si>
  <si>
    <t>Davros, Dalek Creator</t>
  </si>
  <si>
    <t>Frodo, Adventurous Hobbit/Sam, Loyal Attendant</t>
  </si>
  <si>
    <t>Teval, the Balanced Scale</t>
  </si>
  <si>
    <t>Ureni of the Unwritten</t>
  </si>
  <si>
    <t>Valgavoth, Harrower of Souls</t>
  </si>
  <si>
    <t>Toph, The First Metalbender</t>
  </si>
  <si>
    <t>Michelle</t>
  </si>
  <si>
    <t>The Wise Mothman</t>
  </si>
  <si>
    <t>Kilo, Apogee Mind</t>
  </si>
  <si>
    <t>Preston Garvey, Minuteman</t>
  </si>
  <si>
    <t>Fire Lord Zuko (Ryan's)</t>
  </si>
  <si>
    <t>Anti-Venom, Horrifying Healer</t>
  </si>
  <si>
    <t>Player</t>
  </si>
  <si>
    <t>Win Count</t>
  </si>
  <si>
    <t>Loss Count</t>
  </si>
  <si>
    <t>Win Rate</t>
  </si>
  <si>
    <t>Win Rate Adjusted for Pod Size</t>
  </si>
  <si>
    <t xml:space="preserve">Win Count Adjusted for Pod size </t>
  </si>
  <si>
    <t>Loss Count Adjusted for Pod Size</t>
  </si>
  <si>
    <t>Adjusted Pod Size Win/Loss Score</t>
  </si>
  <si>
    <t>Player Adjusted Win Rate</t>
  </si>
  <si>
    <t>Deck Strength Win Adjusted Value</t>
  </si>
  <si>
    <t>Deck Strength Loss Adjusted Value</t>
  </si>
  <si>
    <t>Win Rate Adjusted for Knockouts</t>
  </si>
  <si>
    <t>Win Rate Adjusted for Compared Deck Strengths</t>
  </si>
  <si>
    <t>Knockout Score</t>
  </si>
  <si>
    <t>Deck Strength Comparison Differential</t>
  </si>
  <si>
    <t>Win Probability based on Deck Strength</t>
  </si>
  <si>
    <t>Auntie Ool, Cursewretch</t>
  </si>
  <si>
    <t>Ulalek, Fused Atrocity</t>
  </si>
  <si>
    <t>Red</t>
  </si>
  <si>
    <t>Frodo, Adventurous Hobbit/Sam, Loyal Attendant (Manny's)</t>
  </si>
  <si>
    <t>Kratos, Stoic Father/Atreus, Impulsive Son</t>
  </si>
  <si>
    <t>Ashling, The Limitless</t>
  </si>
  <si>
    <t>Sum of Game Result</t>
  </si>
  <si>
    <t>Count of Game Result</t>
  </si>
  <si>
    <t>Ultima, Origin of Oblivion</t>
  </si>
  <si>
    <t>Hei Bai, Forest Guardian</t>
  </si>
  <si>
    <t>Vayne Carudas Solidor</t>
  </si>
  <si>
    <t>Leonardo, the Balance/Michelangelo, the Heart</t>
  </si>
  <si>
    <t>Athreos, God of Passage</t>
  </si>
  <si>
    <t>Squall, SeeD Mercenary</t>
  </si>
  <si>
    <t>Edgar Markov</t>
  </si>
  <si>
    <t>Galadriel, Light of Valinor</t>
  </si>
  <si>
    <t>Kristy</t>
  </si>
  <si>
    <t>High Perfect Morcant</t>
  </si>
  <si>
    <t>Quintorius, History Chaser</t>
  </si>
  <si>
    <t>Killian, Decisive Mentor</t>
  </si>
  <si>
    <t>Zimone, Infinite Analyst</t>
  </si>
  <si>
    <t>Super Shredder</t>
  </si>
  <si>
    <t>Dina, Essence Brewer</t>
  </si>
  <si>
    <t>Current Deck Bracket</t>
  </si>
  <si>
    <t>Decks</t>
  </si>
  <si>
    <t>Current Deck Strength</t>
  </si>
  <si>
    <t>Witherbloom, The Balancer</t>
  </si>
  <si>
    <t>Killian, Decisive Mentor (Becca's)</t>
  </si>
  <si>
    <t>*Bracket 4 review (1 game no infinite combos)</t>
  </si>
  <si>
    <t>Noctis, Heir Apparent</t>
  </si>
  <si>
    <t>Fynn, the Fangbearer</t>
  </si>
  <si>
    <t>*Bracket 3</t>
  </si>
  <si>
    <t>Yuna, Grand Summoner</t>
  </si>
  <si>
    <t>Sanar, Innovative First-Year</t>
  </si>
  <si>
    <t>Niv-Mizzet, Parun</t>
  </si>
  <si>
    <t>Szarel, Genesis Shepard</t>
  </si>
  <si>
    <t>*Bracket 4 review (2 games no infinite combos)</t>
  </si>
  <si>
    <t>Giada, Font of Hope</t>
  </si>
  <si>
    <t>Zada, Hedron Grinder</t>
  </si>
  <si>
    <t>Rootha, Mastering the Moment</t>
  </si>
  <si>
    <t>Captain America, Team Leader</t>
  </si>
  <si>
    <t>*Bracket 4 review (1 game infinite combo round 9)</t>
  </si>
  <si>
    <t>Kruphix, God of Horizons</t>
  </si>
  <si>
    <t>Kratos, God of War</t>
  </si>
  <si>
    <t>Doctor Doom, King of Latveria</t>
  </si>
  <si>
    <t>Arna Kennerud, Skycaptain</t>
  </si>
  <si>
    <t>Eshki, Temur's Roar (Manny's)</t>
  </si>
  <si>
    <t>Lucy MacLean, Positively Armed</t>
  </si>
  <si>
    <t>Namor the Sub-Mariner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</si>
</sst>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</fills>
  <borders count="2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>
        <color indexed="64"/>
      </left>
      <right/>
      <top style="double">
        <color rgb="FF3F3F3F"/>
      </top>
      <bottom style="medium">
        <color indexed="64"/>
      </bottom>
      <diagonal/>
    </border>
    <border>
      <left/>
      <right style="medium">
        <color indexed="64"/>
      </right>
      <top style="double">
        <color rgb="FF3F3F3F"/>
      </top>
      <bottom style="medium">
        <color indexed="64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1" fillId="2" borderId="2" applyNumberFormat="0" applyAlignment="0" applyProtection="0"/>
    <xf numFmtId="9" fontId="2" fillId="0" borderId="0" applyFont="0" applyFill="0" applyBorder="0" applyAlignment="0" applyProtection="0"/>
  </cellStyleXfs>
  <cellXfs count="62">
    <xf numFmtId="0" fontId="0" fillId="0" borderId="0" xfId="0"/>
    <xf numFmtId="14" fontId="0" fillId="0" borderId="0" xfId="0" applyNumberFormat="1"/>
    <xf numFmtId="0" fontId="0" fillId="0" borderId="1" xfId="0" applyBorder="1"/>
    <xf numFmtId="164" fontId="0" fillId="0" borderId="0" xfId="0" applyNumberFormat="1"/>
    <xf numFmtId="14" fontId="0" fillId="0" borderId="1" xfId="0" applyNumberFormat="1" applyBorder="1"/>
    <xf numFmtId="0" fontId="0" fillId="0" borderId="3" xfId="0" applyBorder="1"/>
    <xf numFmtId="14" fontId="0" fillId="0" borderId="4" xfId="0" applyNumberFormat="1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4" xfId="0" applyBorder="1"/>
    <xf numFmtId="0" fontId="0" fillId="0" borderId="10" xfId="0" applyBorder="1"/>
    <xf numFmtId="164" fontId="0" fillId="0" borderId="6" xfId="0" applyNumberFormat="1" applyBorder="1"/>
    <xf numFmtId="164" fontId="0" fillId="0" borderId="3" xfId="0" applyNumberFormat="1" applyBorder="1"/>
    <xf numFmtId="164" fontId="0" fillId="0" borderId="5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7" xfId="0" applyNumberFormat="1" applyBorder="1"/>
    <xf numFmtId="0" fontId="1" fillId="2" borderId="2" xfId="1" applyAlignment="1">
      <alignment horizontal="center"/>
    </xf>
    <xf numFmtId="0" fontId="1" fillId="2" borderId="2" xfId="1" applyAlignment="1">
      <alignment vertical="center"/>
    </xf>
    <xf numFmtId="14" fontId="0" fillId="0" borderId="14" xfId="0" applyNumberFormat="1" applyBorder="1"/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0" fillId="0" borderId="7" xfId="0" applyBorder="1"/>
    <xf numFmtId="0" fontId="1" fillId="2" borderId="17" xfId="1" applyBorder="1" applyAlignment="1">
      <alignment horizontal="center"/>
    </xf>
    <xf numFmtId="14" fontId="0" fillId="0" borderId="15" xfId="0" applyNumberFormat="1" applyBorder="1"/>
    <xf numFmtId="164" fontId="0" fillId="0" borderId="15" xfId="0" applyNumberFormat="1" applyBorder="1"/>
    <xf numFmtId="14" fontId="0" fillId="0" borderId="5" xfId="0" applyNumberFormat="1" applyBorder="1"/>
    <xf numFmtId="0" fontId="0" fillId="0" borderId="18" xfId="0" applyBorder="1"/>
    <xf numFmtId="0" fontId="0" fillId="0" borderId="19" xfId="0" applyBorder="1"/>
    <xf numFmtId="0" fontId="1" fillId="2" borderId="2" xfId="1"/>
    <xf numFmtId="9" fontId="0" fillId="0" borderId="0" xfId="2" applyFont="1"/>
    <xf numFmtId="0" fontId="1" fillId="2" borderId="20" xfId="1" applyBorder="1" applyAlignment="1"/>
    <xf numFmtId="0" fontId="1" fillId="2" borderId="21" xfId="1" applyBorder="1" applyAlignment="1"/>
    <xf numFmtId="0" fontId="1" fillId="2" borderId="22" xfId="1" applyBorder="1" applyAlignment="1"/>
    <xf numFmtId="9" fontId="0" fillId="0" borderId="5" xfId="2" applyFont="1" applyBorder="1"/>
    <xf numFmtId="0" fontId="0" fillId="0" borderId="23" xfId="0" applyBorder="1" applyAlignment="1">
      <alignment horizontal="left" inden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3" fillId="0" borderId="24" xfId="2" applyFont="1" applyBorder="1"/>
    <xf numFmtId="9" fontId="3" fillId="3" borderId="25" xfId="2" applyFont="1" applyFill="1" applyBorder="1"/>
    <xf numFmtId="9" fontId="0" fillId="0" borderId="15" xfId="2" applyFont="1" applyBorder="1"/>
    <xf numFmtId="9" fontId="0" fillId="0" borderId="0" xfId="2" applyFont="1" applyBorder="1"/>
    <xf numFmtId="0" fontId="0" fillId="0" borderId="28" xfId="0" applyBorder="1"/>
    <xf numFmtId="0" fontId="3" fillId="0" borderId="23" xfId="0" applyFont="1" applyBorder="1" applyAlignment="1">
      <alignment horizontal="left"/>
    </xf>
    <xf numFmtId="0" fontId="3" fillId="3" borderId="23" xfId="0" applyFont="1" applyFill="1" applyBorder="1"/>
    <xf numFmtId="164" fontId="3" fillId="0" borderId="23" xfId="0" applyNumberFormat="1" applyFont="1" applyBorder="1" applyAlignment="1">
      <alignment horizontal="left"/>
    </xf>
    <xf numFmtId="164" fontId="0" fillId="0" borderId="23" xfId="0" applyNumberFormat="1" applyBorder="1" applyAlignment="1">
      <alignment horizontal="left" indent="1"/>
    </xf>
    <xf numFmtId="9" fontId="3" fillId="0" borderId="0" xfId="2" applyFont="1" applyBorder="1"/>
    <xf numFmtId="9" fontId="3" fillId="3" borderId="0" xfId="2" applyFont="1" applyFill="1" applyBorder="1"/>
    <xf numFmtId="164" fontId="0" fillId="0" borderId="16" xfId="0" applyNumberFormat="1" applyBorder="1"/>
    <xf numFmtId="0" fontId="0" fillId="0" borderId="0" xfId="0" applyAlignment="1">
      <alignment wrapText="1"/>
    </xf>
    <xf numFmtId="0" fontId="3" fillId="3" borderId="24" xfId="0" applyFont="1" applyFill="1" applyBorder="1"/>
    <xf numFmtId="0" fontId="1" fillId="2" borderId="2" xfId="1" applyAlignment="1">
      <alignment horizontal="center"/>
    </xf>
    <xf numFmtId="0" fontId="1" fillId="2" borderId="26" xfId="1" applyBorder="1" applyAlignment="1">
      <alignment horizontal="center"/>
    </xf>
    <xf numFmtId="0" fontId="1" fillId="2" borderId="27" xfId="1" applyBorder="1" applyAlignment="1">
      <alignment horizontal="center"/>
    </xf>
  </cellXfs>
  <cellStyles count="3">
    <cellStyle name="Check Cell" xfId="1" builtinId="2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yan Munden" refreshedDate="46229.755866898151" createdVersion="8" refreshedVersion="8" minRefreshableVersion="3" recordCount="48" xr:uid="{8056E9D3-2684-4CF2-9B4C-2A704DDBBC90}">
  <cacheSource type="worksheet">
    <worksheetSource ref="A2:X50" sheet="Game Log Season 3"/>
  </cacheSource>
  <cacheFields count="24">
    <cacheField name="Game Date" numFmtId="14">
      <sharedItems containsSemiMixedTypes="0" containsNonDate="0" containsDate="1" containsString="0" minDate="2026-07-01T00:00:00" maxDate="2026-07-26T00:00:00"/>
    </cacheField>
    <cacheField name="Game #" numFmtId="0">
      <sharedItems containsSemiMixedTypes="0" containsString="0" containsNumber="1" containsInteger="1" minValue="1" maxValue="13"/>
    </cacheField>
    <cacheField name="Player Name" numFmtId="0">
      <sharedItems count="7">
        <s v="Becca"/>
        <s v="Mateo"/>
        <s v="Manny"/>
        <s v="Ryan"/>
        <s v="Kristy"/>
        <s v="Michelle"/>
        <s v="Joseph"/>
      </sharedItems>
    </cacheField>
    <cacheField name="Commander" numFmtId="0">
      <sharedItems count="27">
        <s v="Ms. Bumbleflower"/>
        <s v="Captain America, Team Leader"/>
        <s v="Kruphix, God of Horizons"/>
        <s v="Fire Lord Zuko"/>
        <s v="Auntie Ool, Cursewretch"/>
        <s v="Teval, the Balanced Scale"/>
        <s v="The Wise Mothman"/>
        <s v="Killian, Decisive Mentor"/>
        <s v="Galadriel, Light of Valinor"/>
        <s v="Zurgo Stormrender"/>
        <s v="Ureni of the Unwritten"/>
        <s v="Zada, Hedron Grinder"/>
        <s v="Rootha, Mastering the Moment"/>
        <s v="Kratos, God of War"/>
        <s v="Ultima, Origin of Oblivion"/>
        <s v="Ashling, The Limitless"/>
        <s v="Doctor Doom, King of Latveria"/>
        <s v="Aragorn, the Uniter"/>
        <s v="Arna Kennerud, Skycaptain"/>
        <s v="Eshki, Temur's Roar (Manny's)"/>
        <s v="Witherbloom, The Balancer"/>
        <s v="Preston Garvey, Minuteman"/>
        <s v="Lucy MacLean, Positively Armed"/>
        <s v="Chatterfang, Squirrel General"/>
        <s v="Namor the Sub-Mariner"/>
        <s v="Avatar Aang"/>
        <s v="Yuna, Grand Summoner"/>
      </sharedItems>
    </cacheField>
    <cacheField name="Commander Strength" numFmtId="164">
      <sharedItems containsSemiMixedTypes="0" containsString="0" containsNumber="1" minValue="2" maxValue="3.9"/>
    </cacheField>
    <cacheField name="Game Result" numFmtId="0">
      <sharedItems containsSemiMixedTypes="0" containsString="0" containsNumber="1" containsInteger="1" minValue="0" maxValue="1"/>
    </cacheField>
    <cacheField name="Place" numFmtId="0">
      <sharedItems containsSemiMixedTypes="0" containsString="0" containsNumber="1" containsInteger="1" minValue="1" maxValue="5"/>
    </cacheField>
    <cacheField name="Pod Size" numFmtId="0">
      <sharedItems containsSemiMixedTypes="0" containsString="0" containsNumber="1" containsInteger="1" minValue="3" maxValue="5"/>
    </cacheField>
    <cacheField name="Knockouts" numFmtId="0">
      <sharedItems containsSemiMixedTypes="0" containsString="0" containsNumber="1" containsInteger="1" minValue="0" maxValue="4"/>
    </cacheField>
    <cacheField name="Adjusted Pod Size Win/Loss Score" numFmtId="0">
      <sharedItems containsSemiMixedTypes="0" containsString="0" containsNumber="1" minValue="-0.33333333333333331" maxValue="0.8"/>
    </cacheField>
    <cacheField name="Knockout Score" numFmtId="0">
      <sharedItems containsSemiMixedTypes="0" containsString="0" containsNumber="1" minValue="6.6666666666666654E-3" maxValue="0.80666666666666664"/>
    </cacheField>
    <cacheField name="Deck Strength Comparison Differential" numFmtId="0">
      <sharedItems containsSemiMixedTypes="0" containsString="0" containsNumber="1" minValue="-1.4750000000000001" maxValue="1.2000000000000002"/>
    </cacheField>
    <cacheField name="Win Probability based on Deck Strength" numFmtId="9">
      <sharedItems containsSemiMixedTypes="0" containsString="0" containsNumber="1" minValue="0.36724999999999997" maxValue="0.60799999999999998"/>
    </cacheField>
    <cacheField name="Player Score" numFmtId="0">
      <sharedItems containsSemiMixedTypes="0" containsString="0" containsNumber="1" minValue="0.2" maxValue="1.8"/>
    </cacheField>
    <cacheField name="Normalized Player Score" numFmtId="0">
      <sharedItems containsSemiMixedTypes="0" containsString="0" containsNumber="1" minValue="2.0000000000000011E-2" maxValue="0.98"/>
    </cacheField>
    <cacheField name="TOV" numFmtId="0">
      <sharedItems containsSemiMixedTypes="0" containsString="0" containsNumber="1" containsInteger="1" minValue="6" maxValue="14"/>
    </cacheField>
    <cacheField name="Normalized TOV" numFmtId="0">
      <sharedItems containsSemiMixedTypes="0" containsString="0" containsNumber="1" minValue="0.16666666666666666" maxValue="0.8666666666666667"/>
    </cacheField>
    <cacheField name="Pop-Off" numFmtId="0">
      <sharedItems containsSemiMixedTypes="0" containsString="0" containsNumber="1" containsInteger="1" minValue="0" maxValue="1"/>
    </cacheField>
    <cacheField name="Disruptions" numFmtId="0">
      <sharedItems containsSemiMixedTypes="0" containsString="0" containsNumber="1" containsInteger="1" minValue="0" maxValue="5"/>
    </cacheField>
    <cacheField name="Successful Recoveries" numFmtId="0">
      <sharedItems containsSemiMixedTypes="0" containsString="0" containsNumber="1" containsInteger="1" minValue="0" maxValue="3"/>
    </cacheField>
    <cacheField name="Deck Resilience Score" numFmtId="0">
      <sharedItems containsSemiMixedTypes="0" containsString="0" containsNumber="1" minValue="0" maxValue="1"/>
    </cacheField>
    <cacheField name="Games Clearly Behind" numFmtId="0">
      <sharedItems containsSemiMixedTypes="0" containsString="0" containsNumber="1" containsInteger="1" minValue="0" maxValue="1"/>
    </cacheField>
    <cacheField name="Current Deck Bracket" numFmtId="0">
      <sharedItems containsSemiMixedTypes="0" containsString="0" containsNumber="1" containsInteger="1" minValue="2" maxValue="3"/>
    </cacheField>
    <cacheField name="Game Calculated Deck Strength" numFmtId="164">
      <sharedItems containsSemiMixedTypes="0" containsString="0" containsNumber="1" minValue="2.2848611111111112" maxValue="3.95583333333333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d v="2026-07-01T00:00:00"/>
    <n v="1"/>
    <x v="0"/>
    <x v="0"/>
    <n v="2.9"/>
    <n v="0"/>
    <n v="2"/>
    <n v="5"/>
    <n v="0"/>
    <n v="-0.2"/>
    <n v="6.6666666666666654E-3"/>
    <n v="-0.35000000000000009"/>
    <n v="0.46849999999999997"/>
    <n v="0.8"/>
    <n v="0.38"/>
    <n v="10"/>
    <n v="0.27777777777777779"/>
    <n v="0"/>
    <n v="1"/>
    <n v="1"/>
    <n v="1"/>
    <n v="0"/>
    <n v="2"/>
    <n v="2.5126111111111111"/>
  </r>
  <r>
    <d v="2026-07-01T00:00:00"/>
    <n v="1"/>
    <x v="1"/>
    <x v="1"/>
    <n v="3.7"/>
    <n v="0"/>
    <n v="2"/>
    <n v="5"/>
    <n v="0"/>
    <n v="-0.2"/>
    <n v="6.6666666666666654E-3"/>
    <n v="0.64999999999999991"/>
    <n v="0.5585"/>
    <n v="0.8"/>
    <n v="0.38"/>
    <n v="10"/>
    <n v="0.27777777777777779"/>
    <n v="1"/>
    <n v="1"/>
    <n v="1"/>
    <n v="1"/>
    <n v="0"/>
    <n v="3"/>
    <n v="3.687611111111111"/>
  </r>
  <r>
    <d v="2026-07-01T00:00:00"/>
    <n v="1"/>
    <x v="2"/>
    <x v="2"/>
    <n v="2"/>
    <n v="0"/>
    <n v="2"/>
    <n v="5"/>
    <n v="0"/>
    <n v="-0.2"/>
    <n v="6.6666666666666654E-3"/>
    <n v="-1.4750000000000001"/>
    <n v="0.36724999999999997"/>
    <n v="0.8"/>
    <n v="0.38"/>
    <n v="10"/>
    <n v="0.27777777777777779"/>
    <n v="1"/>
    <n v="0"/>
    <n v="0"/>
    <n v="1"/>
    <n v="0"/>
    <n v="2"/>
    <n v="2.687611111111111"/>
  </r>
  <r>
    <d v="2026-07-01T00:00:00"/>
    <n v="1"/>
    <x v="3"/>
    <x v="3"/>
    <n v="3.9"/>
    <n v="1"/>
    <n v="1"/>
    <n v="5"/>
    <n v="4"/>
    <n v="0.8"/>
    <n v="0.80666666666666664"/>
    <n v="0.89999999999999991"/>
    <n v="0.58099999999999996"/>
    <n v="1.8"/>
    <n v="0.98"/>
    <n v="10"/>
    <n v="0.76666666666666661"/>
    <n v="1"/>
    <n v="1"/>
    <n v="0"/>
    <n v="0"/>
    <n v="0"/>
    <n v="3"/>
    <n v="3.7781666666666665"/>
  </r>
  <r>
    <d v="2026-07-01T00:00:00"/>
    <n v="1"/>
    <x v="4"/>
    <x v="4"/>
    <n v="3.4"/>
    <n v="0"/>
    <n v="2"/>
    <n v="5"/>
    <n v="0"/>
    <n v="-0.2"/>
    <n v="6.6666666666666654E-3"/>
    <n v="0.27499999999999991"/>
    <n v="0.52474999999999994"/>
    <n v="0.8"/>
    <n v="0.38"/>
    <n v="10"/>
    <n v="0.27777777777777779"/>
    <n v="0"/>
    <n v="2"/>
    <n v="0"/>
    <n v="0"/>
    <n v="0"/>
    <n v="3"/>
    <n v="3.3376111111111113"/>
  </r>
  <r>
    <d v="2026-07-03T00:00:00"/>
    <n v="2"/>
    <x v="1"/>
    <x v="5"/>
    <n v="3"/>
    <n v="1"/>
    <n v="1"/>
    <n v="4"/>
    <n v="3"/>
    <n v="0.75"/>
    <n v="0.6166666666666667"/>
    <n v="0"/>
    <n v="0.5"/>
    <n v="1.75"/>
    <n v="0.95"/>
    <n v="8"/>
    <n v="0.83333333333333337"/>
    <n v="1"/>
    <n v="0"/>
    <n v="0"/>
    <n v="1"/>
    <n v="0"/>
    <n v="3"/>
    <n v="3.9558333333333335"/>
  </r>
  <r>
    <d v="2026-07-03T00:00:00"/>
    <n v="2"/>
    <x v="5"/>
    <x v="6"/>
    <n v="2.7"/>
    <n v="0"/>
    <n v="2"/>
    <n v="4"/>
    <n v="0"/>
    <n v="-0.25"/>
    <n v="1.6666666666666673E-2"/>
    <n v="-0.39999999999999991"/>
    <n v="0.46400000000000002"/>
    <n v="0.75"/>
    <n v="0.35000000000000003"/>
    <n v="8"/>
    <n v="0.22222222222222221"/>
    <n v="1"/>
    <n v="0"/>
    <n v="0"/>
    <n v="1"/>
    <n v="0"/>
    <n v="2"/>
    <n v="2.6688888888888886"/>
  </r>
  <r>
    <d v="2026-07-03T00:00:00"/>
    <n v="2"/>
    <x v="0"/>
    <x v="7"/>
    <n v="2.7"/>
    <n v="0"/>
    <n v="2"/>
    <n v="4"/>
    <n v="0"/>
    <n v="-0.25"/>
    <n v="1.6666666666666673E-2"/>
    <n v="-0.39999999999999991"/>
    <n v="0.46400000000000002"/>
    <n v="0.75"/>
    <n v="0.35000000000000003"/>
    <n v="8"/>
    <n v="0.22222222222222221"/>
    <n v="0"/>
    <n v="0"/>
    <n v="0"/>
    <n v="1"/>
    <n v="0"/>
    <n v="2"/>
    <n v="2.4938888888888888"/>
  </r>
  <r>
    <d v="2026-07-03T00:00:00"/>
    <n v="2"/>
    <x v="2"/>
    <x v="8"/>
    <n v="3.6"/>
    <n v="0"/>
    <n v="2"/>
    <n v="4"/>
    <n v="0"/>
    <n v="-0.25"/>
    <n v="1.6666666666666673E-2"/>
    <n v="0.79999999999999982"/>
    <n v="0.57199999999999995"/>
    <n v="0.75"/>
    <n v="0.35000000000000003"/>
    <n v="8"/>
    <n v="0.22222222222222221"/>
    <n v="0"/>
    <n v="0"/>
    <n v="0"/>
    <n v="1"/>
    <n v="1"/>
    <n v="3"/>
    <n v="3.318888888888889"/>
  </r>
  <r>
    <d v="2026-07-03T00:00:00"/>
    <n v="3"/>
    <x v="0"/>
    <x v="7"/>
    <n v="2.5"/>
    <n v="1"/>
    <n v="1"/>
    <n v="4"/>
    <n v="1"/>
    <n v="0.75"/>
    <n v="0.2166666666666667"/>
    <n v="-0.80000000000000027"/>
    <n v="0.42799999999999999"/>
    <n v="1.25"/>
    <n v="0.64999999999999991"/>
    <n v="9"/>
    <n v="0.8"/>
    <n v="1"/>
    <n v="0"/>
    <n v="0"/>
    <n v="1"/>
    <n v="0"/>
    <n v="2"/>
    <n v="2.8600000000000003"/>
  </r>
  <r>
    <d v="2026-07-03T00:00:00"/>
    <n v="3"/>
    <x v="2"/>
    <x v="8"/>
    <n v="3.3"/>
    <n v="0"/>
    <n v="2"/>
    <n v="4"/>
    <n v="1"/>
    <n v="-0.25"/>
    <n v="0.2166666666666667"/>
    <n v="0.26666666666666661"/>
    <n v="0.52400000000000002"/>
    <n v="0.9375"/>
    <n v="0.46250000000000002"/>
    <n v="9"/>
    <n v="0.25"/>
    <n v="0"/>
    <n v="0"/>
    <n v="0"/>
    <n v="1"/>
    <n v="1"/>
    <n v="3"/>
    <n v="3.3574999999999999"/>
  </r>
  <r>
    <d v="2026-07-03T00:00:00"/>
    <n v="3"/>
    <x v="5"/>
    <x v="6"/>
    <n v="2.7"/>
    <n v="0"/>
    <n v="3"/>
    <n v="4"/>
    <n v="1"/>
    <n v="-0.25"/>
    <n v="0.2166666666666667"/>
    <n v="-0.53333333333333277"/>
    <n v="0.45200000000000007"/>
    <n v="0.625"/>
    <n v="0.27500000000000002"/>
    <n v="8"/>
    <n v="0.22222222222222221"/>
    <n v="1"/>
    <n v="1"/>
    <n v="0"/>
    <n v="0"/>
    <n v="0"/>
    <n v="2"/>
    <n v="2.4713888888888889"/>
  </r>
  <r>
    <d v="2026-07-03T00:00:00"/>
    <n v="3"/>
    <x v="1"/>
    <x v="9"/>
    <n v="3.9"/>
    <n v="0"/>
    <n v="4"/>
    <n v="4"/>
    <n v="0"/>
    <n v="-0.25"/>
    <n v="1.6666666666666673E-2"/>
    <n v="1.0666666666666664"/>
    <n v="0.59599999999999997"/>
    <n v="0.25"/>
    <n v="0.05"/>
    <n v="7"/>
    <n v="0.19444444444444445"/>
    <n v="1"/>
    <n v="0"/>
    <n v="0"/>
    <n v="1"/>
    <n v="0"/>
    <n v="3"/>
    <n v="3.5740277777777778"/>
  </r>
  <r>
    <d v="2026-07-03T00:00:00"/>
    <n v="4"/>
    <x v="1"/>
    <x v="10"/>
    <n v="3.8"/>
    <n v="1"/>
    <n v="1"/>
    <n v="3"/>
    <n v="2"/>
    <n v="0.66666666666666674"/>
    <n v="0.4333333333333334"/>
    <n v="1.0999999999999996"/>
    <n v="0.59899999999999998"/>
    <n v="1.6666666666666667"/>
    <n v="0.89999999999999991"/>
    <n v="8"/>
    <n v="0.83333333333333337"/>
    <n v="1"/>
    <n v="0"/>
    <n v="0"/>
    <n v="1"/>
    <n v="0"/>
    <n v="3"/>
    <n v="3.9408333333333334"/>
  </r>
  <r>
    <d v="2026-07-03T00:00:00"/>
    <n v="4"/>
    <x v="0"/>
    <x v="7"/>
    <n v="2.9"/>
    <n v="0"/>
    <n v="2"/>
    <n v="3"/>
    <n v="0"/>
    <n v="-0.33333333333333331"/>
    <n v="3.3333333333333347E-2"/>
    <n v="-0.25"/>
    <n v="0.47749999999999998"/>
    <n v="0.66666666666666663"/>
    <n v="0.3"/>
    <n v="8"/>
    <n v="0.22222222222222221"/>
    <n v="0"/>
    <n v="1"/>
    <n v="0"/>
    <n v="0"/>
    <n v="0"/>
    <n v="2"/>
    <n v="2.3038888888888889"/>
  </r>
  <r>
    <d v="2026-07-03T00:00:00"/>
    <n v="4"/>
    <x v="2"/>
    <x v="11"/>
    <n v="2.5"/>
    <n v="0"/>
    <n v="2"/>
    <n v="3"/>
    <n v="0"/>
    <n v="-0.33333333333333331"/>
    <n v="3.3333333333333347E-2"/>
    <n v="-0.84999999999999964"/>
    <n v="0.42350000000000004"/>
    <n v="0.66666666666666663"/>
    <n v="0.3"/>
    <n v="8"/>
    <n v="0.22222222222222221"/>
    <n v="0"/>
    <n v="1"/>
    <n v="0"/>
    <n v="0"/>
    <n v="0"/>
    <n v="2"/>
    <n v="2.3038888888888889"/>
  </r>
  <r>
    <d v="2026-07-08T00:00:00"/>
    <n v="5"/>
    <x v="0"/>
    <x v="0"/>
    <n v="2.5"/>
    <n v="1"/>
    <n v="1"/>
    <n v="4"/>
    <n v="1"/>
    <n v="0.75"/>
    <n v="0.2166666666666667"/>
    <n v="-0.86666666666666714"/>
    <n v="0.42199999999999993"/>
    <n v="1.25"/>
    <n v="0.64999999999999991"/>
    <n v="14"/>
    <n v="0.6333333333333333"/>
    <n v="1"/>
    <n v="3"/>
    <n v="2"/>
    <n v="0.66666666666666663"/>
    <n v="0"/>
    <n v="2"/>
    <n v="2.7725"/>
  </r>
  <r>
    <d v="2026-07-08T00:00:00"/>
    <n v="5"/>
    <x v="1"/>
    <x v="1"/>
    <n v="3.7"/>
    <n v="0"/>
    <n v="2"/>
    <n v="4"/>
    <n v="2"/>
    <n v="-0.25"/>
    <n v="0.41666666666666669"/>
    <n v="0.73333333333333339"/>
    <n v="0.56600000000000006"/>
    <n v="1.125"/>
    <n v="0.57499999999999996"/>
    <n v="14"/>
    <n v="0.3888888888888889"/>
    <n v="1"/>
    <n v="5"/>
    <n v="2"/>
    <n v="0.4"/>
    <n v="0"/>
    <n v="3"/>
    <n v="3.6605555555555558"/>
  </r>
  <r>
    <d v="2026-07-08T00:00:00"/>
    <n v="5"/>
    <x v="3"/>
    <x v="12"/>
    <n v="3.7"/>
    <n v="0"/>
    <n v="3"/>
    <n v="4"/>
    <n v="0"/>
    <n v="-0.25"/>
    <n v="1.6666666666666673E-2"/>
    <n v="0.73333333333333339"/>
    <n v="0.56600000000000006"/>
    <n v="0.5"/>
    <n v="0.2"/>
    <n v="14"/>
    <n v="0.3888888888888889"/>
    <n v="1"/>
    <n v="5"/>
    <n v="3"/>
    <n v="0.6"/>
    <n v="0"/>
    <n v="3"/>
    <n v="3.5830555555555552"/>
  </r>
  <r>
    <d v="2026-07-08T00:00:00"/>
    <n v="5"/>
    <x v="2"/>
    <x v="2"/>
    <n v="2.7"/>
    <n v="0"/>
    <n v="4"/>
    <n v="4"/>
    <n v="0"/>
    <n v="-0.25"/>
    <n v="1.6666666666666673E-2"/>
    <n v="-0.60000000000000009"/>
    <n v="0.44600000000000001"/>
    <n v="0.25"/>
    <n v="0.05"/>
    <n v="12"/>
    <n v="0.33333333333333331"/>
    <n v="1"/>
    <n v="1"/>
    <n v="1"/>
    <n v="1"/>
    <n v="0"/>
    <n v="2"/>
    <n v="2.5983333333333336"/>
  </r>
  <r>
    <d v="2026-07-17T00:00:00"/>
    <n v="6"/>
    <x v="1"/>
    <x v="13"/>
    <n v="2"/>
    <n v="1"/>
    <n v="1"/>
    <n v="5"/>
    <n v="2"/>
    <n v="0.8"/>
    <n v="0.40666666666666662"/>
    <n v="-0.77499999999999991"/>
    <n v="0.43025000000000002"/>
    <n v="1.4"/>
    <n v="0.73999999999999988"/>
    <n v="9"/>
    <n v="0.8"/>
    <n v="1"/>
    <n v="0"/>
    <n v="0"/>
    <n v="1"/>
    <n v="0"/>
    <n v="2"/>
    <n v="2.887"/>
  </r>
  <r>
    <d v="2026-07-17T00:00:00"/>
    <n v="6"/>
    <x v="6"/>
    <x v="14"/>
    <n v="3"/>
    <n v="0"/>
    <n v="2"/>
    <n v="5"/>
    <n v="2"/>
    <n v="-0.2"/>
    <n v="0.40666666666666662"/>
    <n v="0.47500000000000009"/>
    <n v="0.54274999999999995"/>
    <n v="1.1199999999999999"/>
    <n v="0.57199999999999995"/>
    <n v="9"/>
    <n v="0.25"/>
    <n v="1"/>
    <n v="0"/>
    <n v="0"/>
    <n v="1"/>
    <n v="0"/>
    <n v="3"/>
    <n v="3.7403500000000003"/>
  </r>
  <r>
    <d v="2026-07-17T00:00:00"/>
    <n v="6"/>
    <x v="2"/>
    <x v="2"/>
    <n v="2.6"/>
    <n v="0"/>
    <n v="3"/>
    <n v="5"/>
    <n v="0"/>
    <n v="-0.2"/>
    <n v="6.6666666666666654E-3"/>
    <n v="-2.4999999999999911E-2"/>
    <n v="0.49775000000000003"/>
    <n v="0.6"/>
    <n v="0.26"/>
    <n v="8"/>
    <n v="0.22222222222222221"/>
    <n v="0"/>
    <n v="0"/>
    <n v="0"/>
    <n v="1"/>
    <n v="0"/>
    <n v="2"/>
    <n v="2.4668888888888887"/>
  </r>
  <r>
    <d v="2026-07-17T00:00:00"/>
    <n v="6"/>
    <x v="3"/>
    <x v="15"/>
    <n v="3.5"/>
    <n v="0"/>
    <n v="4"/>
    <n v="5"/>
    <n v="0"/>
    <n v="-0.2"/>
    <n v="6.6666666666666654E-3"/>
    <n v="1.1000000000000001"/>
    <n v="0.59899999999999998"/>
    <n v="0.4"/>
    <n v="0.14000000000000001"/>
    <n v="8"/>
    <n v="0.22222222222222221"/>
    <n v="0"/>
    <n v="0"/>
    <n v="0"/>
    <n v="1"/>
    <n v="0"/>
    <n v="3"/>
    <n v="3.4308888888888891"/>
  </r>
  <r>
    <d v="2026-07-17T00:00:00"/>
    <n v="6"/>
    <x v="4"/>
    <x v="16"/>
    <n v="2"/>
    <n v="0"/>
    <n v="5"/>
    <n v="5"/>
    <n v="0"/>
    <n v="-0.2"/>
    <n v="6.6666666666666654E-3"/>
    <n v="-0.77499999999999991"/>
    <n v="0.43025000000000002"/>
    <n v="0.2"/>
    <n v="2.0000000000000011E-2"/>
    <n v="8"/>
    <n v="0.22222222222222221"/>
    <n v="0"/>
    <n v="0"/>
    <n v="0"/>
    <n v="1"/>
    <n v="0"/>
    <n v="2"/>
    <n v="2.3948888888888886"/>
  </r>
  <r>
    <d v="2026-07-17T00:00:00"/>
    <n v="7"/>
    <x v="2"/>
    <x v="17"/>
    <n v="3.5"/>
    <n v="1"/>
    <n v="1"/>
    <n v="4"/>
    <n v="2"/>
    <n v="0.75"/>
    <n v="0.41666666666666669"/>
    <n v="0.66666666666666652"/>
    <n v="0.55999999999999994"/>
    <n v="1.5"/>
    <n v="0.79999999999999993"/>
    <n v="8"/>
    <n v="0.83333333333333337"/>
    <n v="1"/>
    <n v="0"/>
    <n v="0"/>
    <n v="1"/>
    <n v="0"/>
    <n v="3"/>
    <n v="3.9108333333333336"/>
  </r>
  <r>
    <d v="2026-07-17T00:00:00"/>
    <n v="7"/>
    <x v="3"/>
    <x v="18"/>
    <n v="2"/>
    <n v="0"/>
    <n v="2"/>
    <n v="4"/>
    <n v="1"/>
    <n v="-0.25"/>
    <n v="0.2166666666666667"/>
    <n v="-1.3333333333333335"/>
    <n v="0.38"/>
    <n v="0.9375"/>
    <n v="0.46250000000000002"/>
    <n v="8"/>
    <n v="0.22222222222222221"/>
    <n v="1"/>
    <n v="0"/>
    <n v="0"/>
    <n v="1"/>
    <n v="0"/>
    <n v="2"/>
    <n v="2.702638888888889"/>
  </r>
  <r>
    <d v="2026-07-17T00:00:00"/>
    <n v="7"/>
    <x v="1"/>
    <x v="1"/>
    <n v="3.7"/>
    <n v="0"/>
    <n v="2"/>
    <n v="4"/>
    <n v="0"/>
    <n v="-0.25"/>
    <n v="1.6666666666666673E-2"/>
    <n v="0.93333333333333313"/>
    <n v="0.58399999999999996"/>
    <n v="0.75"/>
    <n v="0.35000000000000003"/>
    <n v="8"/>
    <n v="0.22222222222222221"/>
    <n v="0"/>
    <n v="0"/>
    <n v="0"/>
    <n v="1"/>
    <n v="0"/>
    <n v="3"/>
    <n v="3.4938888888888888"/>
  </r>
  <r>
    <d v="2026-07-17T00:00:00"/>
    <n v="7"/>
    <x v="0"/>
    <x v="0"/>
    <n v="2.8"/>
    <n v="0"/>
    <n v="4"/>
    <n v="4"/>
    <n v="0"/>
    <n v="-0.25"/>
    <n v="1.6666666666666673E-2"/>
    <n v="-0.26666666666666661"/>
    <n v="0.47599999999999998"/>
    <n v="0.25"/>
    <n v="0.05"/>
    <n v="8"/>
    <n v="0.22222222222222221"/>
    <n v="0"/>
    <n v="0"/>
    <n v="0"/>
    <n v="1"/>
    <n v="0"/>
    <n v="2"/>
    <n v="2.403888888888889"/>
  </r>
  <r>
    <d v="2026-07-22T00:00:00"/>
    <n v="8"/>
    <x v="2"/>
    <x v="8"/>
    <n v="3.4"/>
    <n v="1"/>
    <n v="1"/>
    <n v="3"/>
    <n v="2"/>
    <n v="0.66666666666666674"/>
    <n v="0.4333333333333334"/>
    <n v="1.1999999999999997"/>
    <n v="0.60799999999999998"/>
    <n v="1.6666666666666667"/>
    <n v="0.89999999999999991"/>
    <n v="9"/>
    <n v="0.8"/>
    <n v="1"/>
    <n v="0"/>
    <n v="0"/>
    <n v="1"/>
    <n v="0"/>
    <n v="3"/>
    <n v="3.9350000000000001"/>
  </r>
  <r>
    <d v="2026-07-22T00:00:00"/>
    <n v="8"/>
    <x v="0"/>
    <x v="19"/>
    <n v="2"/>
    <n v="0"/>
    <n v="2"/>
    <n v="3"/>
    <n v="0"/>
    <n v="-0.33333333333333331"/>
    <n v="3.3333333333333347E-2"/>
    <n v="-0.89999999999999991"/>
    <n v="0.41900000000000004"/>
    <n v="0.66666666666666663"/>
    <n v="0.3"/>
    <n v="9"/>
    <n v="0.25"/>
    <n v="0"/>
    <n v="0"/>
    <n v="0"/>
    <n v="1"/>
    <n v="0"/>
    <n v="2"/>
    <n v="2.4837500000000001"/>
  </r>
  <r>
    <d v="2026-07-22T00:00:00"/>
    <n v="8"/>
    <x v="3"/>
    <x v="20"/>
    <n v="2.4"/>
    <n v="0"/>
    <n v="3"/>
    <n v="3"/>
    <n v="0"/>
    <n v="-0.33333333333333331"/>
    <n v="3.3333333333333347E-2"/>
    <n v="-0.30000000000000027"/>
    <n v="0.47299999999999998"/>
    <n v="0.33333333333333331"/>
    <n v="9.9999999999999992E-2"/>
    <n v="8"/>
    <n v="0.22222222222222221"/>
    <n v="1"/>
    <n v="0"/>
    <n v="0"/>
    <n v="1"/>
    <n v="0"/>
    <n v="2"/>
    <n v="2.5938888888888889"/>
  </r>
  <r>
    <d v="2026-07-24T00:00:00"/>
    <n v="9"/>
    <x v="2"/>
    <x v="8"/>
    <n v="3.9"/>
    <n v="1"/>
    <n v="1"/>
    <n v="4"/>
    <n v="3"/>
    <n v="0.75"/>
    <n v="0.6166666666666667"/>
    <n v="1.0999999999999996"/>
    <n v="0.59899999999999998"/>
    <n v="1.75"/>
    <n v="0.95"/>
    <n v="13"/>
    <n v="0.66666666666666674"/>
    <n v="1"/>
    <n v="2"/>
    <n v="1"/>
    <n v="0.5"/>
    <n v="0"/>
    <n v="3"/>
    <n v="3.8391666666666664"/>
  </r>
  <r>
    <d v="2026-07-24T00:00:00"/>
    <n v="9"/>
    <x v="3"/>
    <x v="21"/>
    <n v="3.5"/>
    <n v="0"/>
    <n v="2"/>
    <n v="4"/>
    <n v="0"/>
    <n v="-0.25"/>
    <n v="1.6666666666666673E-2"/>
    <n v="0.56666666666666643"/>
    <n v="0.55099999999999993"/>
    <n v="0.75"/>
    <n v="0.35000000000000003"/>
    <n v="13"/>
    <n v="0.3611111111111111"/>
    <n v="1"/>
    <n v="2"/>
    <n v="1"/>
    <n v="0.5"/>
    <n v="0"/>
    <n v="3"/>
    <n v="3.6056944444444445"/>
  </r>
  <r>
    <d v="2026-07-24T00:00:00"/>
    <n v="9"/>
    <x v="1"/>
    <x v="13"/>
    <n v="2.9"/>
    <n v="0"/>
    <n v="2"/>
    <n v="4"/>
    <n v="0"/>
    <n v="-0.25"/>
    <n v="1.6666666666666673E-2"/>
    <n v="-0.23333333333333339"/>
    <n v="0.47899999999999998"/>
    <n v="0.75"/>
    <n v="0.35000000000000003"/>
    <n v="13"/>
    <n v="0.3611111111111111"/>
    <n v="0"/>
    <n v="3"/>
    <n v="2"/>
    <n v="0.66666666666666663"/>
    <n v="1"/>
    <n v="2"/>
    <n v="2.2848611111111112"/>
  </r>
  <r>
    <d v="2026-07-24T00:00:00"/>
    <n v="9"/>
    <x v="5"/>
    <x v="22"/>
    <n v="2"/>
    <n v="0"/>
    <n v="2"/>
    <n v="4"/>
    <n v="0"/>
    <n v="-0.25"/>
    <n v="1.6666666666666673E-2"/>
    <n v="-1.4333333333333336"/>
    <n v="0.371"/>
    <n v="0.75"/>
    <n v="0.35000000000000003"/>
    <n v="13"/>
    <n v="0.3611111111111111"/>
    <n v="0"/>
    <n v="2"/>
    <n v="1"/>
    <n v="0.5"/>
    <n v="0"/>
    <n v="2"/>
    <n v="2.4306944444444443"/>
  </r>
  <r>
    <d v="2026-07-24T00:00:00"/>
    <n v="10"/>
    <x v="1"/>
    <x v="23"/>
    <n v="3"/>
    <n v="1"/>
    <n v="1"/>
    <n v="3"/>
    <n v="2"/>
    <n v="0.66666666666666674"/>
    <n v="0.4333333333333334"/>
    <n v="0.25"/>
    <n v="0.52249999999999996"/>
    <n v="1.6666666666666667"/>
    <n v="0.89999999999999991"/>
    <n v="9"/>
    <n v="0.8"/>
    <n v="1"/>
    <n v="0"/>
    <n v="0"/>
    <n v="1"/>
    <n v="0"/>
    <n v="3"/>
    <n v="3.9350000000000001"/>
  </r>
  <r>
    <d v="2026-07-24T00:00:00"/>
    <n v="10"/>
    <x v="2"/>
    <x v="2"/>
    <n v="2.5"/>
    <n v="0"/>
    <n v="2"/>
    <n v="3"/>
    <n v="0"/>
    <n v="-0.33333333333333331"/>
    <n v="3.3333333333333347E-2"/>
    <n v="-0.5"/>
    <n v="0.45500000000000002"/>
    <n v="0.66666666666666663"/>
    <n v="0.3"/>
    <n v="9"/>
    <n v="0.25"/>
    <n v="0"/>
    <n v="0"/>
    <n v="0"/>
    <n v="1"/>
    <n v="0"/>
    <n v="2"/>
    <n v="2.4837500000000001"/>
  </r>
  <r>
    <d v="2026-07-24T00:00:00"/>
    <n v="10"/>
    <x v="3"/>
    <x v="24"/>
    <n v="3"/>
    <n v="0"/>
    <n v="2"/>
    <n v="3"/>
    <n v="0"/>
    <n v="-0.33333333333333331"/>
    <n v="3.3333333333333347E-2"/>
    <n v="0.25"/>
    <n v="0.52249999999999996"/>
    <n v="0.66666666666666663"/>
    <n v="0.3"/>
    <n v="9"/>
    <n v="0.25"/>
    <n v="0"/>
    <n v="0"/>
    <n v="0"/>
    <n v="1"/>
    <n v="1"/>
    <n v="3"/>
    <n v="3.3087499999999999"/>
  </r>
  <r>
    <d v="2026-07-25T00:00:00"/>
    <n v="11"/>
    <x v="3"/>
    <x v="18"/>
    <n v="2.7"/>
    <n v="1"/>
    <n v="1"/>
    <n v="3"/>
    <n v="2"/>
    <n v="0.66666666666666674"/>
    <n v="0.4333333333333334"/>
    <n v="-0.19999999999999973"/>
    <n v="0.48200000000000004"/>
    <n v="1.6666666666666667"/>
    <n v="0.89999999999999991"/>
    <n v="8"/>
    <n v="0.83333333333333337"/>
    <n v="1"/>
    <n v="0"/>
    <n v="0"/>
    <n v="1"/>
    <n v="0"/>
    <n v="2"/>
    <n v="2.9408333333333334"/>
  </r>
  <r>
    <d v="2026-07-25T00:00:00"/>
    <n v="11"/>
    <x v="2"/>
    <x v="11"/>
    <n v="2.2999999999999998"/>
    <n v="0"/>
    <n v="2"/>
    <n v="3"/>
    <n v="0"/>
    <n v="-0.33333333333333331"/>
    <n v="3.3333333333333347E-2"/>
    <n v="-0.80000000000000027"/>
    <n v="0.42799999999999999"/>
    <n v="0.66666666666666663"/>
    <n v="0.3"/>
    <n v="8"/>
    <n v="0.22222222222222221"/>
    <n v="1"/>
    <n v="0"/>
    <n v="0"/>
    <n v="1"/>
    <n v="0"/>
    <n v="2"/>
    <n v="2.653888888888889"/>
  </r>
  <r>
    <d v="2026-07-25T00:00:00"/>
    <n v="11"/>
    <x v="1"/>
    <x v="1"/>
    <n v="3.5"/>
    <n v="0"/>
    <n v="2"/>
    <n v="3"/>
    <n v="0"/>
    <n v="-0.33333333333333331"/>
    <n v="3.3333333333333347E-2"/>
    <n v="1"/>
    <n v="0.59"/>
    <n v="0.66666666666666663"/>
    <n v="0.3"/>
    <n v="8"/>
    <n v="0.22222222222222221"/>
    <n v="1"/>
    <n v="0"/>
    <n v="0"/>
    <n v="1"/>
    <n v="0"/>
    <n v="3"/>
    <n v="3.653888888888889"/>
  </r>
  <r>
    <d v="2026-07-25T00:00:00"/>
    <n v="12"/>
    <x v="1"/>
    <x v="13"/>
    <n v="2.2999999999999998"/>
    <n v="1"/>
    <n v="1"/>
    <n v="3"/>
    <n v="2"/>
    <n v="0.66666666666666674"/>
    <n v="0.4333333333333334"/>
    <n v="-0.75"/>
    <n v="0.4325"/>
    <n v="1.6666666666666667"/>
    <n v="0.89999999999999991"/>
    <n v="7"/>
    <n v="0.8666666666666667"/>
    <n v="1"/>
    <n v="0"/>
    <n v="0"/>
    <n v="1"/>
    <n v="0"/>
    <n v="2"/>
    <n v="2.9466666666666668"/>
  </r>
  <r>
    <d v="2026-07-25T00:00:00"/>
    <n v="12"/>
    <x v="2"/>
    <x v="2"/>
    <n v="2.5"/>
    <n v="0"/>
    <n v="2"/>
    <n v="3"/>
    <n v="0"/>
    <n v="-0.33333333333333331"/>
    <n v="3.3333333333333347E-2"/>
    <n v="-0.45000000000000018"/>
    <n v="0.45949999999999996"/>
    <n v="0.66666666666666663"/>
    <n v="0.3"/>
    <n v="7"/>
    <n v="0.19444444444444445"/>
    <n v="0"/>
    <n v="0"/>
    <n v="0"/>
    <n v="1"/>
    <n v="1"/>
    <n v="2"/>
    <n v="2.2990277777777779"/>
  </r>
  <r>
    <d v="2026-07-25T00:00:00"/>
    <n v="12"/>
    <x v="3"/>
    <x v="12"/>
    <n v="3.6"/>
    <n v="0"/>
    <n v="3"/>
    <n v="3"/>
    <n v="0"/>
    <n v="-0.33333333333333331"/>
    <n v="3.3333333333333347E-2"/>
    <n v="1.2000000000000002"/>
    <n v="0.60799999999999998"/>
    <n v="0.33333333333333331"/>
    <n v="9.9999999999999992E-2"/>
    <n v="6"/>
    <n v="0.16666666666666666"/>
    <n v="1"/>
    <n v="0"/>
    <n v="0"/>
    <n v="1"/>
    <n v="0"/>
    <n v="3"/>
    <n v="3.5841666666666665"/>
  </r>
  <r>
    <d v="2026-07-25T00:00:00"/>
    <n v="13"/>
    <x v="3"/>
    <x v="24"/>
    <n v="3.3"/>
    <n v="1"/>
    <n v="1"/>
    <n v="3"/>
    <n v="2"/>
    <n v="0.66666666666666674"/>
    <n v="0.4333333333333334"/>
    <n v="-5.0000000000000266E-2"/>
    <n v="0.4955"/>
    <n v="1.6666666666666667"/>
    <n v="0.89999999999999991"/>
    <n v="11"/>
    <n v="0.73333333333333339"/>
    <n v="1"/>
    <n v="0"/>
    <n v="0"/>
    <n v="1"/>
    <n v="0"/>
    <n v="3"/>
    <n v="3.9233333333333333"/>
  </r>
  <r>
    <d v="2026-07-25T00:00:00"/>
    <n v="13"/>
    <x v="2"/>
    <x v="25"/>
    <n v="3"/>
    <n v="0"/>
    <n v="2"/>
    <n v="3"/>
    <n v="0"/>
    <n v="-0.33333333333333331"/>
    <n v="3.3333333333333347E-2"/>
    <n v="-0.5"/>
    <n v="0.45500000000000002"/>
    <n v="0.66666666666666663"/>
    <n v="0.3"/>
    <n v="11"/>
    <n v="0.30555555555555558"/>
    <n v="0"/>
    <n v="0"/>
    <n v="0"/>
    <n v="1"/>
    <n v="0"/>
    <n v="3"/>
    <n v="3.4934722222222221"/>
  </r>
  <r>
    <d v="2026-07-25T00:00:00"/>
    <n v="13"/>
    <x v="1"/>
    <x v="26"/>
    <n v="3.7"/>
    <n v="0"/>
    <n v="3"/>
    <n v="3"/>
    <n v="0"/>
    <n v="-0.33333333333333331"/>
    <n v="3.3333333333333347E-2"/>
    <n v="0.55000000000000027"/>
    <n v="0.54949999999999999"/>
    <n v="0.33333333333333331"/>
    <n v="9.9999999999999992E-2"/>
    <n v="9"/>
    <n v="0.25"/>
    <n v="1"/>
    <n v="0"/>
    <n v="0"/>
    <n v="1"/>
    <n v="0"/>
    <n v="3"/>
    <n v="3.59874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A05A64-BCF0-4340-B4AC-DDB207BCA579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36" firstHeaderRow="0" firstDataRow="1" firstDataCol="1"/>
  <pivotFields count="24">
    <pivotField numFmtId="14" showAll="0"/>
    <pivotField showAll="0"/>
    <pivotField axis="axisRow" showAll="0">
      <items count="8">
        <item x="0"/>
        <item x="2"/>
        <item x="1"/>
        <item x="3"/>
        <item x="4"/>
        <item x="5"/>
        <item x="6"/>
        <item t="default"/>
      </items>
    </pivotField>
    <pivotField axis="axisRow" showAll="0">
      <items count="28">
        <item x="0"/>
        <item x="4"/>
        <item x="3"/>
        <item x="1"/>
        <item x="2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umFmtId="164" showAll="0"/>
    <pivotField dataField="1" showAll="0"/>
    <pivotField showAll="0"/>
    <pivotField showAll="0"/>
    <pivotField showAll="0"/>
    <pivotField showAll="0"/>
    <pivotField showAll="0"/>
    <pivotField showAll="0"/>
    <pivotField numFmtId="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</pivotFields>
  <rowFields count="2">
    <field x="2"/>
    <field x="3"/>
  </rowFields>
  <rowItems count="35">
    <i>
      <x/>
    </i>
    <i r="1">
      <x/>
    </i>
    <i r="1">
      <x v="7"/>
    </i>
    <i r="1">
      <x v="19"/>
    </i>
    <i>
      <x v="1"/>
    </i>
    <i r="1">
      <x v="4"/>
    </i>
    <i r="1">
      <x v="8"/>
    </i>
    <i r="1">
      <x v="11"/>
    </i>
    <i r="1">
      <x v="17"/>
    </i>
    <i r="1">
      <x v="25"/>
    </i>
    <i>
      <x v="2"/>
    </i>
    <i r="1">
      <x v="3"/>
    </i>
    <i r="1">
      <x v="5"/>
    </i>
    <i r="1">
      <x v="9"/>
    </i>
    <i r="1">
      <x v="10"/>
    </i>
    <i r="1">
      <x v="13"/>
    </i>
    <i r="1">
      <x v="23"/>
    </i>
    <i r="1">
      <x v="26"/>
    </i>
    <i>
      <x v="3"/>
    </i>
    <i r="1">
      <x v="2"/>
    </i>
    <i r="1">
      <x v="12"/>
    </i>
    <i r="1">
      <x v="15"/>
    </i>
    <i r="1">
      <x v="18"/>
    </i>
    <i r="1">
      <x v="20"/>
    </i>
    <i r="1">
      <x v="21"/>
    </i>
    <i r="1">
      <x v="24"/>
    </i>
    <i>
      <x v="4"/>
    </i>
    <i r="1">
      <x v="1"/>
    </i>
    <i r="1">
      <x v="16"/>
    </i>
    <i>
      <x v="5"/>
    </i>
    <i r="1">
      <x v="6"/>
    </i>
    <i r="1">
      <x v="22"/>
    </i>
    <i>
      <x v="6"/>
    </i>
    <i r="1"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Game Result" fld="5" subtotal="count" baseField="2" baseItem="0"/>
    <dataField name="Sum of Game Resul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DEB5-F299-443C-8A85-DC07618FF213}">
  <dimension ref="A1:W126"/>
  <sheetViews>
    <sheetView workbookViewId="0">
      <pane ySplit="2" topLeftCell="A108" activePane="bottomLeft" state="frozen"/>
      <selection pane="bottomLeft" activeCell="D114" sqref="D114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26.77734375" bestFit="1" customWidth="1"/>
    <col min="24" max="24" width="27.77734375" bestFit="1" customWidth="1"/>
  </cols>
  <sheetData>
    <row r="1" spans="1:23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29" t="s">
        <v>33</v>
      </c>
    </row>
    <row r="2" spans="1:23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33</v>
      </c>
    </row>
    <row r="3" spans="1:23" x14ac:dyDescent="0.3">
      <c r="A3" s="4">
        <v>46023</v>
      </c>
      <c r="B3">
        <v>1</v>
      </c>
      <c r="C3" t="s">
        <v>5</v>
      </c>
      <c r="D3" t="s">
        <v>24</v>
      </c>
      <c r="E3" s="3">
        <v>4</v>
      </c>
      <c r="F3" s="2">
        <v>0</v>
      </c>
      <c r="G3">
        <v>2</v>
      </c>
      <c r="H3">
        <v>4</v>
      </c>
      <c r="I3">
        <v>0</v>
      </c>
      <c r="J3">
        <f>F3-(1/H3)</f>
        <v>-0.25</v>
      </c>
      <c r="K3">
        <f>((I3-((H3-1)/H3))-(-5/6))/((5-(5/6))-(-5/6))</f>
        <v>1.6666666666666673E-2</v>
      </c>
      <c r="L3">
        <f>E3-((E4+E5+E6)/3)</f>
        <v>1.6666666666666665</v>
      </c>
      <c r="M3" s="36">
        <f>0.5 + (L3 * 0.09)</f>
        <v>0.65</v>
      </c>
      <c r="N3">
        <f t="shared" ref="N3:N73" si="0">((H3-(G3-1))/H3)*(IF(I3&lt;&gt;0,(I3+H3)/H3,1))</f>
        <v>0.75</v>
      </c>
      <c r="O3" s="5">
        <f>(N3-(1/6))/(10/6)</f>
        <v>0.35000000000000003</v>
      </c>
      <c r="P3" s="2">
        <v>8</v>
      </c>
      <c r="Q3" s="5">
        <f>IF(F3=1,(((1-((P3-3)/12))*0.5)+0.5),((P3/15)*0.5))</f>
        <v>0.26666666666666666</v>
      </c>
      <c r="R3" s="9">
        <v>0</v>
      </c>
      <c r="S3" s="2">
        <v>0</v>
      </c>
      <c r="T3">
        <v>0</v>
      </c>
      <c r="U3" s="5">
        <f>IFERROR(T3/S3, 1)</f>
        <v>1</v>
      </c>
      <c r="V3" s="9">
        <v>0</v>
      </c>
      <c r="W3" s="19">
        <f t="shared" ref="W3:W11" si="1">5*((O3*0.3)+(Q3*0.175)+(R3*0.175)+(U3*0.175)+((1-V3)*0.175))</f>
        <v>2.5083333333333337</v>
      </c>
    </row>
    <row r="4" spans="1:23" x14ac:dyDescent="0.3">
      <c r="A4" s="4">
        <v>46023</v>
      </c>
      <c r="B4">
        <v>1</v>
      </c>
      <c r="C4" t="s">
        <v>3</v>
      </c>
      <c r="D4" t="s">
        <v>25</v>
      </c>
      <c r="E4" s="3">
        <v>3</v>
      </c>
      <c r="F4" s="2">
        <v>0</v>
      </c>
      <c r="G4">
        <v>3</v>
      </c>
      <c r="H4">
        <v>4</v>
      </c>
      <c r="I4">
        <v>0</v>
      </c>
      <c r="J4">
        <f t="shared" ref="J4:J73" si="2">F4-(1/H4)</f>
        <v>-0.25</v>
      </c>
      <c r="K4">
        <f t="shared" ref="K4:K73" si="3">((I4-((H4-1)/H4))-(-5/6))/((5-(5/6))-(-5/6))</f>
        <v>1.6666666666666673E-2</v>
      </c>
      <c r="L4">
        <f>E4-((E3+E5+E6)/3)</f>
        <v>0.33333333333333348</v>
      </c>
      <c r="M4" s="36">
        <f t="shared" ref="M4:M67" si="4">0.5 + (L4 * 0.09)</f>
        <v>0.53</v>
      </c>
      <c r="N4">
        <f t="shared" si="0"/>
        <v>0.5</v>
      </c>
      <c r="O4" s="5">
        <f t="shared" ref="O4:O10" si="5">(N4-(1/6))/(10/6)</f>
        <v>0.2</v>
      </c>
      <c r="P4" s="2">
        <v>7</v>
      </c>
      <c r="Q4" s="5">
        <f>IF(F4=1,(((1-((P4-3)/12))*0.5)+0.5),((P4/15)*0.5))</f>
        <v>0.23333333333333334</v>
      </c>
      <c r="R4" s="9">
        <v>0</v>
      </c>
      <c r="S4" s="2">
        <v>0</v>
      </c>
      <c r="T4">
        <v>0</v>
      </c>
      <c r="U4" s="5">
        <f>IFERROR(T4/S4, 1)</f>
        <v>1</v>
      </c>
      <c r="V4" s="9">
        <v>0</v>
      </c>
      <c r="W4" s="19">
        <f t="shared" si="1"/>
        <v>2.2541666666666664</v>
      </c>
    </row>
    <row r="5" spans="1:23" x14ac:dyDescent="0.3">
      <c r="A5" s="4">
        <v>46023</v>
      </c>
      <c r="B5">
        <v>1</v>
      </c>
      <c r="C5" t="s">
        <v>6</v>
      </c>
      <c r="D5" t="s">
        <v>23</v>
      </c>
      <c r="E5" s="3">
        <v>2</v>
      </c>
      <c r="F5" s="2">
        <v>1</v>
      </c>
      <c r="G5">
        <v>1</v>
      </c>
      <c r="H5">
        <v>4</v>
      </c>
      <c r="I5">
        <v>3</v>
      </c>
      <c r="J5">
        <f t="shared" si="2"/>
        <v>0.75</v>
      </c>
      <c r="K5">
        <f t="shared" si="3"/>
        <v>0.6166666666666667</v>
      </c>
      <c r="L5">
        <f>E5-((E3+E4+E6)/3)</f>
        <v>-1</v>
      </c>
      <c r="M5" s="36">
        <f t="shared" si="4"/>
        <v>0.41000000000000003</v>
      </c>
      <c r="N5">
        <f t="shared" si="0"/>
        <v>1.75</v>
      </c>
      <c r="O5" s="5">
        <f t="shared" si="5"/>
        <v>0.95</v>
      </c>
      <c r="P5" s="2">
        <v>8</v>
      </c>
      <c r="Q5" s="5">
        <f>IF(F5=1,(((1-((P5-3)/12))*0.5)+0.5),((P5/15)*0.5))</f>
        <v>0.79166666666666663</v>
      </c>
      <c r="R5" s="9">
        <v>1</v>
      </c>
      <c r="S5" s="2">
        <v>1</v>
      </c>
      <c r="T5">
        <v>1</v>
      </c>
      <c r="U5" s="5">
        <f>IFERROR(T5/S5, 1)</f>
        <v>1</v>
      </c>
      <c r="V5" s="9">
        <v>0</v>
      </c>
      <c r="W5" s="19">
        <f t="shared" si="1"/>
        <v>4.7427083333333329</v>
      </c>
    </row>
    <row r="6" spans="1:23" x14ac:dyDescent="0.3">
      <c r="A6" s="6">
        <v>46023</v>
      </c>
      <c r="B6" s="7">
        <v>1</v>
      </c>
      <c r="C6" s="7" t="s">
        <v>2</v>
      </c>
      <c r="D6" s="7" t="s">
        <v>26</v>
      </c>
      <c r="E6" s="18">
        <v>2</v>
      </c>
      <c r="F6" s="14">
        <v>0</v>
      </c>
      <c r="G6" s="7">
        <v>4</v>
      </c>
      <c r="H6" s="7">
        <v>4</v>
      </c>
      <c r="I6" s="7">
        <v>0</v>
      </c>
      <c r="J6" s="7">
        <f t="shared" si="2"/>
        <v>-0.25</v>
      </c>
      <c r="K6" s="7">
        <f t="shared" si="3"/>
        <v>1.6666666666666673E-2</v>
      </c>
      <c r="L6" s="7">
        <f>E6-((E3+E4+E5)/3)</f>
        <v>-1</v>
      </c>
      <c r="M6" s="40">
        <f t="shared" si="4"/>
        <v>0.41000000000000003</v>
      </c>
      <c r="N6" s="7">
        <f t="shared" si="0"/>
        <v>0.25</v>
      </c>
      <c r="O6" s="8">
        <f t="shared" si="5"/>
        <v>0.05</v>
      </c>
      <c r="P6" s="14">
        <v>7</v>
      </c>
      <c r="Q6" s="8">
        <f>IF(F6=1,(((1-((P6-3)/12))*0.5)+0.5),((P6/15)*0.5))</f>
        <v>0.23333333333333334</v>
      </c>
      <c r="R6" s="10">
        <v>1</v>
      </c>
      <c r="S6" s="14">
        <v>0</v>
      </c>
      <c r="T6" s="7">
        <v>0</v>
      </c>
      <c r="U6" s="8">
        <f>IFERROR(T6/S6, 1)</f>
        <v>1</v>
      </c>
      <c r="V6" s="10">
        <v>0</v>
      </c>
      <c r="W6" s="20">
        <f t="shared" si="1"/>
        <v>2.9041666666666668</v>
      </c>
    </row>
    <row r="7" spans="1:23" x14ac:dyDescent="0.3">
      <c r="A7" s="4">
        <v>46023</v>
      </c>
      <c r="B7">
        <v>2</v>
      </c>
      <c r="C7" t="s">
        <v>5</v>
      </c>
      <c r="D7" t="s">
        <v>24</v>
      </c>
      <c r="E7" s="17">
        <v>4</v>
      </c>
      <c r="F7" s="2">
        <v>0</v>
      </c>
      <c r="G7">
        <v>2</v>
      </c>
      <c r="H7">
        <v>4</v>
      </c>
      <c r="I7">
        <v>0</v>
      </c>
      <c r="J7">
        <f t="shared" si="2"/>
        <v>-0.25</v>
      </c>
      <c r="K7">
        <f t="shared" si="3"/>
        <v>1.6666666666666673E-2</v>
      </c>
      <c r="L7">
        <f>E7-((E8+E9+E10)/3)</f>
        <v>1.6666666666666665</v>
      </c>
      <c r="M7" s="36">
        <f>0.5 + (L7 * 0.09)</f>
        <v>0.65</v>
      </c>
      <c r="N7">
        <f t="shared" si="0"/>
        <v>0.75</v>
      </c>
      <c r="O7" s="5">
        <f>(N7-(1/6))/(10/6)</f>
        <v>0.35000000000000003</v>
      </c>
      <c r="P7" s="27">
        <v>8</v>
      </c>
      <c r="Q7" s="5">
        <f t="shared" ref="Q7:Q73" si="6">IF(F7=1,(((1-((P7-3)/12))*0.5)+0.5),((P7/15)*0.5))</f>
        <v>0.26666666666666666</v>
      </c>
      <c r="R7" s="9">
        <v>0</v>
      </c>
      <c r="S7" s="2">
        <v>0</v>
      </c>
      <c r="T7">
        <v>0</v>
      </c>
      <c r="U7" s="5">
        <f>IFERROR(T7/S7, 1)</f>
        <v>1</v>
      </c>
      <c r="V7" s="9">
        <v>0</v>
      </c>
      <c r="W7" s="21">
        <f t="shared" si="1"/>
        <v>2.5083333333333337</v>
      </c>
    </row>
    <row r="8" spans="1:23" x14ac:dyDescent="0.3">
      <c r="A8" s="4">
        <v>46023</v>
      </c>
      <c r="B8">
        <v>2</v>
      </c>
      <c r="C8" t="s">
        <v>3</v>
      </c>
      <c r="D8" t="s">
        <v>8</v>
      </c>
      <c r="E8" s="17">
        <v>3</v>
      </c>
      <c r="F8" s="2">
        <v>0</v>
      </c>
      <c r="G8">
        <v>2</v>
      </c>
      <c r="H8">
        <v>4</v>
      </c>
      <c r="I8">
        <v>0</v>
      </c>
      <c r="J8">
        <f t="shared" si="2"/>
        <v>-0.25</v>
      </c>
      <c r="K8">
        <f t="shared" si="3"/>
        <v>1.6666666666666673E-2</v>
      </c>
      <c r="L8">
        <f>E8-((E7+E9+E10)/3)</f>
        <v>0.33333333333333348</v>
      </c>
      <c r="M8" s="36">
        <f t="shared" si="4"/>
        <v>0.53</v>
      </c>
      <c r="N8">
        <f t="shared" si="0"/>
        <v>0.75</v>
      </c>
      <c r="O8" s="5">
        <f t="shared" si="5"/>
        <v>0.35000000000000003</v>
      </c>
      <c r="P8" s="2">
        <v>8</v>
      </c>
      <c r="Q8" s="5">
        <f t="shared" si="6"/>
        <v>0.26666666666666666</v>
      </c>
      <c r="R8" s="9">
        <v>1</v>
      </c>
      <c r="S8" s="2">
        <v>0</v>
      </c>
      <c r="T8">
        <v>0</v>
      </c>
      <c r="U8" s="5">
        <f t="shared" ref="U8:U73" si="7">IFERROR(T8/S8, 1)</f>
        <v>1</v>
      </c>
      <c r="V8" s="9">
        <v>0</v>
      </c>
      <c r="W8" s="19">
        <f t="shared" si="1"/>
        <v>3.3833333333333337</v>
      </c>
    </row>
    <row r="9" spans="1:23" x14ac:dyDescent="0.3">
      <c r="A9" s="4">
        <v>46023</v>
      </c>
      <c r="B9">
        <v>2</v>
      </c>
      <c r="C9" t="s">
        <v>6</v>
      </c>
      <c r="D9" t="s">
        <v>35</v>
      </c>
      <c r="E9" s="17">
        <v>2</v>
      </c>
      <c r="F9" s="2">
        <v>0</v>
      </c>
      <c r="G9">
        <v>2</v>
      </c>
      <c r="H9">
        <v>4</v>
      </c>
      <c r="I9">
        <v>0</v>
      </c>
      <c r="J9">
        <f t="shared" si="2"/>
        <v>-0.25</v>
      </c>
      <c r="K9">
        <f t="shared" si="3"/>
        <v>1.6666666666666673E-2</v>
      </c>
      <c r="L9">
        <f>E9-((E7+E8+E10)/3)</f>
        <v>-1</v>
      </c>
      <c r="M9" s="36">
        <f t="shared" si="4"/>
        <v>0.41000000000000003</v>
      </c>
      <c r="N9">
        <f t="shared" si="0"/>
        <v>0.75</v>
      </c>
      <c r="O9" s="5">
        <f t="shared" si="5"/>
        <v>0.35000000000000003</v>
      </c>
      <c r="P9" s="2">
        <v>8</v>
      </c>
      <c r="Q9" s="5">
        <f t="shared" si="6"/>
        <v>0.26666666666666666</v>
      </c>
      <c r="R9" s="9">
        <v>0</v>
      </c>
      <c r="S9" s="2">
        <v>0</v>
      </c>
      <c r="T9">
        <v>0</v>
      </c>
      <c r="U9" s="5">
        <f t="shared" si="7"/>
        <v>1</v>
      </c>
      <c r="V9" s="9">
        <v>0</v>
      </c>
      <c r="W9" s="19">
        <f t="shared" si="1"/>
        <v>2.5083333333333337</v>
      </c>
    </row>
    <row r="10" spans="1:23" x14ac:dyDescent="0.3">
      <c r="A10" s="6">
        <v>46023</v>
      </c>
      <c r="B10" s="7">
        <v>2</v>
      </c>
      <c r="C10" s="7" t="s">
        <v>2</v>
      </c>
      <c r="D10" s="7" t="s">
        <v>36</v>
      </c>
      <c r="E10" s="16">
        <v>2</v>
      </c>
      <c r="F10" s="2">
        <v>1</v>
      </c>
      <c r="G10">
        <v>1</v>
      </c>
      <c r="H10">
        <v>4</v>
      </c>
      <c r="I10">
        <v>3</v>
      </c>
      <c r="J10" s="7">
        <f t="shared" si="2"/>
        <v>0.75</v>
      </c>
      <c r="K10" s="7">
        <f t="shared" si="3"/>
        <v>0.6166666666666667</v>
      </c>
      <c r="L10" s="7">
        <f>E10-((E7+E8+E9)/3)</f>
        <v>-1</v>
      </c>
      <c r="M10" s="40">
        <f t="shared" si="4"/>
        <v>0.41000000000000003</v>
      </c>
      <c r="N10">
        <f t="shared" si="0"/>
        <v>1.75</v>
      </c>
      <c r="O10" s="5">
        <f t="shared" si="5"/>
        <v>0.95</v>
      </c>
      <c r="P10" s="14">
        <v>8</v>
      </c>
      <c r="Q10" s="8">
        <f t="shared" si="6"/>
        <v>0.79166666666666663</v>
      </c>
      <c r="R10" s="10">
        <v>1</v>
      </c>
      <c r="S10" s="14">
        <v>0</v>
      </c>
      <c r="T10" s="7">
        <v>0</v>
      </c>
      <c r="U10" s="8">
        <f t="shared" si="7"/>
        <v>1</v>
      </c>
      <c r="V10" s="10">
        <v>0</v>
      </c>
      <c r="W10" s="20">
        <f t="shared" si="1"/>
        <v>4.7427083333333329</v>
      </c>
    </row>
    <row r="11" spans="1:23" x14ac:dyDescent="0.3">
      <c r="A11" s="24">
        <v>46029</v>
      </c>
      <c r="B11" s="25">
        <v>3</v>
      </c>
      <c r="C11" s="25" t="s">
        <v>3</v>
      </c>
      <c r="D11" s="25" t="s">
        <v>39</v>
      </c>
      <c r="E11" s="3">
        <v>3</v>
      </c>
      <c r="F11" s="27">
        <v>1</v>
      </c>
      <c r="G11" s="25">
        <v>1</v>
      </c>
      <c r="H11" s="25">
        <v>4</v>
      </c>
      <c r="I11" s="25">
        <v>3</v>
      </c>
      <c r="J11">
        <f t="shared" si="2"/>
        <v>0.75</v>
      </c>
      <c r="K11">
        <f t="shared" si="3"/>
        <v>0.6166666666666667</v>
      </c>
      <c r="L11">
        <f>E11-((E12+E13+E14)/3)</f>
        <v>0.66666666666666652</v>
      </c>
      <c r="M11" s="36">
        <f t="shared" si="4"/>
        <v>0.55999999999999994</v>
      </c>
      <c r="N11" s="25">
        <f t="shared" si="0"/>
        <v>1.75</v>
      </c>
      <c r="O11" s="26">
        <f t="shared" ref="O11:O73" si="8">(N11-(1/6))/(10/6)</f>
        <v>0.95</v>
      </c>
      <c r="P11" s="27">
        <v>12</v>
      </c>
      <c r="Q11" s="5">
        <f t="shared" si="6"/>
        <v>0.625</v>
      </c>
      <c r="R11" s="28">
        <v>1</v>
      </c>
      <c r="S11" s="27">
        <v>1</v>
      </c>
      <c r="T11" s="25">
        <v>1</v>
      </c>
      <c r="U11" s="26">
        <f t="shared" si="7"/>
        <v>1</v>
      </c>
      <c r="V11" s="28">
        <v>0</v>
      </c>
      <c r="W11" s="21">
        <f t="shared" si="1"/>
        <v>4.5968750000000007</v>
      </c>
    </row>
    <row r="12" spans="1:23" x14ac:dyDescent="0.3">
      <c r="A12" s="4">
        <v>46029</v>
      </c>
      <c r="B12">
        <v>3</v>
      </c>
      <c r="C12" t="s">
        <v>4</v>
      </c>
      <c r="D12" t="s">
        <v>40</v>
      </c>
      <c r="E12" s="3">
        <v>2</v>
      </c>
      <c r="F12" s="2">
        <v>0</v>
      </c>
      <c r="G12">
        <v>2</v>
      </c>
      <c r="H12">
        <v>4</v>
      </c>
      <c r="I12">
        <v>0</v>
      </c>
      <c r="J12">
        <f t="shared" si="2"/>
        <v>-0.25</v>
      </c>
      <c r="K12">
        <f t="shared" si="3"/>
        <v>1.6666666666666673E-2</v>
      </c>
      <c r="L12">
        <f>E12-((E11+E13+E14)/3)</f>
        <v>-0.66666666666666652</v>
      </c>
      <c r="M12" s="36">
        <f t="shared" si="4"/>
        <v>0.44</v>
      </c>
      <c r="N12">
        <f t="shared" si="0"/>
        <v>0.75</v>
      </c>
      <c r="O12" s="5">
        <f t="shared" si="8"/>
        <v>0.35000000000000003</v>
      </c>
      <c r="P12" s="2">
        <v>12</v>
      </c>
      <c r="Q12" s="5">
        <f t="shared" si="6"/>
        <v>0.4</v>
      </c>
      <c r="R12" s="9">
        <v>0</v>
      </c>
      <c r="S12" s="2">
        <v>2</v>
      </c>
      <c r="T12">
        <v>0</v>
      </c>
      <c r="U12" s="5">
        <f t="shared" si="7"/>
        <v>0</v>
      </c>
      <c r="V12" s="9">
        <v>1</v>
      </c>
      <c r="W12" s="19">
        <f>5*((O12*0.3)+(Q12*0.175)+(R12*0.175)+(U12*0.175)+((1-V12)*0.175))</f>
        <v>0.875</v>
      </c>
    </row>
    <row r="13" spans="1:23" x14ac:dyDescent="0.3">
      <c r="A13" s="4">
        <v>46029</v>
      </c>
      <c r="B13">
        <v>3</v>
      </c>
      <c r="C13" t="s">
        <v>6</v>
      </c>
      <c r="D13" t="s">
        <v>38</v>
      </c>
      <c r="E13" s="3">
        <v>2</v>
      </c>
      <c r="F13" s="2">
        <v>0</v>
      </c>
      <c r="G13">
        <v>4</v>
      </c>
      <c r="H13">
        <v>4</v>
      </c>
      <c r="I13">
        <v>0</v>
      </c>
      <c r="J13">
        <f t="shared" si="2"/>
        <v>-0.25</v>
      </c>
      <c r="K13">
        <f t="shared" si="3"/>
        <v>1.6666666666666673E-2</v>
      </c>
      <c r="L13">
        <f>E13-((E11+E12+E14)/3)</f>
        <v>-0.66666666666666652</v>
      </c>
      <c r="M13" s="36">
        <f t="shared" si="4"/>
        <v>0.44</v>
      </c>
      <c r="N13">
        <f t="shared" si="0"/>
        <v>0.25</v>
      </c>
      <c r="O13" s="5">
        <f t="shared" si="8"/>
        <v>0.05</v>
      </c>
      <c r="P13" s="2">
        <v>7</v>
      </c>
      <c r="Q13" s="5">
        <f t="shared" si="6"/>
        <v>0.23333333333333334</v>
      </c>
      <c r="R13" s="9">
        <v>1</v>
      </c>
      <c r="S13" s="2">
        <v>1</v>
      </c>
      <c r="T13">
        <v>0</v>
      </c>
      <c r="U13" s="5">
        <f t="shared" si="7"/>
        <v>0</v>
      </c>
      <c r="V13" s="9">
        <v>0</v>
      </c>
      <c r="W13" s="19">
        <f t="shared" ref="W13:W73" si="9">5*((O13*0.3)+(Q13*0.175)+(R13*0.175)+(U13*0.175)+((1-V13)*0.175))</f>
        <v>2.0291666666666668</v>
      </c>
    </row>
    <row r="14" spans="1:23" x14ac:dyDescent="0.3">
      <c r="A14" s="6">
        <v>46029</v>
      </c>
      <c r="B14" s="7">
        <v>3</v>
      </c>
      <c r="C14" s="7" t="s">
        <v>2</v>
      </c>
      <c r="D14" s="7" t="s">
        <v>37</v>
      </c>
      <c r="E14" s="18">
        <v>3</v>
      </c>
      <c r="F14" s="14">
        <v>0</v>
      </c>
      <c r="G14" s="7">
        <v>3</v>
      </c>
      <c r="H14" s="7">
        <v>4</v>
      </c>
      <c r="I14" s="7">
        <v>0</v>
      </c>
      <c r="J14" s="7">
        <f t="shared" si="2"/>
        <v>-0.25</v>
      </c>
      <c r="K14" s="7">
        <f t="shared" si="3"/>
        <v>1.6666666666666673E-2</v>
      </c>
      <c r="L14" s="7">
        <f>E14-((E11+E12+E13)/3)</f>
        <v>0.66666666666666652</v>
      </c>
      <c r="M14" s="40">
        <f t="shared" si="4"/>
        <v>0.55999999999999994</v>
      </c>
      <c r="N14" s="7">
        <f t="shared" si="0"/>
        <v>0.5</v>
      </c>
      <c r="O14" s="8">
        <f t="shared" si="8"/>
        <v>0.2</v>
      </c>
      <c r="P14" s="14">
        <v>8</v>
      </c>
      <c r="Q14" s="8">
        <f t="shared" si="6"/>
        <v>0.26666666666666666</v>
      </c>
      <c r="R14" s="10">
        <v>0</v>
      </c>
      <c r="S14" s="14">
        <v>0</v>
      </c>
      <c r="T14" s="7">
        <v>0</v>
      </c>
      <c r="U14" s="8">
        <f t="shared" si="7"/>
        <v>1</v>
      </c>
      <c r="V14" s="10">
        <v>0</v>
      </c>
      <c r="W14" s="20">
        <f t="shared" si="9"/>
        <v>2.2833333333333332</v>
      </c>
    </row>
    <row r="15" spans="1:23" x14ac:dyDescent="0.3">
      <c r="A15" s="30">
        <v>46032</v>
      </c>
      <c r="B15" s="25">
        <v>4</v>
      </c>
      <c r="C15" s="25" t="s">
        <v>2</v>
      </c>
      <c r="D15" s="25" t="s">
        <v>42</v>
      </c>
      <c r="E15" s="31">
        <v>4</v>
      </c>
      <c r="F15" s="27">
        <v>1</v>
      </c>
      <c r="G15" s="25">
        <v>1</v>
      </c>
      <c r="H15" s="25">
        <v>2</v>
      </c>
      <c r="I15" s="25">
        <v>1</v>
      </c>
      <c r="J15">
        <f t="shared" si="2"/>
        <v>0.5</v>
      </c>
      <c r="K15">
        <f t="shared" si="3"/>
        <v>0.26666666666666672</v>
      </c>
      <c r="L15" s="3">
        <f>E15-E16</f>
        <v>1</v>
      </c>
      <c r="M15" s="36">
        <f t="shared" si="4"/>
        <v>0.59</v>
      </c>
      <c r="N15" s="25">
        <f t="shared" si="0"/>
        <v>1.5</v>
      </c>
      <c r="O15" s="26">
        <f t="shared" si="8"/>
        <v>0.79999999999999993</v>
      </c>
      <c r="P15" s="27">
        <v>10</v>
      </c>
      <c r="Q15" s="5">
        <f t="shared" si="6"/>
        <v>0.70833333333333326</v>
      </c>
      <c r="R15" s="28">
        <v>1</v>
      </c>
      <c r="S15" s="27">
        <v>1</v>
      </c>
      <c r="T15" s="25">
        <v>1</v>
      </c>
      <c r="U15" s="26">
        <f t="shared" si="7"/>
        <v>1</v>
      </c>
      <c r="V15" s="28">
        <v>0</v>
      </c>
      <c r="W15" s="21">
        <f t="shared" si="9"/>
        <v>4.4447916666666663</v>
      </c>
    </row>
    <row r="16" spans="1:23" x14ac:dyDescent="0.3">
      <c r="A16" s="32">
        <v>46032</v>
      </c>
      <c r="B16" s="7">
        <v>4</v>
      </c>
      <c r="C16" s="7" t="s">
        <v>3</v>
      </c>
      <c r="D16" s="7" t="s">
        <v>25</v>
      </c>
      <c r="E16" s="18">
        <v>3</v>
      </c>
      <c r="F16" s="14">
        <v>0</v>
      </c>
      <c r="G16" s="7">
        <v>2</v>
      </c>
      <c r="H16" s="7">
        <v>2</v>
      </c>
      <c r="I16" s="7">
        <v>0</v>
      </c>
      <c r="J16" s="7">
        <f t="shared" si="2"/>
        <v>-0.5</v>
      </c>
      <c r="K16" s="7">
        <f t="shared" si="3"/>
        <v>6.666666666666668E-2</v>
      </c>
      <c r="L16" s="18">
        <f>E16-E15</f>
        <v>-1</v>
      </c>
      <c r="M16" s="40">
        <f t="shared" si="4"/>
        <v>0.41000000000000003</v>
      </c>
      <c r="N16" s="7">
        <f t="shared" si="0"/>
        <v>0.5</v>
      </c>
      <c r="O16" s="8">
        <f t="shared" si="8"/>
        <v>0.2</v>
      </c>
      <c r="P16" s="14">
        <v>10</v>
      </c>
      <c r="Q16" s="8">
        <f t="shared" si="6"/>
        <v>0.33333333333333331</v>
      </c>
      <c r="R16" s="10">
        <v>1</v>
      </c>
      <c r="S16" s="14">
        <v>0</v>
      </c>
      <c r="T16" s="7">
        <v>0</v>
      </c>
      <c r="U16" s="8">
        <f t="shared" si="7"/>
        <v>1</v>
      </c>
      <c r="V16" s="10">
        <v>0</v>
      </c>
      <c r="W16" s="20">
        <f t="shared" si="9"/>
        <v>3.2166666666666668</v>
      </c>
    </row>
    <row r="17" spans="1:23" x14ac:dyDescent="0.3">
      <c r="A17" s="1">
        <v>46032</v>
      </c>
      <c r="B17">
        <v>5</v>
      </c>
      <c r="C17" t="s">
        <v>2</v>
      </c>
      <c r="D17" t="s">
        <v>43</v>
      </c>
      <c r="E17" s="3">
        <v>2</v>
      </c>
      <c r="F17" s="2">
        <v>0</v>
      </c>
      <c r="G17">
        <v>3</v>
      </c>
      <c r="H17">
        <v>4</v>
      </c>
      <c r="I17">
        <v>0</v>
      </c>
      <c r="J17">
        <f t="shared" si="2"/>
        <v>-0.25</v>
      </c>
      <c r="K17">
        <f t="shared" si="3"/>
        <v>1.6666666666666673E-2</v>
      </c>
      <c r="L17">
        <f>E17-((E18+E19+E20)/3)</f>
        <v>-0.66666666666666652</v>
      </c>
      <c r="M17" s="36">
        <f t="shared" si="4"/>
        <v>0.44</v>
      </c>
      <c r="N17">
        <f t="shared" si="0"/>
        <v>0.5</v>
      </c>
      <c r="O17" s="5">
        <f t="shared" si="8"/>
        <v>0.2</v>
      </c>
      <c r="P17" s="2">
        <v>12</v>
      </c>
      <c r="Q17" s="5">
        <f t="shared" si="6"/>
        <v>0.4</v>
      </c>
      <c r="R17" s="9">
        <v>1</v>
      </c>
      <c r="S17" s="2">
        <v>1</v>
      </c>
      <c r="T17">
        <v>1</v>
      </c>
      <c r="U17" s="5">
        <f t="shared" si="7"/>
        <v>1</v>
      </c>
      <c r="V17" s="9">
        <v>0</v>
      </c>
      <c r="W17" s="19">
        <f t="shared" si="9"/>
        <v>3.2750000000000004</v>
      </c>
    </row>
    <row r="18" spans="1:23" x14ac:dyDescent="0.3">
      <c r="A18" s="1">
        <v>46032</v>
      </c>
      <c r="B18">
        <v>5</v>
      </c>
      <c r="C18" t="s">
        <v>3</v>
      </c>
      <c r="D18" t="s">
        <v>44</v>
      </c>
      <c r="E18" s="3">
        <v>4</v>
      </c>
      <c r="F18" s="2">
        <v>0</v>
      </c>
      <c r="G18">
        <v>2</v>
      </c>
      <c r="H18">
        <v>4</v>
      </c>
      <c r="I18">
        <v>2</v>
      </c>
      <c r="J18">
        <f t="shared" si="2"/>
        <v>-0.25</v>
      </c>
      <c r="K18">
        <f t="shared" si="3"/>
        <v>0.41666666666666669</v>
      </c>
      <c r="L18">
        <f>E18-((E17+E19+E20)/3)</f>
        <v>2</v>
      </c>
      <c r="M18" s="36">
        <f t="shared" si="4"/>
        <v>0.67999999999999994</v>
      </c>
      <c r="N18">
        <f t="shared" si="0"/>
        <v>1.125</v>
      </c>
      <c r="O18" s="5">
        <f t="shared" si="8"/>
        <v>0.57499999999999996</v>
      </c>
      <c r="P18" s="2">
        <v>12</v>
      </c>
      <c r="Q18" s="5">
        <f t="shared" si="6"/>
        <v>0.4</v>
      </c>
      <c r="R18" s="9">
        <v>1</v>
      </c>
      <c r="S18" s="2">
        <v>1</v>
      </c>
      <c r="T18">
        <v>1</v>
      </c>
      <c r="U18" s="5">
        <f t="shared" si="7"/>
        <v>1</v>
      </c>
      <c r="V18" s="9">
        <v>0</v>
      </c>
      <c r="W18" s="19">
        <f t="shared" si="9"/>
        <v>3.8375000000000004</v>
      </c>
    </row>
    <row r="19" spans="1:23" x14ac:dyDescent="0.3">
      <c r="A19" s="1">
        <v>46032</v>
      </c>
      <c r="B19">
        <v>5</v>
      </c>
      <c r="C19" t="s">
        <v>5</v>
      </c>
      <c r="D19" t="s">
        <v>11</v>
      </c>
      <c r="E19" s="3">
        <v>2</v>
      </c>
      <c r="F19" s="2">
        <v>1</v>
      </c>
      <c r="G19">
        <v>1</v>
      </c>
      <c r="H19">
        <v>4</v>
      </c>
      <c r="I19">
        <v>1</v>
      </c>
      <c r="J19">
        <f t="shared" si="2"/>
        <v>0.75</v>
      </c>
      <c r="K19">
        <f t="shared" si="3"/>
        <v>0.2166666666666667</v>
      </c>
      <c r="L19">
        <f>E19-((E17+E18+E20)/3)</f>
        <v>-0.66666666666666652</v>
      </c>
      <c r="M19" s="36">
        <f t="shared" si="4"/>
        <v>0.44</v>
      </c>
      <c r="N19">
        <f t="shared" si="0"/>
        <v>1.25</v>
      </c>
      <c r="O19" s="5">
        <f t="shared" si="8"/>
        <v>0.64999999999999991</v>
      </c>
      <c r="P19" s="2">
        <v>12</v>
      </c>
      <c r="Q19" s="5">
        <f t="shared" si="6"/>
        <v>0.625</v>
      </c>
      <c r="R19" s="9">
        <v>1</v>
      </c>
      <c r="S19" s="2">
        <v>2</v>
      </c>
      <c r="T19">
        <v>2</v>
      </c>
      <c r="U19" s="5">
        <f t="shared" si="7"/>
        <v>1</v>
      </c>
      <c r="V19" s="9">
        <v>0</v>
      </c>
      <c r="W19" s="19">
        <f t="shared" si="9"/>
        <v>4.1468749999999996</v>
      </c>
    </row>
    <row r="20" spans="1:23" x14ac:dyDescent="0.3">
      <c r="A20" s="32">
        <v>46032</v>
      </c>
      <c r="B20" s="7">
        <v>5</v>
      </c>
      <c r="C20" s="7" t="s">
        <v>6</v>
      </c>
      <c r="D20" s="7" t="s">
        <v>45</v>
      </c>
      <c r="E20" s="18">
        <v>2</v>
      </c>
      <c r="F20" s="14">
        <v>0</v>
      </c>
      <c r="G20" s="7">
        <v>4</v>
      </c>
      <c r="H20" s="7">
        <v>4</v>
      </c>
      <c r="I20" s="7">
        <v>0</v>
      </c>
      <c r="J20" s="7">
        <f t="shared" si="2"/>
        <v>-0.25</v>
      </c>
      <c r="K20" s="7">
        <f t="shared" si="3"/>
        <v>1.6666666666666673E-2</v>
      </c>
      <c r="L20" s="7">
        <f>E20-((E17+E18+E19)/3)</f>
        <v>-0.66666666666666652</v>
      </c>
      <c r="M20" s="40">
        <f t="shared" si="4"/>
        <v>0.44</v>
      </c>
      <c r="N20" s="7">
        <f t="shared" si="0"/>
        <v>0.25</v>
      </c>
      <c r="O20" s="8">
        <f t="shared" si="8"/>
        <v>0.05</v>
      </c>
      <c r="P20" s="14">
        <v>11</v>
      </c>
      <c r="Q20" s="8">
        <f t="shared" si="6"/>
        <v>0.36666666666666664</v>
      </c>
      <c r="R20" s="10">
        <v>1</v>
      </c>
      <c r="S20" s="14">
        <v>1</v>
      </c>
      <c r="T20" s="7">
        <v>1</v>
      </c>
      <c r="U20" s="8">
        <f t="shared" si="7"/>
        <v>1</v>
      </c>
      <c r="V20" s="10">
        <v>0</v>
      </c>
      <c r="W20" s="20">
        <f t="shared" si="9"/>
        <v>3.020833333333333</v>
      </c>
    </row>
    <row r="21" spans="1:23" x14ac:dyDescent="0.3">
      <c r="A21" s="1">
        <v>46032</v>
      </c>
      <c r="B21">
        <v>6</v>
      </c>
      <c r="C21" t="s">
        <v>5</v>
      </c>
      <c r="D21" t="s">
        <v>24</v>
      </c>
      <c r="E21" s="3">
        <v>4</v>
      </c>
      <c r="F21" s="2">
        <v>0</v>
      </c>
      <c r="G21">
        <v>4</v>
      </c>
      <c r="H21">
        <v>4</v>
      </c>
      <c r="I21">
        <v>0</v>
      </c>
      <c r="J21">
        <f t="shared" si="2"/>
        <v>-0.25</v>
      </c>
      <c r="K21">
        <f t="shared" si="3"/>
        <v>1.6666666666666673E-2</v>
      </c>
      <c r="L21">
        <f>E21-((E22+E23+E24)/3)</f>
        <v>1.3333333333333335</v>
      </c>
      <c r="M21" s="36">
        <f t="shared" si="4"/>
        <v>0.62</v>
      </c>
      <c r="N21">
        <f t="shared" si="0"/>
        <v>0.25</v>
      </c>
      <c r="O21" s="5">
        <f t="shared" si="8"/>
        <v>0.05</v>
      </c>
      <c r="P21" s="2">
        <v>8</v>
      </c>
      <c r="Q21" s="5">
        <f t="shared" si="6"/>
        <v>0.26666666666666666</v>
      </c>
      <c r="R21" s="9">
        <v>0</v>
      </c>
      <c r="S21" s="2">
        <v>0</v>
      </c>
      <c r="T21">
        <v>0</v>
      </c>
      <c r="U21" s="5">
        <f t="shared" si="7"/>
        <v>1</v>
      </c>
      <c r="V21" s="9">
        <v>0</v>
      </c>
      <c r="W21" s="19">
        <f t="shared" si="9"/>
        <v>2.0583333333333331</v>
      </c>
    </row>
    <row r="22" spans="1:23" x14ac:dyDescent="0.3">
      <c r="A22" s="1">
        <v>46032</v>
      </c>
      <c r="B22">
        <v>6</v>
      </c>
      <c r="C22" t="s">
        <v>2</v>
      </c>
      <c r="D22" t="s">
        <v>26</v>
      </c>
      <c r="E22" s="3">
        <v>2</v>
      </c>
      <c r="F22" s="2">
        <v>0</v>
      </c>
      <c r="G22">
        <v>3</v>
      </c>
      <c r="H22">
        <v>4</v>
      </c>
      <c r="I22">
        <v>1</v>
      </c>
      <c r="J22">
        <f t="shared" si="2"/>
        <v>-0.25</v>
      </c>
      <c r="K22">
        <f t="shared" si="3"/>
        <v>0.2166666666666667</v>
      </c>
      <c r="L22">
        <f>E22-((E21+E23+E24)/3)</f>
        <v>-1.3333333333333335</v>
      </c>
      <c r="M22" s="36">
        <f t="shared" si="4"/>
        <v>0.38</v>
      </c>
      <c r="N22">
        <f t="shared" si="0"/>
        <v>0.625</v>
      </c>
      <c r="O22" s="5">
        <f t="shared" si="8"/>
        <v>0.27500000000000002</v>
      </c>
      <c r="P22" s="2">
        <v>9</v>
      </c>
      <c r="Q22" s="5">
        <f t="shared" si="6"/>
        <v>0.3</v>
      </c>
      <c r="R22" s="9">
        <v>1</v>
      </c>
      <c r="S22" s="2">
        <v>1</v>
      </c>
      <c r="T22">
        <v>0</v>
      </c>
      <c r="U22" s="5">
        <f t="shared" si="7"/>
        <v>0</v>
      </c>
      <c r="V22" s="9">
        <v>0</v>
      </c>
      <c r="W22" s="19">
        <f t="shared" si="9"/>
        <v>2.4249999999999998</v>
      </c>
    </row>
    <row r="23" spans="1:23" x14ac:dyDescent="0.3">
      <c r="A23" s="1">
        <v>46032</v>
      </c>
      <c r="B23">
        <v>6</v>
      </c>
      <c r="C23" t="s">
        <v>3</v>
      </c>
      <c r="D23" t="s">
        <v>9</v>
      </c>
      <c r="E23" s="3">
        <v>3</v>
      </c>
      <c r="F23" s="2">
        <v>0</v>
      </c>
      <c r="G23">
        <v>2</v>
      </c>
      <c r="H23">
        <v>4</v>
      </c>
      <c r="I23">
        <v>0</v>
      </c>
      <c r="J23">
        <f t="shared" si="2"/>
        <v>-0.25</v>
      </c>
      <c r="K23">
        <f t="shared" si="3"/>
        <v>1.6666666666666673E-2</v>
      </c>
      <c r="L23">
        <f>E23-((E21+E22+E24)/3)</f>
        <v>0</v>
      </c>
      <c r="M23" s="36">
        <f t="shared" si="4"/>
        <v>0.5</v>
      </c>
      <c r="N23">
        <f t="shared" si="0"/>
        <v>0.75</v>
      </c>
      <c r="O23" s="5">
        <f t="shared" si="8"/>
        <v>0.35000000000000003</v>
      </c>
      <c r="P23" s="2">
        <v>9</v>
      </c>
      <c r="Q23" s="5">
        <f t="shared" si="6"/>
        <v>0.3</v>
      </c>
      <c r="R23" s="9">
        <v>0</v>
      </c>
      <c r="S23" s="2">
        <v>1</v>
      </c>
      <c r="T23">
        <v>0</v>
      </c>
      <c r="U23" s="5">
        <f t="shared" si="7"/>
        <v>0</v>
      </c>
      <c r="V23" s="9">
        <v>0</v>
      </c>
      <c r="W23" s="19">
        <f t="shared" si="9"/>
        <v>1.6625000000000001</v>
      </c>
    </row>
    <row r="24" spans="1:23" x14ac:dyDescent="0.3">
      <c r="A24" s="32">
        <v>46032</v>
      </c>
      <c r="B24" s="7">
        <v>6</v>
      </c>
      <c r="C24" s="7" t="s">
        <v>6</v>
      </c>
      <c r="D24" s="7" t="s">
        <v>46</v>
      </c>
      <c r="E24" s="18">
        <v>3</v>
      </c>
      <c r="F24" s="14">
        <v>1</v>
      </c>
      <c r="G24" s="7">
        <v>1</v>
      </c>
      <c r="H24" s="7">
        <v>4</v>
      </c>
      <c r="I24" s="7">
        <v>2</v>
      </c>
      <c r="J24" s="7">
        <f t="shared" si="2"/>
        <v>0.75</v>
      </c>
      <c r="K24" s="7">
        <f t="shared" si="3"/>
        <v>0.41666666666666669</v>
      </c>
      <c r="L24" s="7">
        <f>E24-((E21+E22+E23)/3)</f>
        <v>0</v>
      </c>
      <c r="M24" s="40">
        <f t="shared" si="4"/>
        <v>0.5</v>
      </c>
      <c r="N24" s="7">
        <f t="shared" si="0"/>
        <v>1.5</v>
      </c>
      <c r="O24" s="8">
        <f t="shared" si="8"/>
        <v>0.79999999999999993</v>
      </c>
      <c r="P24" s="14">
        <v>9</v>
      </c>
      <c r="Q24" s="8">
        <f t="shared" si="6"/>
        <v>0.75</v>
      </c>
      <c r="R24" s="10">
        <v>1</v>
      </c>
      <c r="S24" s="14">
        <v>0</v>
      </c>
      <c r="T24" s="7">
        <v>0</v>
      </c>
      <c r="U24" s="8">
        <f t="shared" si="7"/>
        <v>1</v>
      </c>
      <c r="V24" s="10">
        <v>0</v>
      </c>
      <c r="W24" s="20">
        <f t="shared" si="9"/>
        <v>4.4812500000000002</v>
      </c>
    </row>
    <row r="25" spans="1:23" x14ac:dyDescent="0.3">
      <c r="A25" s="1">
        <v>46036</v>
      </c>
      <c r="B25">
        <v>7</v>
      </c>
      <c r="C25" t="s">
        <v>4</v>
      </c>
      <c r="D25" t="s">
        <v>47</v>
      </c>
      <c r="E25" s="3">
        <v>3</v>
      </c>
      <c r="F25" s="2">
        <v>0</v>
      </c>
      <c r="G25">
        <v>2</v>
      </c>
      <c r="H25">
        <v>4</v>
      </c>
      <c r="I25">
        <v>1</v>
      </c>
      <c r="J25">
        <f t="shared" si="2"/>
        <v>-0.25</v>
      </c>
      <c r="K25">
        <f t="shared" si="3"/>
        <v>0.2166666666666667</v>
      </c>
      <c r="L25">
        <f>E25-((E26+E27+E28)/3)</f>
        <v>0.66666666666666652</v>
      </c>
      <c r="M25" s="36">
        <f t="shared" si="4"/>
        <v>0.55999999999999994</v>
      </c>
      <c r="N25">
        <f t="shared" si="0"/>
        <v>0.9375</v>
      </c>
      <c r="O25" s="5">
        <f t="shared" si="8"/>
        <v>0.46250000000000002</v>
      </c>
      <c r="P25" s="2">
        <v>10</v>
      </c>
      <c r="Q25" s="5">
        <f t="shared" si="6"/>
        <v>0.33333333333333331</v>
      </c>
      <c r="R25" s="9">
        <v>0</v>
      </c>
      <c r="S25" s="2">
        <v>1</v>
      </c>
      <c r="T25">
        <v>0</v>
      </c>
      <c r="U25" s="5">
        <f t="shared" si="7"/>
        <v>0</v>
      </c>
      <c r="V25" s="9">
        <v>0</v>
      </c>
      <c r="W25" s="19">
        <f t="shared" si="9"/>
        <v>1.8604166666666666</v>
      </c>
    </row>
    <row r="26" spans="1:23" x14ac:dyDescent="0.3">
      <c r="A26" s="1">
        <v>46036</v>
      </c>
      <c r="B26">
        <v>7</v>
      </c>
      <c r="C26" t="s">
        <v>3</v>
      </c>
      <c r="D26" t="s">
        <v>9</v>
      </c>
      <c r="E26" s="3">
        <v>3</v>
      </c>
      <c r="F26" s="2">
        <v>0</v>
      </c>
      <c r="G26">
        <v>2</v>
      </c>
      <c r="H26">
        <v>4</v>
      </c>
      <c r="I26">
        <v>0</v>
      </c>
      <c r="J26">
        <f t="shared" si="2"/>
        <v>-0.25</v>
      </c>
      <c r="K26">
        <f t="shared" si="3"/>
        <v>1.6666666666666673E-2</v>
      </c>
      <c r="L26">
        <f>E26-((E25+E27+E28)/3)</f>
        <v>0.66666666666666652</v>
      </c>
      <c r="M26" s="36">
        <f t="shared" si="4"/>
        <v>0.55999999999999994</v>
      </c>
      <c r="N26">
        <f t="shared" si="0"/>
        <v>0.75</v>
      </c>
      <c r="O26" s="5">
        <f t="shared" si="8"/>
        <v>0.35000000000000003</v>
      </c>
      <c r="P26" s="2">
        <v>10</v>
      </c>
      <c r="Q26" s="5">
        <f t="shared" si="6"/>
        <v>0.33333333333333331</v>
      </c>
      <c r="R26" s="9">
        <v>0</v>
      </c>
      <c r="S26" s="2">
        <v>1</v>
      </c>
      <c r="T26">
        <v>0</v>
      </c>
      <c r="U26" s="5">
        <f t="shared" si="7"/>
        <v>0</v>
      </c>
      <c r="V26" s="9">
        <v>0</v>
      </c>
      <c r="W26" s="19">
        <f t="shared" si="9"/>
        <v>1.6916666666666667</v>
      </c>
    </row>
    <row r="27" spans="1:23" x14ac:dyDescent="0.3">
      <c r="A27" s="1">
        <v>46036</v>
      </c>
      <c r="B27">
        <v>7</v>
      </c>
      <c r="C27" t="s">
        <v>2</v>
      </c>
      <c r="D27" t="s">
        <v>36</v>
      </c>
      <c r="E27" s="3">
        <v>2</v>
      </c>
      <c r="F27" s="2">
        <v>1</v>
      </c>
      <c r="G27">
        <v>1</v>
      </c>
      <c r="H27">
        <v>4</v>
      </c>
      <c r="I27">
        <v>2</v>
      </c>
      <c r="J27">
        <f t="shared" si="2"/>
        <v>0.75</v>
      </c>
      <c r="K27">
        <f t="shared" si="3"/>
        <v>0.41666666666666669</v>
      </c>
      <c r="L27">
        <f>E27-((E25+E26+E28)/3)</f>
        <v>-0.66666666666666652</v>
      </c>
      <c r="M27" s="36">
        <f t="shared" si="4"/>
        <v>0.44</v>
      </c>
      <c r="N27">
        <f t="shared" si="0"/>
        <v>1.5</v>
      </c>
      <c r="O27" s="5">
        <f t="shared" si="8"/>
        <v>0.79999999999999993</v>
      </c>
      <c r="P27" s="2">
        <v>10</v>
      </c>
      <c r="Q27" s="5">
        <f t="shared" si="6"/>
        <v>0.70833333333333326</v>
      </c>
      <c r="R27">
        <v>1</v>
      </c>
      <c r="S27" s="2">
        <v>2</v>
      </c>
      <c r="T27">
        <v>1</v>
      </c>
      <c r="U27" s="5">
        <f t="shared" si="7"/>
        <v>0.5</v>
      </c>
      <c r="V27" s="9">
        <v>0</v>
      </c>
      <c r="W27" s="19">
        <f t="shared" si="9"/>
        <v>4.0072916666666654</v>
      </c>
    </row>
    <row r="28" spans="1:23" x14ac:dyDescent="0.3">
      <c r="A28" s="32">
        <v>46036</v>
      </c>
      <c r="B28" s="7">
        <v>7</v>
      </c>
      <c r="C28" s="7" t="s">
        <v>6</v>
      </c>
      <c r="D28" s="7" t="s">
        <v>45</v>
      </c>
      <c r="E28" s="18">
        <v>2</v>
      </c>
      <c r="F28" s="14">
        <v>0</v>
      </c>
      <c r="G28" s="7">
        <v>4</v>
      </c>
      <c r="H28" s="7">
        <v>4</v>
      </c>
      <c r="I28" s="7">
        <v>0</v>
      </c>
      <c r="J28" s="7">
        <f t="shared" si="2"/>
        <v>-0.25</v>
      </c>
      <c r="K28" s="7">
        <f t="shared" si="3"/>
        <v>1.6666666666666673E-2</v>
      </c>
      <c r="L28" s="7">
        <f>E28-((E25+E26+E27)/3)</f>
        <v>-0.66666666666666652</v>
      </c>
      <c r="M28" s="40">
        <f t="shared" si="4"/>
        <v>0.44</v>
      </c>
      <c r="N28" s="7">
        <f t="shared" si="0"/>
        <v>0.25</v>
      </c>
      <c r="O28" s="8">
        <f t="shared" si="8"/>
        <v>0.05</v>
      </c>
      <c r="P28" s="14">
        <v>9</v>
      </c>
      <c r="Q28" s="8">
        <f t="shared" si="6"/>
        <v>0.3</v>
      </c>
      <c r="R28" s="7">
        <v>1</v>
      </c>
      <c r="S28" s="14">
        <v>1</v>
      </c>
      <c r="T28" s="7">
        <v>1</v>
      </c>
      <c r="U28" s="8">
        <f t="shared" si="7"/>
        <v>1</v>
      </c>
      <c r="V28" s="10">
        <v>0</v>
      </c>
      <c r="W28" s="20">
        <f t="shared" si="9"/>
        <v>2.9625000000000004</v>
      </c>
    </row>
    <row r="29" spans="1:23" x14ac:dyDescent="0.3">
      <c r="A29" s="1">
        <v>46038</v>
      </c>
      <c r="B29">
        <v>8</v>
      </c>
      <c r="C29" t="s">
        <v>6</v>
      </c>
      <c r="D29" t="s">
        <v>48</v>
      </c>
      <c r="E29" s="3">
        <v>3</v>
      </c>
      <c r="F29" s="2">
        <v>1</v>
      </c>
      <c r="G29">
        <v>1</v>
      </c>
      <c r="H29">
        <v>4</v>
      </c>
      <c r="I29">
        <v>3</v>
      </c>
      <c r="J29">
        <f t="shared" si="2"/>
        <v>0.75</v>
      </c>
      <c r="K29">
        <f t="shared" si="3"/>
        <v>0.6166666666666667</v>
      </c>
      <c r="L29">
        <f>E29-((E30+E31+E32)/3)</f>
        <v>-0.33333333333333348</v>
      </c>
      <c r="M29" s="36">
        <f t="shared" si="4"/>
        <v>0.47</v>
      </c>
      <c r="N29">
        <f t="shared" si="0"/>
        <v>1.75</v>
      </c>
      <c r="O29" s="5">
        <f t="shared" si="8"/>
        <v>0.95</v>
      </c>
      <c r="P29" s="2">
        <v>9</v>
      </c>
      <c r="Q29" s="5">
        <f t="shared" si="6"/>
        <v>0.75</v>
      </c>
      <c r="R29">
        <v>1</v>
      </c>
      <c r="S29" s="2">
        <v>0</v>
      </c>
      <c r="T29">
        <v>0</v>
      </c>
      <c r="U29" s="5">
        <f t="shared" si="7"/>
        <v>1</v>
      </c>
      <c r="V29" s="9">
        <v>0</v>
      </c>
      <c r="W29" s="19">
        <f t="shared" si="9"/>
        <v>4.7062499999999998</v>
      </c>
    </row>
    <row r="30" spans="1:23" x14ac:dyDescent="0.3">
      <c r="A30" s="1">
        <v>46038</v>
      </c>
      <c r="B30">
        <v>8</v>
      </c>
      <c r="C30" t="s">
        <v>2</v>
      </c>
      <c r="D30" t="s">
        <v>37</v>
      </c>
      <c r="E30" s="3">
        <v>3</v>
      </c>
      <c r="F30" s="2">
        <v>0</v>
      </c>
      <c r="G30">
        <v>2</v>
      </c>
      <c r="H30">
        <v>4</v>
      </c>
      <c r="I30">
        <v>0</v>
      </c>
      <c r="J30">
        <f t="shared" si="2"/>
        <v>-0.25</v>
      </c>
      <c r="K30">
        <f t="shared" si="3"/>
        <v>1.6666666666666673E-2</v>
      </c>
      <c r="L30">
        <f>E30-((E29+E31+E32)/3)</f>
        <v>-0.33333333333333348</v>
      </c>
      <c r="M30" s="36">
        <f t="shared" si="4"/>
        <v>0.47</v>
      </c>
      <c r="N30">
        <f t="shared" si="0"/>
        <v>0.75</v>
      </c>
      <c r="O30" s="5">
        <f t="shared" si="8"/>
        <v>0.35000000000000003</v>
      </c>
      <c r="P30" s="2">
        <v>9</v>
      </c>
      <c r="Q30" s="5">
        <f t="shared" si="6"/>
        <v>0.3</v>
      </c>
      <c r="R30">
        <v>0</v>
      </c>
      <c r="S30" s="2">
        <v>0</v>
      </c>
      <c r="T30">
        <v>0</v>
      </c>
      <c r="U30" s="5">
        <f t="shared" si="7"/>
        <v>1</v>
      </c>
      <c r="V30" s="9">
        <v>0</v>
      </c>
      <c r="W30" s="19">
        <f t="shared" si="9"/>
        <v>2.5375000000000005</v>
      </c>
    </row>
    <row r="31" spans="1:23" x14ac:dyDescent="0.3">
      <c r="A31" s="1">
        <v>46038</v>
      </c>
      <c r="B31">
        <v>8</v>
      </c>
      <c r="C31" t="s">
        <v>5</v>
      </c>
      <c r="D31" t="s">
        <v>24</v>
      </c>
      <c r="E31" s="3">
        <v>4</v>
      </c>
      <c r="F31" s="2">
        <v>0</v>
      </c>
      <c r="G31">
        <v>3</v>
      </c>
      <c r="H31">
        <v>4</v>
      </c>
      <c r="I31">
        <v>0</v>
      </c>
      <c r="J31">
        <f t="shared" si="2"/>
        <v>-0.25</v>
      </c>
      <c r="K31">
        <f t="shared" si="3"/>
        <v>1.6666666666666673E-2</v>
      </c>
      <c r="L31">
        <f>E31-((E29+E30+E32)/3)</f>
        <v>1</v>
      </c>
      <c r="M31" s="36">
        <f t="shared" si="4"/>
        <v>0.59</v>
      </c>
      <c r="N31">
        <f t="shared" si="0"/>
        <v>0.5</v>
      </c>
      <c r="O31" s="5">
        <f t="shared" si="8"/>
        <v>0.2</v>
      </c>
      <c r="P31" s="2">
        <v>9</v>
      </c>
      <c r="Q31" s="5">
        <f t="shared" si="6"/>
        <v>0.3</v>
      </c>
      <c r="R31">
        <v>0</v>
      </c>
      <c r="S31" s="2">
        <v>0</v>
      </c>
      <c r="T31">
        <v>0</v>
      </c>
      <c r="U31" s="5">
        <f t="shared" si="7"/>
        <v>1</v>
      </c>
      <c r="V31" s="9">
        <v>0</v>
      </c>
      <c r="W31" s="19">
        <f t="shared" si="9"/>
        <v>2.3125</v>
      </c>
    </row>
    <row r="32" spans="1:23" x14ac:dyDescent="0.3">
      <c r="A32" s="32">
        <v>46038</v>
      </c>
      <c r="B32" s="7">
        <v>8</v>
      </c>
      <c r="C32" s="7" t="s">
        <v>3</v>
      </c>
      <c r="D32" s="7" t="s">
        <v>25</v>
      </c>
      <c r="E32" s="18">
        <v>3</v>
      </c>
      <c r="F32" s="14">
        <v>0</v>
      </c>
      <c r="G32" s="7">
        <v>4</v>
      </c>
      <c r="H32" s="7">
        <v>4</v>
      </c>
      <c r="I32" s="7">
        <v>0</v>
      </c>
      <c r="J32" s="7">
        <f t="shared" si="2"/>
        <v>-0.25</v>
      </c>
      <c r="K32" s="7">
        <f t="shared" si="3"/>
        <v>1.6666666666666673E-2</v>
      </c>
      <c r="L32" s="7">
        <f>E32-((E29+E30+E31)/3)</f>
        <v>-0.33333333333333348</v>
      </c>
      <c r="M32" s="40">
        <f t="shared" si="4"/>
        <v>0.47</v>
      </c>
      <c r="N32" s="7">
        <f t="shared" si="0"/>
        <v>0.25</v>
      </c>
      <c r="O32" s="8">
        <f t="shared" si="8"/>
        <v>0.05</v>
      </c>
      <c r="P32" s="14">
        <v>9</v>
      </c>
      <c r="Q32" s="8">
        <f t="shared" si="6"/>
        <v>0.3</v>
      </c>
      <c r="R32" s="7">
        <v>0</v>
      </c>
      <c r="S32" s="14">
        <v>0</v>
      </c>
      <c r="T32" s="7">
        <v>0</v>
      </c>
      <c r="U32" s="8">
        <f t="shared" si="7"/>
        <v>1</v>
      </c>
      <c r="V32" s="10">
        <v>0</v>
      </c>
      <c r="W32" s="20">
        <f t="shared" si="9"/>
        <v>2.0874999999999999</v>
      </c>
    </row>
    <row r="33" spans="1:23" x14ac:dyDescent="0.3">
      <c r="A33" s="1">
        <v>46038</v>
      </c>
      <c r="B33">
        <v>9</v>
      </c>
      <c r="C33" t="s">
        <v>3</v>
      </c>
      <c r="D33" t="s">
        <v>25</v>
      </c>
      <c r="E33" s="3">
        <v>3</v>
      </c>
      <c r="F33" s="2">
        <v>1</v>
      </c>
      <c r="G33">
        <v>1</v>
      </c>
      <c r="H33">
        <v>3</v>
      </c>
      <c r="I33">
        <v>1</v>
      </c>
      <c r="J33">
        <f t="shared" si="2"/>
        <v>0.66666666666666674</v>
      </c>
      <c r="K33">
        <f t="shared" si="3"/>
        <v>0.23333333333333334</v>
      </c>
      <c r="L33" s="3">
        <f>E33-((E34+E35)/2)</f>
        <v>0</v>
      </c>
      <c r="M33" s="36">
        <f t="shared" si="4"/>
        <v>0.5</v>
      </c>
      <c r="N33">
        <f t="shared" si="0"/>
        <v>1.3333333333333333</v>
      </c>
      <c r="O33" s="5">
        <f t="shared" si="8"/>
        <v>0.69999999999999984</v>
      </c>
      <c r="P33" s="2">
        <v>12</v>
      </c>
      <c r="Q33" s="5">
        <f t="shared" si="6"/>
        <v>0.625</v>
      </c>
      <c r="R33">
        <v>1</v>
      </c>
      <c r="S33" s="2">
        <v>0</v>
      </c>
      <c r="T33">
        <v>0</v>
      </c>
      <c r="U33" s="5">
        <f t="shared" si="7"/>
        <v>1</v>
      </c>
      <c r="V33" s="9">
        <v>0</v>
      </c>
      <c r="W33" s="19">
        <f t="shared" si="9"/>
        <v>4.2218749999999989</v>
      </c>
    </row>
    <row r="34" spans="1:23" x14ac:dyDescent="0.3">
      <c r="A34" s="1">
        <v>46038</v>
      </c>
      <c r="B34">
        <v>9</v>
      </c>
      <c r="C34" t="s">
        <v>2</v>
      </c>
      <c r="D34" t="s">
        <v>42</v>
      </c>
      <c r="E34" s="3">
        <v>4</v>
      </c>
      <c r="F34" s="2">
        <v>0</v>
      </c>
      <c r="G34">
        <v>2</v>
      </c>
      <c r="H34">
        <v>3</v>
      </c>
      <c r="I34">
        <v>1</v>
      </c>
      <c r="J34">
        <f t="shared" si="2"/>
        <v>-0.33333333333333331</v>
      </c>
      <c r="K34">
        <f t="shared" si="3"/>
        <v>0.23333333333333334</v>
      </c>
      <c r="L34">
        <f>E34-((E33+E35)/2)</f>
        <v>1.5</v>
      </c>
      <c r="M34" s="36">
        <f t="shared" si="4"/>
        <v>0.63500000000000001</v>
      </c>
      <c r="N34">
        <f t="shared" si="0"/>
        <v>0.88888888888888884</v>
      </c>
      <c r="O34" s="5">
        <f t="shared" si="8"/>
        <v>0.43333333333333329</v>
      </c>
      <c r="P34" s="2">
        <v>12</v>
      </c>
      <c r="Q34" s="5">
        <f t="shared" si="6"/>
        <v>0.4</v>
      </c>
      <c r="R34">
        <v>1</v>
      </c>
      <c r="S34" s="2">
        <v>2</v>
      </c>
      <c r="T34">
        <v>0</v>
      </c>
      <c r="U34" s="5">
        <f t="shared" si="7"/>
        <v>0</v>
      </c>
      <c r="V34" s="9">
        <v>0</v>
      </c>
      <c r="W34" s="19">
        <f t="shared" si="9"/>
        <v>2.7499999999999996</v>
      </c>
    </row>
    <row r="35" spans="1:23" x14ac:dyDescent="0.3">
      <c r="A35" s="32">
        <v>46038</v>
      </c>
      <c r="B35" s="7">
        <v>9</v>
      </c>
      <c r="C35" s="7" t="s">
        <v>6</v>
      </c>
      <c r="D35" s="7" t="s">
        <v>23</v>
      </c>
      <c r="E35" s="18">
        <v>2</v>
      </c>
      <c r="F35" s="14">
        <v>0</v>
      </c>
      <c r="G35" s="7">
        <v>3</v>
      </c>
      <c r="H35" s="7">
        <v>3</v>
      </c>
      <c r="I35" s="7">
        <v>0</v>
      </c>
      <c r="J35" s="7">
        <f t="shared" si="2"/>
        <v>-0.33333333333333331</v>
      </c>
      <c r="K35" s="7">
        <f t="shared" si="3"/>
        <v>3.3333333333333347E-2</v>
      </c>
      <c r="L35" s="7">
        <f>E35-((E33+E34)/2)</f>
        <v>-1.5</v>
      </c>
      <c r="M35" s="40">
        <f t="shared" si="4"/>
        <v>0.36499999999999999</v>
      </c>
      <c r="N35" s="7">
        <f t="shared" si="0"/>
        <v>0.33333333333333331</v>
      </c>
      <c r="O35" s="8">
        <f t="shared" si="8"/>
        <v>9.9999999999999992E-2</v>
      </c>
      <c r="P35" s="14">
        <v>9</v>
      </c>
      <c r="Q35" s="8">
        <f t="shared" si="6"/>
        <v>0.3</v>
      </c>
      <c r="R35" s="7">
        <v>1</v>
      </c>
      <c r="S35" s="14">
        <v>1</v>
      </c>
      <c r="T35" s="7">
        <v>0</v>
      </c>
      <c r="U35" s="8">
        <f t="shared" si="7"/>
        <v>0</v>
      </c>
      <c r="V35" s="10">
        <v>0</v>
      </c>
      <c r="W35" s="20">
        <f t="shared" si="9"/>
        <v>2.1624999999999996</v>
      </c>
    </row>
    <row r="36" spans="1:23" x14ac:dyDescent="0.3">
      <c r="A36" s="1">
        <v>46039</v>
      </c>
      <c r="B36">
        <v>10</v>
      </c>
      <c r="C36" t="s">
        <v>2</v>
      </c>
      <c r="D36" t="s">
        <v>37</v>
      </c>
      <c r="E36" s="3">
        <v>3</v>
      </c>
      <c r="F36" s="2">
        <v>1</v>
      </c>
      <c r="G36">
        <v>1</v>
      </c>
      <c r="H36">
        <v>3</v>
      </c>
      <c r="I36">
        <v>2</v>
      </c>
      <c r="J36">
        <f t="shared" si="2"/>
        <v>0.66666666666666674</v>
      </c>
      <c r="K36">
        <f t="shared" si="3"/>
        <v>0.4333333333333334</v>
      </c>
      <c r="L36" s="3">
        <f>E36-((E37+E38)/2)</f>
        <v>1</v>
      </c>
      <c r="M36" s="36">
        <f t="shared" si="4"/>
        <v>0.59</v>
      </c>
      <c r="N36">
        <f t="shared" si="0"/>
        <v>1.6666666666666667</v>
      </c>
      <c r="O36" s="5">
        <f t="shared" si="8"/>
        <v>0.89999999999999991</v>
      </c>
      <c r="P36" s="2">
        <v>7</v>
      </c>
      <c r="Q36" s="5">
        <f t="shared" si="6"/>
        <v>0.83333333333333337</v>
      </c>
      <c r="R36">
        <v>1</v>
      </c>
      <c r="S36" s="2">
        <v>0</v>
      </c>
      <c r="T36">
        <v>0</v>
      </c>
      <c r="U36" s="5">
        <f t="shared" si="7"/>
        <v>1</v>
      </c>
      <c r="V36" s="9">
        <v>0</v>
      </c>
      <c r="W36" s="19">
        <f t="shared" si="9"/>
        <v>4.7041666666666675</v>
      </c>
    </row>
    <row r="37" spans="1:23" x14ac:dyDescent="0.3">
      <c r="A37" s="1">
        <v>46039</v>
      </c>
      <c r="B37">
        <v>10</v>
      </c>
      <c r="C37" t="s">
        <v>49</v>
      </c>
      <c r="D37" t="s">
        <v>50</v>
      </c>
      <c r="E37" s="3">
        <v>2</v>
      </c>
      <c r="F37" s="2">
        <v>0</v>
      </c>
      <c r="G37">
        <v>2</v>
      </c>
      <c r="H37">
        <v>3</v>
      </c>
      <c r="I37">
        <v>0</v>
      </c>
      <c r="J37">
        <f t="shared" si="2"/>
        <v>-0.33333333333333331</v>
      </c>
      <c r="K37">
        <f t="shared" si="3"/>
        <v>3.3333333333333347E-2</v>
      </c>
      <c r="L37">
        <f>E37-((E36+E38)/2)</f>
        <v>-0.5</v>
      </c>
      <c r="M37" s="36">
        <f t="shared" si="4"/>
        <v>0.45500000000000002</v>
      </c>
      <c r="N37">
        <f t="shared" si="0"/>
        <v>0.66666666666666663</v>
      </c>
      <c r="O37" s="5">
        <f t="shared" si="8"/>
        <v>0.3</v>
      </c>
      <c r="P37" s="2">
        <v>7</v>
      </c>
      <c r="Q37" s="5">
        <f t="shared" si="6"/>
        <v>0.23333333333333334</v>
      </c>
      <c r="R37">
        <v>0</v>
      </c>
      <c r="S37" s="2">
        <v>0</v>
      </c>
      <c r="T37">
        <v>0</v>
      </c>
      <c r="U37" s="5">
        <f t="shared" si="7"/>
        <v>1</v>
      </c>
      <c r="V37" s="9">
        <v>0</v>
      </c>
      <c r="W37" s="19">
        <f t="shared" si="9"/>
        <v>2.4041666666666663</v>
      </c>
    </row>
    <row r="38" spans="1:23" x14ac:dyDescent="0.3">
      <c r="A38" s="32">
        <v>46039</v>
      </c>
      <c r="B38" s="7">
        <v>10</v>
      </c>
      <c r="C38" s="7" t="s">
        <v>6</v>
      </c>
      <c r="D38" s="7" t="s">
        <v>45</v>
      </c>
      <c r="E38" s="18">
        <v>2</v>
      </c>
      <c r="F38" s="14">
        <v>0</v>
      </c>
      <c r="G38" s="7">
        <v>2</v>
      </c>
      <c r="H38" s="7">
        <v>3</v>
      </c>
      <c r="I38" s="7">
        <v>0</v>
      </c>
      <c r="J38" s="7">
        <f t="shared" si="2"/>
        <v>-0.33333333333333331</v>
      </c>
      <c r="K38" s="7">
        <f t="shared" si="3"/>
        <v>3.3333333333333347E-2</v>
      </c>
      <c r="L38" s="7">
        <f>E38-((E36+E37)/2)</f>
        <v>-0.5</v>
      </c>
      <c r="M38" s="40">
        <f t="shared" si="4"/>
        <v>0.45500000000000002</v>
      </c>
      <c r="N38" s="7">
        <f t="shared" si="0"/>
        <v>0.66666666666666663</v>
      </c>
      <c r="O38" s="8">
        <f t="shared" si="8"/>
        <v>0.3</v>
      </c>
      <c r="P38" s="14">
        <v>7</v>
      </c>
      <c r="Q38" s="8">
        <f t="shared" si="6"/>
        <v>0.23333333333333334</v>
      </c>
      <c r="R38" s="7">
        <v>0</v>
      </c>
      <c r="S38" s="14">
        <v>0</v>
      </c>
      <c r="T38" s="7">
        <v>0</v>
      </c>
      <c r="U38" s="8">
        <f t="shared" si="7"/>
        <v>1</v>
      </c>
      <c r="V38" s="10">
        <v>0</v>
      </c>
      <c r="W38" s="20">
        <f t="shared" si="9"/>
        <v>2.4041666666666663</v>
      </c>
    </row>
    <row r="39" spans="1:23" x14ac:dyDescent="0.3">
      <c r="A39" s="1">
        <v>46041</v>
      </c>
      <c r="B39">
        <v>11</v>
      </c>
      <c r="C39" t="s">
        <v>5</v>
      </c>
      <c r="D39" t="s">
        <v>11</v>
      </c>
      <c r="E39" s="3">
        <v>2</v>
      </c>
      <c r="F39" s="2">
        <v>1</v>
      </c>
      <c r="G39">
        <v>1</v>
      </c>
      <c r="H39">
        <v>4</v>
      </c>
      <c r="I39">
        <v>1</v>
      </c>
      <c r="J39">
        <f t="shared" si="2"/>
        <v>0.75</v>
      </c>
      <c r="K39">
        <f t="shared" si="3"/>
        <v>0.2166666666666667</v>
      </c>
      <c r="L39">
        <f>E39-((E40+E41+E42)/3)</f>
        <v>-0.66666666666666652</v>
      </c>
      <c r="M39" s="36">
        <f t="shared" si="4"/>
        <v>0.44</v>
      </c>
      <c r="N39">
        <f t="shared" si="0"/>
        <v>1.25</v>
      </c>
      <c r="O39" s="5">
        <f t="shared" si="8"/>
        <v>0.64999999999999991</v>
      </c>
      <c r="P39" s="2">
        <v>11</v>
      </c>
      <c r="Q39" s="5">
        <f t="shared" si="6"/>
        <v>0.66666666666666674</v>
      </c>
      <c r="R39">
        <v>1</v>
      </c>
      <c r="S39" s="2">
        <v>0</v>
      </c>
      <c r="T39">
        <v>0</v>
      </c>
      <c r="U39" s="5">
        <f t="shared" si="7"/>
        <v>1</v>
      </c>
      <c r="V39" s="9">
        <v>0</v>
      </c>
      <c r="W39" s="19">
        <f t="shared" si="9"/>
        <v>4.1833333333333336</v>
      </c>
    </row>
    <row r="40" spans="1:23" x14ac:dyDescent="0.3">
      <c r="A40" s="1">
        <v>46041</v>
      </c>
      <c r="B40">
        <v>11</v>
      </c>
      <c r="C40" t="s">
        <v>2</v>
      </c>
      <c r="D40" t="s">
        <v>43</v>
      </c>
      <c r="E40" s="3">
        <v>2</v>
      </c>
      <c r="F40" s="2">
        <v>0</v>
      </c>
      <c r="G40">
        <v>2</v>
      </c>
      <c r="H40">
        <v>4</v>
      </c>
      <c r="I40">
        <v>1</v>
      </c>
      <c r="J40">
        <f t="shared" si="2"/>
        <v>-0.25</v>
      </c>
      <c r="K40">
        <f t="shared" si="3"/>
        <v>0.2166666666666667</v>
      </c>
      <c r="L40">
        <f>E40-((E39+E41+E42)/3)</f>
        <v>-0.66666666666666652</v>
      </c>
      <c r="M40" s="36">
        <f t="shared" si="4"/>
        <v>0.44</v>
      </c>
      <c r="N40">
        <f t="shared" si="0"/>
        <v>0.9375</v>
      </c>
      <c r="O40" s="5">
        <f t="shared" si="8"/>
        <v>0.46250000000000002</v>
      </c>
      <c r="P40" s="2">
        <v>11</v>
      </c>
      <c r="Q40" s="5">
        <f t="shared" si="6"/>
        <v>0.36666666666666664</v>
      </c>
      <c r="R40">
        <v>1</v>
      </c>
      <c r="S40" s="2">
        <v>1</v>
      </c>
      <c r="T40">
        <v>1</v>
      </c>
      <c r="U40" s="5">
        <f t="shared" si="7"/>
        <v>1</v>
      </c>
      <c r="V40" s="9">
        <v>0</v>
      </c>
      <c r="W40" s="19">
        <f t="shared" si="9"/>
        <v>3.6395833333333338</v>
      </c>
    </row>
    <row r="41" spans="1:23" x14ac:dyDescent="0.3">
      <c r="A41" s="1">
        <v>46041</v>
      </c>
      <c r="B41">
        <v>11</v>
      </c>
      <c r="C41" t="s">
        <v>6</v>
      </c>
      <c r="D41" t="s">
        <v>48</v>
      </c>
      <c r="E41" s="3">
        <v>3</v>
      </c>
      <c r="F41" s="2">
        <v>0</v>
      </c>
      <c r="G41">
        <v>3</v>
      </c>
      <c r="H41">
        <v>4</v>
      </c>
      <c r="I41">
        <v>1</v>
      </c>
      <c r="J41">
        <f t="shared" si="2"/>
        <v>-0.25</v>
      </c>
      <c r="K41">
        <f t="shared" si="3"/>
        <v>0.2166666666666667</v>
      </c>
      <c r="L41">
        <f>E41-((E39+E40+E42)/3)</f>
        <v>0.66666666666666652</v>
      </c>
      <c r="M41" s="36">
        <f t="shared" si="4"/>
        <v>0.55999999999999994</v>
      </c>
      <c r="N41">
        <f t="shared" si="0"/>
        <v>0.625</v>
      </c>
      <c r="O41" s="5">
        <f t="shared" si="8"/>
        <v>0.27500000000000002</v>
      </c>
      <c r="P41" s="2">
        <v>10</v>
      </c>
      <c r="Q41" s="5">
        <f t="shared" si="6"/>
        <v>0.33333333333333331</v>
      </c>
      <c r="R41">
        <v>1</v>
      </c>
      <c r="S41" s="2">
        <v>1</v>
      </c>
      <c r="T41">
        <v>1</v>
      </c>
      <c r="U41" s="5">
        <f t="shared" si="7"/>
        <v>1</v>
      </c>
      <c r="V41" s="9">
        <v>0</v>
      </c>
      <c r="W41" s="19">
        <f t="shared" si="9"/>
        <v>3.3291666666666666</v>
      </c>
    </row>
    <row r="42" spans="1:23" x14ac:dyDescent="0.3">
      <c r="A42" s="32">
        <v>46041</v>
      </c>
      <c r="B42" s="7">
        <v>11</v>
      </c>
      <c r="C42" s="7" t="s">
        <v>3</v>
      </c>
      <c r="D42" s="7" t="s">
        <v>25</v>
      </c>
      <c r="E42" s="18">
        <v>3</v>
      </c>
      <c r="F42" s="14">
        <v>0</v>
      </c>
      <c r="G42" s="7">
        <v>4</v>
      </c>
      <c r="H42" s="7">
        <v>4</v>
      </c>
      <c r="I42" s="7">
        <v>0</v>
      </c>
      <c r="J42" s="7">
        <f t="shared" si="2"/>
        <v>-0.25</v>
      </c>
      <c r="K42" s="7">
        <f t="shared" si="3"/>
        <v>1.6666666666666673E-2</v>
      </c>
      <c r="L42" s="7">
        <f>E42-((E39+E40+E41)/3)</f>
        <v>0.66666666666666652</v>
      </c>
      <c r="M42" s="40">
        <f t="shared" si="4"/>
        <v>0.55999999999999994</v>
      </c>
      <c r="N42" s="7">
        <f t="shared" si="0"/>
        <v>0.25</v>
      </c>
      <c r="O42" s="8">
        <f t="shared" si="8"/>
        <v>0.05</v>
      </c>
      <c r="P42" s="14">
        <v>9</v>
      </c>
      <c r="Q42" s="8">
        <f t="shared" si="6"/>
        <v>0.3</v>
      </c>
      <c r="R42" s="7">
        <v>1</v>
      </c>
      <c r="S42" s="14">
        <v>0</v>
      </c>
      <c r="T42" s="7">
        <v>0</v>
      </c>
      <c r="U42" s="8">
        <f t="shared" si="7"/>
        <v>1</v>
      </c>
      <c r="V42" s="10">
        <v>0</v>
      </c>
      <c r="W42" s="20">
        <f t="shared" si="9"/>
        <v>2.9625000000000004</v>
      </c>
    </row>
    <row r="43" spans="1:23" x14ac:dyDescent="0.3">
      <c r="A43" s="1">
        <v>46045</v>
      </c>
      <c r="B43">
        <v>12</v>
      </c>
      <c r="C43" t="s">
        <v>2</v>
      </c>
      <c r="D43" t="s">
        <v>26</v>
      </c>
      <c r="E43" s="3">
        <v>2</v>
      </c>
      <c r="F43" s="2">
        <v>1</v>
      </c>
      <c r="G43">
        <v>1</v>
      </c>
      <c r="H43">
        <v>3</v>
      </c>
      <c r="I43">
        <v>2</v>
      </c>
      <c r="J43">
        <f t="shared" si="2"/>
        <v>0.66666666666666674</v>
      </c>
      <c r="K43">
        <f t="shared" si="3"/>
        <v>0.4333333333333334</v>
      </c>
      <c r="L43" s="3">
        <f>E43-((E44+E45)/2)</f>
        <v>-1</v>
      </c>
      <c r="M43" s="36">
        <f t="shared" si="4"/>
        <v>0.41000000000000003</v>
      </c>
      <c r="N43">
        <f t="shared" si="0"/>
        <v>1.6666666666666667</v>
      </c>
      <c r="O43" s="5">
        <f t="shared" si="8"/>
        <v>0.89999999999999991</v>
      </c>
      <c r="P43" s="2">
        <v>10</v>
      </c>
      <c r="Q43" s="5">
        <f t="shared" si="6"/>
        <v>0.70833333333333326</v>
      </c>
      <c r="R43">
        <v>1</v>
      </c>
      <c r="S43" s="2">
        <v>1</v>
      </c>
      <c r="T43">
        <v>1</v>
      </c>
      <c r="U43" s="5">
        <f t="shared" si="7"/>
        <v>1</v>
      </c>
      <c r="V43" s="9">
        <v>0</v>
      </c>
      <c r="W43" s="19">
        <f t="shared" si="9"/>
        <v>4.5947916666666666</v>
      </c>
    </row>
    <row r="44" spans="1:23" x14ac:dyDescent="0.3">
      <c r="A44" s="1">
        <v>46045</v>
      </c>
      <c r="B44">
        <v>12</v>
      </c>
      <c r="C44" t="s">
        <v>4</v>
      </c>
      <c r="D44" t="s">
        <v>51</v>
      </c>
      <c r="E44" s="3">
        <v>2</v>
      </c>
      <c r="F44" s="2">
        <v>0</v>
      </c>
      <c r="G44">
        <v>2</v>
      </c>
      <c r="H44">
        <v>3</v>
      </c>
      <c r="I44">
        <v>0</v>
      </c>
      <c r="J44">
        <f t="shared" si="2"/>
        <v>-0.33333333333333331</v>
      </c>
      <c r="K44">
        <f t="shared" si="3"/>
        <v>3.3333333333333347E-2</v>
      </c>
      <c r="L44">
        <f>E44-((E43+E45)/2)</f>
        <v>-1</v>
      </c>
      <c r="M44" s="36">
        <f t="shared" si="4"/>
        <v>0.41000000000000003</v>
      </c>
      <c r="N44">
        <f t="shared" si="0"/>
        <v>0.66666666666666663</v>
      </c>
      <c r="O44" s="5">
        <f t="shared" si="8"/>
        <v>0.3</v>
      </c>
      <c r="P44" s="2">
        <v>10</v>
      </c>
      <c r="Q44" s="5">
        <f t="shared" si="6"/>
        <v>0.33333333333333331</v>
      </c>
      <c r="R44">
        <v>1</v>
      </c>
      <c r="S44" s="2">
        <v>0</v>
      </c>
      <c r="T44">
        <v>0</v>
      </c>
      <c r="U44" s="5">
        <f t="shared" si="7"/>
        <v>1</v>
      </c>
      <c r="V44" s="9">
        <v>0</v>
      </c>
      <c r="W44" s="19">
        <f t="shared" si="9"/>
        <v>3.3666666666666667</v>
      </c>
    </row>
    <row r="45" spans="1:23" x14ac:dyDescent="0.3">
      <c r="A45" s="32">
        <v>46045</v>
      </c>
      <c r="B45" s="7">
        <v>12</v>
      </c>
      <c r="C45" s="7" t="s">
        <v>3</v>
      </c>
      <c r="D45" s="7" t="s">
        <v>44</v>
      </c>
      <c r="E45" s="18">
        <v>4</v>
      </c>
      <c r="F45" s="14">
        <v>0</v>
      </c>
      <c r="G45" s="7">
        <v>3</v>
      </c>
      <c r="H45" s="7">
        <v>3</v>
      </c>
      <c r="I45" s="7">
        <v>0</v>
      </c>
      <c r="J45" s="7">
        <f t="shared" si="2"/>
        <v>-0.33333333333333331</v>
      </c>
      <c r="K45" s="7">
        <f t="shared" si="3"/>
        <v>3.3333333333333347E-2</v>
      </c>
      <c r="L45" s="7">
        <f>E45-((E43+E44)/2)</f>
        <v>2</v>
      </c>
      <c r="M45" s="40">
        <f t="shared" si="4"/>
        <v>0.67999999999999994</v>
      </c>
      <c r="N45" s="7">
        <f t="shared" si="0"/>
        <v>0.33333333333333331</v>
      </c>
      <c r="O45" s="8">
        <f t="shared" si="8"/>
        <v>9.9999999999999992E-2</v>
      </c>
      <c r="P45" s="14">
        <v>9</v>
      </c>
      <c r="Q45" s="8">
        <f t="shared" si="6"/>
        <v>0.3</v>
      </c>
      <c r="R45" s="7">
        <v>1</v>
      </c>
      <c r="S45" s="14">
        <v>0</v>
      </c>
      <c r="T45" s="7">
        <v>0</v>
      </c>
      <c r="U45" s="8">
        <f t="shared" si="7"/>
        <v>1</v>
      </c>
      <c r="V45" s="10">
        <v>0</v>
      </c>
      <c r="W45" s="20">
        <f t="shared" si="9"/>
        <v>3.0374999999999996</v>
      </c>
    </row>
    <row r="46" spans="1:23" x14ac:dyDescent="0.3">
      <c r="A46" s="1">
        <v>46045</v>
      </c>
      <c r="B46">
        <v>13</v>
      </c>
      <c r="C46" t="s">
        <v>6</v>
      </c>
      <c r="D46" t="s">
        <v>48</v>
      </c>
      <c r="E46" s="3">
        <v>3</v>
      </c>
      <c r="F46" s="2">
        <v>1</v>
      </c>
      <c r="G46">
        <v>1</v>
      </c>
      <c r="H46">
        <v>4</v>
      </c>
      <c r="I46">
        <v>2</v>
      </c>
      <c r="J46">
        <f t="shared" si="2"/>
        <v>0.75</v>
      </c>
      <c r="K46">
        <f t="shared" si="3"/>
        <v>0.41666666666666669</v>
      </c>
      <c r="L46">
        <f>E46-((E47+E48+E49)/3)</f>
        <v>0</v>
      </c>
      <c r="M46" s="36">
        <f t="shared" si="4"/>
        <v>0.5</v>
      </c>
      <c r="N46">
        <f t="shared" si="0"/>
        <v>1.5</v>
      </c>
      <c r="O46" s="5">
        <f t="shared" si="8"/>
        <v>0.79999999999999993</v>
      </c>
      <c r="P46" s="2">
        <v>13</v>
      </c>
      <c r="Q46" s="5">
        <f t="shared" si="6"/>
        <v>0.58333333333333326</v>
      </c>
      <c r="R46">
        <v>1</v>
      </c>
      <c r="S46" s="2">
        <v>0</v>
      </c>
      <c r="T46">
        <v>0</v>
      </c>
      <c r="U46" s="5">
        <f t="shared" si="7"/>
        <v>1</v>
      </c>
      <c r="V46" s="9">
        <v>0</v>
      </c>
      <c r="W46" s="19">
        <f t="shared" si="9"/>
        <v>4.3354166666666671</v>
      </c>
    </row>
    <row r="47" spans="1:23" x14ac:dyDescent="0.3">
      <c r="A47" s="1">
        <v>46045</v>
      </c>
      <c r="B47">
        <v>13</v>
      </c>
      <c r="C47" t="s">
        <v>2</v>
      </c>
      <c r="D47" t="s">
        <v>52</v>
      </c>
      <c r="E47" s="3">
        <v>2</v>
      </c>
      <c r="F47" s="2">
        <v>0</v>
      </c>
      <c r="G47">
        <v>2</v>
      </c>
      <c r="H47">
        <v>4</v>
      </c>
      <c r="I47">
        <v>0</v>
      </c>
      <c r="J47">
        <f t="shared" si="2"/>
        <v>-0.25</v>
      </c>
      <c r="K47">
        <f t="shared" si="3"/>
        <v>1.6666666666666673E-2</v>
      </c>
      <c r="L47">
        <f>E47-((E46+E48+E49)/3)</f>
        <v>-1.3333333333333335</v>
      </c>
      <c r="M47" s="36">
        <f t="shared" si="4"/>
        <v>0.38</v>
      </c>
      <c r="N47">
        <f t="shared" si="0"/>
        <v>0.75</v>
      </c>
      <c r="O47" s="5">
        <f t="shared" si="8"/>
        <v>0.35000000000000003</v>
      </c>
      <c r="P47" s="2">
        <v>13</v>
      </c>
      <c r="Q47" s="5">
        <f t="shared" si="6"/>
        <v>0.43333333333333335</v>
      </c>
      <c r="R47">
        <v>0</v>
      </c>
      <c r="S47" s="2">
        <v>2</v>
      </c>
      <c r="T47">
        <v>1</v>
      </c>
      <c r="U47" s="5">
        <f t="shared" si="7"/>
        <v>0.5</v>
      </c>
      <c r="V47" s="9">
        <v>0</v>
      </c>
      <c r="W47" s="19">
        <f t="shared" si="9"/>
        <v>2.2166666666666663</v>
      </c>
    </row>
    <row r="48" spans="1:23" x14ac:dyDescent="0.3">
      <c r="A48" s="1">
        <v>46045</v>
      </c>
      <c r="B48">
        <v>13</v>
      </c>
      <c r="C48" t="s">
        <v>3</v>
      </c>
      <c r="D48" t="s">
        <v>39</v>
      </c>
      <c r="E48" s="3">
        <v>3</v>
      </c>
      <c r="F48" s="2">
        <v>0</v>
      </c>
      <c r="G48">
        <v>3</v>
      </c>
      <c r="H48">
        <v>4</v>
      </c>
      <c r="I48">
        <v>1</v>
      </c>
      <c r="J48">
        <f t="shared" si="2"/>
        <v>-0.25</v>
      </c>
      <c r="K48">
        <f t="shared" si="3"/>
        <v>0.2166666666666667</v>
      </c>
      <c r="L48">
        <f>E48-((E46+E47+E49)/3)</f>
        <v>0</v>
      </c>
      <c r="M48" s="36">
        <f t="shared" si="4"/>
        <v>0.5</v>
      </c>
      <c r="N48">
        <f t="shared" si="0"/>
        <v>0.625</v>
      </c>
      <c r="O48" s="5">
        <f t="shared" si="8"/>
        <v>0.27500000000000002</v>
      </c>
      <c r="P48" s="2">
        <v>13</v>
      </c>
      <c r="Q48" s="5">
        <f t="shared" si="6"/>
        <v>0.43333333333333335</v>
      </c>
      <c r="R48">
        <v>1</v>
      </c>
      <c r="S48" s="2">
        <v>1</v>
      </c>
      <c r="T48">
        <v>1</v>
      </c>
      <c r="U48" s="5">
        <f t="shared" si="7"/>
        <v>1</v>
      </c>
      <c r="V48" s="9">
        <v>0</v>
      </c>
      <c r="W48" s="19">
        <f t="shared" si="9"/>
        <v>3.416666666666667</v>
      </c>
    </row>
    <row r="49" spans="1:23" x14ac:dyDescent="0.3">
      <c r="A49" s="32">
        <v>46045</v>
      </c>
      <c r="B49" s="7">
        <v>13</v>
      </c>
      <c r="C49" s="7" t="s">
        <v>5</v>
      </c>
      <c r="D49" s="7" t="s">
        <v>24</v>
      </c>
      <c r="E49" s="18">
        <v>4</v>
      </c>
      <c r="F49" s="14">
        <v>0</v>
      </c>
      <c r="G49" s="7">
        <v>4</v>
      </c>
      <c r="H49" s="7">
        <v>4</v>
      </c>
      <c r="I49" s="7">
        <v>0</v>
      </c>
      <c r="J49" s="7">
        <f t="shared" si="2"/>
        <v>-0.25</v>
      </c>
      <c r="K49" s="7">
        <f t="shared" si="3"/>
        <v>1.6666666666666673E-2</v>
      </c>
      <c r="L49" s="7">
        <f>E49-((E46+E47+E48)/3)</f>
        <v>1.3333333333333335</v>
      </c>
      <c r="M49" s="40">
        <f t="shared" si="4"/>
        <v>0.62</v>
      </c>
      <c r="N49" s="7">
        <f t="shared" si="0"/>
        <v>0.25</v>
      </c>
      <c r="O49" s="8">
        <f t="shared" si="8"/>
        <v>0.05</v>
      </c>
      <c r="P49" s="14">
        <v>8</v>
      </c>
      <c r="Q49" s="8">
        <f t="shared" si="6"/>
        <v>0.26666666666666666</v>
      </c>
      <c r="R49" s="7">
        <v>0</v>
      </c>
      <c r="S49" s="14">
        <v>1</v>
      </c>
      <c r="T49" s="7">
        <v>0</v>
      </c>
      <c r="U49" s="8">
        <f t="shared" si="7"/>
        <v>0</v>
      </c>
      <c r="V49" s="10">
        <v>0</v>
      </c>
      <c r="W49" s="20">
        <f t="shared" si="9"/>
        <v>1.1833333333333331</v>
      </c>
    </row>
    <row r="50" spans="1:23" x14ac:dyDescent="0.3">
      <c r="A50" s="1">
        <v>46045</v>
      </c>
      <c r="B50">
        <v>14</v>
      </c>
      <c r="C50" t="s">
        <v>2</v>
      </c>
      <c r="D50" t="s">
        <v>36</v>
      </c>
      <c r="E50" s="3">
        <v>2</v>
      </c>
      <c r="F50" s="2">
        <v>1</v>
      </c>
      <c r="G50">
        <v>1</v>
      </c>
      <c r="H50">
        <v>3</v>
      </c>
      <c r="I50">
        <v>1</v>
      </c>
      <c r="J50">
        <f t="shared" si="2"/>
        <v>0.66666666666666674</v>
      </c>
      <c r="K50">
        <f t="shared" si="3"/>
        <v>0.23333333333333334</v>
      </c>
      <c r="L50" s="3">
        <f>E50-((E51+E52)/2)</f>
        <v>-1.5</v>
      </c>
      <c r="M50" s="36">
        <f t="shared" si="4"/>
        <v>0.36499999999999999</v>
      </c>
      <c r="N50">
        <f t="shared" si="0"/>
        <v>1.3333333333333333</v>
      </c>
      <c r="O50" s="5">
        <f t="shared" si="8"/>
        <v>0.69999999999999984</v>
      </c>
      <c r="P50" s="2">
        <v>10</v>
      </c>
      <c r="Q50" s="5">
        <f t="shared" si="6"/>
        <v>0.70833333333333326</v>
      </c>
      <c r="R50">
        <v>1</v>
      </c>
      <c r="S50" s="2">
        <v>0</v>
      </c>
      <c r="T50">
        <v>0</v>
      </c>
      <c r="U50" s="5">
        <f t="shared" si="7"/>
        <v>1</v>
      </c>
      <c r="V50" s="9">
        <v>0</v>
      </c>
      <c r="W50" s="19">
        <f t="shared" si="9"/>
        <v>4.2947916666666668</v>
      </c>
    </row>
    <row r="51" spans="1:23" x14ac:dyDescent="0.3">
      <c r="A51" s="1">
        <v>46045</v>
      </c>
      <c r="B51">
        <v>14</v>
      </c>
      <c r="C51" t="s">
        <v>3</v>
      </c>
      <c r="D51" t="s">
        <v>44</v>
      </c>
      <c r="E51" s="3">
        <v>4</v>
      </c>
      <c r="F51" s="2">
        <v>0</v>
      </c>
      <c r="G51">
        <v>2</v>
      </c>
      <c r="H51">
        <v>3</v>
      </c>
      <c r="I51">
        <v>1</v>
      </c>
      <c r="J51">
        <f t="shared" si="2"/>
        <v>-0.33333333333333331</v>
      </c>
      <c r="K51">
        <f t="shared" si="3"/>
        <v>0.23333333333333334</v>
      </c>
      <c r="L51">
        <f>E51-((E50+E52)/2)</f>
        <v>1.5</v>
      </c>
      <c r="M51" s="36">
        <f t="shared" si="4"/>
        <v>0.63500000000000001</v>
      </c>
      <c r="N51">
        <f t="shared" si="0"/>
        <v>0.88888888888888884</v>
      </c>
      <c r="O51" s="5">
        <f t="shared" si="8"/>
        <v>0.43333333333333329</v>
      </c>
      <c r="P51" s="2">
        <v>10</v>
      </c>
      <c r="Q51" s="5">
        <f t="shared" si="6"/>
        <v>0.33333333333333331</v>
      </c>
      <c r="R51">
        <v>1</v>
      </c>
      <c r="S51" s="2">
        <v>0</v>
      </c>
      <c r="T51">
        <v>0</v>
      </c>
      <c r="U51" s="5">
        <f t="shared" si="7"/>
        <v>1</v>
      </c>
      <c r="V51" s="9">
        <v>0</v>
      </c>
      <c r="W51" s="19">
        <f t="shared" si="9"/>
        <v>3.5666666666666669</v>
      </c>
    </row>
    <row r="52" spans="1:23" x14ac:dyDescent="0.3">
      <c r="A52" s="32">
        <v>46045</v>
      </c>
      <c r="B52" s="7">
        <v>14</v>
      </c>
      <c r="C52" s="7" t="s">
        <v>6</v>
      </c>
      <c r="D52" s="7" t="s">
        <v>53</v>
      </c>
      <c r="E52" s="18">
        <v>3</v>
      </c>
      <c r="F52" s="14">
        <v>0</v>
      </c>
      <c r="G52" s="7">
        <v>3</v>
      </c>
      <c r="H52" s="7">
        <v>3</v>
      </c>
      <c r="I52" s="7">
        <v>0</v>
      </c>
      <c r="J52" s="7">
        <f t="shared" si="2"/>
        <v>-0.33333333333333331</v>
      </c>
      <c r="K52" s="7">
        <f t="shared" si="3"/>
        <v>3.3333333333333347E-2</v>
      </c>
      <c r="L52" s="7">
        <f>E52-((E50+E51)/2)</f>
        <v>0</v>
      </c>
      <c r="M52" s="40">
        <f t="shared" si="4"/>
        <v>0.5</v>
      </c>
      <c r="N52" s="7">
        <f t="shared" si="0"/>
        <v>0.33333333333333331</v>
      </c>
      <c r="O52" s="8">
        <f t="shared" si="8"/>
        <v>9.9999999999999992E-2</v>
      </c>
      <c r="P52" s="14">
        <v>9</v>
      </c>
      <c r="Q52" s="8">
        <f t="shared" si="6"/>
        <v>0.3</v>
      </c>
      <c r="R52" s="7">
        <v>1</v>
      </c>
      <c r="S52" s="14">
        <v>0</v>
      </c>
      <c r="T52" s="7">
        <v>0</v>
      </c>
      <c r="U52" s="8">
        <f t="shared" si="7"/>
        <v>1</v>
      </c>
      <c r="V52" s="10">
        <v>1</v>
      </c>
      <c r="W52" s="20">
        <f t="shared" si="9"/>
        <v>2.1624999999999996</v>
      </c>
    </row>
    <row r="53" spans="1:23" x14ac:dyDescent="0.3">
      <c r="A53" s="1">
        <v>46050</v>
      </c>
      <c r="B53">
        <v>15</v>
      </c>
      <c r="C53" t="s">
        <v>6</v>
      </c>
      <c r="D53" t="s">
        <v>23</v>
      </c>
      <c r="E53" s="3">
        <v>2</v>
      </c>
      <c r="F53" s="2">
        <v>1</v>
      </c>
      <c r="G53">
        <v>1</v>
      </c>
      <c r="H53">
        <v>4</v>
      </c>
      <c r="I53">
        <v>1</v>
      </c>
      <c r="J53">
        <f t="shared" si="2"/>
        <v>0.75</v>
      </c>
      <c r="K53">
        <f t="shared" si="3"/>
        <v>0.2166666666666667</v>
      </c>
      <c r="L53">
        <f>E53-((E54+E55+E56)/3)</f>
        <v>-0.66666666666666652</v>
      </c>
      <c r="M53" s="36">
        <f t="shared" si="4"/>
        <v>0.44</v>
      </c>
      <c r="N53">
        <f t="shared" si="0"/>
        <v>1.25</v>
      </c>
      <c r="O53" s="5">
        <f t="shared" si="8"/>
        <v>0.64999999999999991</v>
      </c>
      <c r="P53" s="2">
        <v>12</v>
      </c>
      <c r="Q53" s="5">
        <f t="shared" si="6"/>
        <v>0.625</v>
      </c>
      <c r="R53">
        <v>1</v>
      </c>
      <c r="S53" s="2">
        <v>2</v>
      </c>
      <c r="T53">
        <v>2</v>
      </c>
      <c r="U53" s="5">
        <f t="shared" si="7"/>
        <v>1</v>
      </c>
      <c r="V53" s="9">
        <v>0</v>
      </c>
      <c r="W53" s="19">
        <f t="shared" si="9"/>
        <v>4.1468749999999996</v>
      </c>
    </row>
    <row r="54" spans="1:23" x14ac:dyDescent="0.3">
      <c r="A54" s="1">
        <v>46050</v>
      </c>
      <c r="B54">
        <v>15</v>
      </c>
      <c r="C54" t="s">
        <v>2</v>
      </c>
      <c r="D54" t="s">
        <v>52</v>
      </c>
      <c r="E54" s="3">
        <v>2</v>
      </c>
      <c r="F54" s="2">
        <v>0</v>
      </c>
      <c r="G54">
        <v>2</v>
      </c>
      <c r="H54">
        <v>4</v>
      </c>
      <c r="I54">
        <v>2</v>
      </c>
      <c r="J54">
        <f t="shared" si="2"/>
        <v>-0.25</v>
      </c>
      <c r="K54">
        <f t="shared" si="3"/>
        <v>0.41666666666666669</v>
      </c>
      <c r="L54">
        <f>E54-((E53+E55+E56)/3)</f>
        <v>-0.66666666666666652</v>
      </c>
      <c r="M54" s="36">
        <f t="shared" si="4"/>
        <v>0.44</v>
      </c>
      <c r="N54">
        <f t="shared" si="0"/>
        <v>1.125</v>
      </c>
      <c r="O54" s="5">
        <f t="shared" si="8"/>
        <v>0.57499999999999996</v>
      </c>
      <c r="P54" s="2">
        <v>12</v>
      </c>
      <c r="Q54" s="5">
        <f t="shared" si="6"/>
        <v>0.4</v>
      </c>
      <c r="R54">
        <v>0</v>
      </c>
      <c r="S54" s="2">
        <v>2</v>
      </c>
      <c r="T54">
        <v>1</v>
      </c>
      <c r="U54" s="5">
        <f t="shared" si="7"/>
        <v>0.5</v>
      </c>
      <c r="V54" s="9">
        <v>0</v>
      </c>
      <c r="W54" s="19">
        <f t="shared" si="9"/>
        <v>2.5249999999999995</v>
      </c>
    </row>
    <row r="55" spans="1:23" x14ac:dyDescent="0.3">
      <c r="A55" s="1">
        <v>46050</v>
      </c>
      <c r="B55">
        <v>15</v>
      </c>
      <c r="C55" t="s">
        <v>4</v>
      </c>
      <c r="D55" t="s">
        <v>54</v>
      </c>
      <c r="E55" s="3">
        <v>3</v>
      </c>
      <c r="F55" s="2">
        <v>0</v>
      </c>
      <c r="G55">
        <v>3</v>
      </c>
      <c r="H55">
        <v>4</v>
      </c>
      <c r="I55">
        <v>0</v>
      </c>
      <c r="J55">
        <f t="shared" si="2"/>
        <v>-0.25</v>
      </c>
      <c r="K55">
        <f t="shared" si="3"/>
        <v>1.6666666666666673E-2</v>
      </c>
      <c r="L55">
        <f>E55-((E53+E54+E56)/3)</f>
        <v>0.66666666666666652</v>
      </c>
      <c r="M55" s="36">
        <f t="shared" si="4"/>
        <v>0.55999999999999994</v>
      </c>
      <c r="N55">
        <f t="shared" si="0"/>
        <v>0.5</v>
      </c>
      <c r="O55" s="5">
        <f t="shared" si="8"/>
        <v>0.2</v>
      </c>
      <c r="P55" s="2">
        <v>11</v>
      </c>
      <c r="Q55" s="5">
        <f t="shared" si="6"/>
        <v>0.36666666666666664</v>
      </c>
      <c r="R55">
        <v>1</v>
      </c>
      <c r="S55" s="2">
        <v>1</v>
      </c>
      <c r="T55">
        <v>0</v>
      </c>
      <c r="U55" s="5">
        <f t="shared" si="7"/>
        <v>0</v>
      </c>
      <c r="V55" s="9">
        <v>0</v>
      </c>
      <c r="W55" s="19">
        <f t="shared" si="9"/>
        <v>2.3708333333333331</v>
      </c>
    </row>
    <row r="56" spans="1:23" x14ac:dyDescent="0.3">
      <c r="A56" s="32">
        <v>46050</v>
      </c>
      <c r="B56" s="7">
        <v>15</v>
      </c>
      <c r="C56" s="7" t="s">
        <v>3</v>
      </c>
      <c r="D56" s="7" t="s">
        <v>8</v>
      </c>
      <c r="E56" s="18">
        <v>3</v>
      </c>
      <c r="F56" s="14">
        <v>0</v>
      </c>
      <c r="G56" s="7">
        <v>3</v>
      </c>
      <c r="H56" s="7">
        <v>4</v>
      </c>
      <c r="I56" s="7">
        <v>0</v>
      </c>
      <c r="J56" s="7">
        <f t="shared" si="2"/>
        <v>-0.25</v>
      </c>
      <c r="K56" s="7">
        <f t="shared" si="3"/>
        <v>1.6666666666666673E-2</v>
      </c>
      <c r="L56" s="7">
        <f>E56-((E53+E54+E55)/3)</f>
        <v>0.66666666666666652</v>
      </c>
      <c r="M56" s="40">
        <f t="shared" si="4"/>
        <v>0.55999999999999994</v>
      </c>
      <c r="N56" s="7">
        <f t="shared" si="0"/>
        <v>0.5</v>
      </c>
      <c r="O56" s="8">
        <f t="shared" si="8"/>
        <v>0.2</v>
      </c>
      <c r="P56" s="14">
        <v>11</v>
      </c>
      <c r="Q56" s="8">
        <f t="shared" si="6"/>
        <v>0.36666666666666664</v>
      </c>
      <c r="R56" s="7">
        <v>0</v>
      </c>
      <c r="S56" s="14">
        <v>3</v>
      </c>
      <c r="T56" s="7">
        <v>3</v>
      </c>
      <c r="U56" s="8">
        <f t="shared" si="7"/>
        <v>1</v>
      </c>
      <c r="V56" s="10">
        <v>1</v>
      </c>
      <c r="W56" s="20">
        <f t="shared" si="9"/>
        <v>1.4958333333333331</v>
      </c>
    </row>
    <row r="57" spans="1:23" x14ac:dyDescent="0.3">
      <c r="A57" s="1">
        <v>46052</v>
      </c>
      <c r="B57">
        <v>16</v>
      </c>
      <c r="C57" t="s">
        <v>4</v>
      </c>
      <c r="D57" t="s">
        <v>47</v>
      </c>
      <c r="E57" s="3">
        <v>3</v>
      </c>
      <c r="F57" s="2">
        <v>1</v>
      </c>
      <c r="G57">
        <v>1</v>
      </c>
      <c r="H57">
        <v>4</v>
      </c>
      <c r="I57">
        <v>1</v>
      </c>
      <c r="J57">
        <f t="shared" si="2"/>
        <v>0.75</v>
      </c>
      <c r="K57">
        <f t="shared" si="3"/>
        <v>0.2166666666666667</v>
      </c>
      <c r="L57">
        <f>E57-((E58+E59+E60)/3)</f>
        <v>0</v>
      </c>
      <c r="M57" s="36">
        <f t="shared" si="4"/>
        <v>0.5</v>
      </c>
      <c r="N57">
        <f t="shared" si="0"/>
        <v>1.25</v>
      </c>
      <c r="O57" s="5">
        <f t="shared" si="8"/>
        <v>0.64999999999999991</v>
      </c>
      <c r="P57" s="2">
        <v>11</v>
      </c>
      <c r="Q57" s="5">
        <f t="shared" si="6"/>
        <v>0.66666666666666674</v>
      </c>
      <c r="R57">
        <v>1</v>
      </c>
      <c r="S57" s="2">
        <v>2</v>
      </c>
      <c r="T57">
        <v>1</v>
      </c>
      <c r="U57" s="5">
        <f t="shared" si="7"/>
        <v>0.5</v>
      </c>
      <c r="V57" s="9">
        <v>0</v>
      </c>
      <c r="W57" s="19">
        <f t="shared" si="9"/>
        <v>3.7458333333333327</v>
      </c>
    </row>
    <row r="58" spans="1:23" x14ac:dyDescent="0.3">
      <c r="A58" s="1">
        <v>46052</v>
      </c>
      <c r="B58">
        <v>16</v>
      </c>
      <c r="C58" t="s">
        <v>2</v>
      </c>
      <c r="D58" t="s">
        <v>43</v>
      </c>
      <c r="E58" s="3">
        <v>2</v>
      </c>
      <c r="F58" s="2">
        <v>0</v>
      </c>
      <c r="G58">
        <v>2</v>
      </c>
      <c r="H58">
        <v>4</v>
      </c>
      <c r="I58">
        <v>2</v>
      </c>
      <c r="J58">
        <f t="shared" si="2"/>
        <v>-0.25</v>
      </c>
      <c r="K58">
        <f t="shared" si="3"/>
        <v>0.41666666666666669</v>
      </c>
      <c r="L58">
        <f>E58-((E57+E59+E60)/3)</f>
        <v>-1.3333333333333335</v>
      </c>
      <c r="M58" s="36">
        <f t="shared" si="4"/>
        <v>0.38</v>
      </c>
      <c r="N58">
        <f t="shared" si="0"/>
        <v>1.125</v>
      </c>
      <c r="O58" s="5">
        <f t="shared" si="8"/>
        <v>0.57499999999999996</v>
      </c>
      <c r="P58" s="2">
        <v>11</v>
      </c>
      <c r="Q58" s="5">
        <f t="shared" si="6"/>
        <v>0.36666666666666664</v>
      </c>
      <c r="R58">
        <v>1</v>
      </c>
      <c r="S58" s="2">
        <v>3</v>
      </c>
      <c r="T58">
        <v>2</v>
      </c>
      <c r="U58" s="5">
        <f t="shared" si="7"/>
        <v>0.66666666666666663</v>
      </c>
      <c r="V58" s="9">
        <v>0</v>
      </c>
      <c r="W58" s="19">
        <f t="shared" si="9"/>
        <v>3.5166666666666666</v>
      </c>
    </row>
    <row r="59" spans="1:23" x14ac:dyDescent="0.3">
      <c r="A59" s="1">
        <v>46052</v>
      </c>
      <c r="B59">
        <v>16</v>
      </c>
      <c r="C59" t="s">
        <v>3</v>
      </c>
      <c r="D59" t="s">
        <v>25</v>
      </c>
      <c r="E59" s="3">
        <v>3</v>
      </c>
      <c r="F59" s="2">
        <v>0</v>
      </c>
      <c r="G59">
        <v>3</v>
      </c>
      <c r="H59">
        <v>4</v>
      </c>
      <c r="I59">
        <v>0</v>
      </c>
      <c r="J59">
        <f t="shared" si="2"/>
        <v>-0.25</v>
      </c>
      <c r="K59">
        <f t="shared" si="3"/>
        <v>1.6666666666666673E-2</v>
      </c>
      <c r="L59">
        <f>E59-((E57+E58+E60)/3)</f>
        <v>0</v>
      </c>
      <c r="M59" s="36">
        <f t="shared" si="4"/>
        <v>0.5</v>
      </c>
      <c r="N59">
        <f t="shared" si="0"/>
        <v>0.5</v>
      </c>
      <c r="O59" s="5">
        <f t="shared" si="8"/>
        <v>0.2</v>
      </c>
      <c r="P59" s="2">
        <v>10</v>
      </c>
      <c r="Q59" s="5">
        <f t="shared" si="6"/>
        <v>0.33333333333333331</v>
      </c>
      <c r="R59">
        <v>1</v>
      </c>
      <c r="S59" s="2">
        <v>1</v>
      </c>
      <c r="T59">
        <v>1</v>
      </c>
      <c r="U59" s="5">
        <f t="shared" si="7"/>
        <v>1</v>
      </c>
      <c r="V59" s="9">
        <v>0</v>
      </c>
      <c r="W59" s="19">
        <f t="shared" si="9"/>
        <v>3.2166666666666668</v>
      </c>
    </row>
    <row r="60" spans="1:23" x14ac:dyDescent="0.3">
      <c r="A60" s="32">
        <v>46052</v>
      </c>
      <c r="B60" s="7">
        <v>16</v>
      </c>
      <c r="C60" s="7" t="s">
        <v>6</v>
      </c>
      <c r="D60" s="7" t="s">
        <v>71</v>
      </c>
      <c r="E60" s="18">
        <v>4</v>
      </c>
      <c r="F60" s="14">
        <v>0</v>
      </c>
      <c r="G60" s="7">
        <v>3</v>
      </c>
      <c r="H60" s="7">
        <v>4</v>
      </c>
      <c r="I60" s="7">
        <v>0</v>
      </c>
      <c r="J60" s="7">
        <f t="shared" si="2"/>
        <v>-0.25</v>
      </c>
      <c r="K60" s="7">
        <f t="shared" si="3"/>
        <v>1.6666666666666673E-2</v>
      </c>
      <c r="L60" s="7">
        <f>E60-((E57+E58+E59)/3)</f>
        <v>1.3333333333333335</v>
      </c>
      <c r="M60" s="40">
        <f t="shared" si="4"/>
        <v>0.62</v>
      </c>
      <c r="N60" s="7">
        <f t="shared" si="0"/>
        <v>0.5</v>
      </c>
      <c r="O60" s="8">
        <f t="shared" si="8"/>
        <v>0.2</v>
      </c>
      <c r="P60" s="14">
        <v>10</v>
      </c>
      <c r="Q60" s="8">
        <f t="shared" si="6"/>
        <v>0.33333333333333331</v>
      </c>
      <c r="R60" s="7">
        <v>0</v>
      </c>
      <c r="S60" s="14">
        <v>2</v>
      </c>
      <c r="T60" s="7">
        <v>1</v>
      </c>
      <c r="U60" s="8">
        <f t="shared" si="7"/>
        <v>0.5</v>
      </c>
      <c r="V60" s="10">
        <v>1</v>
      </c>
      <c r="W60" s="20">
        <f t="shared" si="9"/>
        <v>1.0291666666666666</v>
      </c>
    </row>
    <row r="61" spans="1:23" x14ac:dyDescent="0.3">
      <c r="A61" s="1">
        <v>46052</v>
      </c>
      <c r="B61">
        <v>17</v>
      </c>
      <c r="C61" t="s">
        <v>5</v>
      </c>
      <c r="D61" t="s">
        <v>11</v>
      </c>
      <c r="E61" s="3">
        <v>2</v>
      </c>
      <c r="F61" s="2">
        <v>1</v>
      </c>
      <c r="G61">
        <v>1</v>
      </c>
      <c r="H61">
        <v>5</v>
      </c>
      <c r="I61">
        <v>2</v>
      </c>
      <c r="J61">
        <f t="shared" si="2"/>
        <v>0.8</v>
      </c>
      <c r="K61">
        <f t="shared" si="3"/>
        <v>0.40666666666666662</v>
      </c>
      <c r="L61">
        <f>E61-((E62+E63+E64+E65)/4)</f>
        <v>-1</v>
      </c>
      <c r="M61" s="36">
        <f t="shared" si="4"/>
        <v>0.41000000000000003</v>
      </c>
      <c r="N61">
        <f t="shared" si="0"/>
        <v>1.4</v>
      </c>
      <c r="O61" s="5">
        <f t="shared" si="8"/>
        <v>0.73999999999999988</v>
      </c>
      <c r="P61" s="2">
        <v>15</v>
      </c>
      <c r="Q61" s="5">
        <f t="shared" si="6"/>
        <v>0.5</v>
      </c>
      <c r="R61">
        <v>1</v>
      </c>
      <c r="S61" s="2">
        <v>1</v>
      </c>
      <c r="T61">
        <v>0</v>
      </c>
      <c r="U61" s="5">
        <f t="shared" si="7"/>
        <v>0</v>
      </c>
      <c r="V61" s="9">
        <v>0</v>
      </c>
      <c r="W61" s="19">
        <f t="shared" si="9"/>
        <v>3.2974999999999999</v>
      </c>
    </row>
    <row r="62" spans="1:23" x14ac:dyDescent="0.3">
      <c r="A62" s="1">
        <v>46052</v>
      </c>
      <c r="B62">
        <v>17</v>
      </c>
      <c r="C62" t="s">
        <v>6</v>
      </c>
      <c r="D62" t="s">
        <v>38</v>
      </c>
      <c r="E62" s="3">
        <v>2</v>
      </c>
      <c r="F62" s="2">
        <v>0</v>
      </c>
      <c r="G62">
        <v>2</v>
      </c>
      <c r="H62">
        <v>5</v>
      </c>
      <c r="I62">
        <v>1</v>
      </c>
      <c r="J62">
        <f t="shared" si="2"/>
        <v>-0.2</v>
      </c>
      <c r="K62">
        <f t="shared" si="3"/>
        <v>0.20666666666666664</v>
      </c>
      <c r="L62">
        <f>E62-((E61+E63+E64+E65)/4)</f>
        <v>-1</v>
      </c>
      <c r="M62" s="36">
        <f t="shared" si="4"/>
        <v>0.41000000000000003</v>
      </c>
      <c r="N62">
        <f t="shared" si="0"/>
        <v>0.96</v>
      </c>
      <c r="O62" s="5">
        <f t="shared" si="8"/>
        <v>0.47599999999999998</v>
      </c>
      <c r="P62" s="2">
        <v>15</v>
      </c>
      <c r="Q62" s="5">
        <f t="shared" si="6"/>
        <v>0.5</v>
      </c>
      <c r="R62">
        <v>1</v>
      </c>
      <c r="S62" s="2">
        <v>2</v>
      </c>
      <c r="T62">
        <v>1</v>
      </c>
      <c r="U62" s="5">
        <f t="shared" si="7"/>
        <v>0.5</v>
      </c>
      <c r="V62" s="9">
        <v>0</v>
      </c>
      <c r="W62" s="19">
        <f t="shared" si="9"/>
        <v>3.3389999999999995</v>
      </c>
    </row>
    <row r="63" spans="1:23" x14ac:dyDescent="0.3">
      <c r="A63" s="1">
        <v>46052</v>
      </c>
      <c r="B63">
        <v>17</v>
      </c>
      <c r="C63" t="s">
        <v>4</v>
      </c>
      <c r="D63" t="s">
        <v>72</v>
      </c>
      <c r="E63" s="3">
        <v>2</v>
      </c>
      <c r="F63" s="2">
        <v>0</v>
      </c>
      <c r="G63">
        <v>3</v>
      </c>
      <c r="H63">
        <v>5</v>
      </c>
      <c r="I63">
        <v>0</v>
      </c>
      <c r="J63">
        <f t="shared" si="2"/>
        <v>-0.2</v>
      </c>
      <c r="K63">
        <f t="shared" si="3"/>
        <v>6.6666666666666654E-3</v>
      </c>
      <c r="L63">
        <f>E63-((E61+E62+E64+E65)/4)</f>
        <v>-1</v>
      </c>
      <c r="M63" s="36">
        <f t="shared" si="4"/>
        <v>0.41000000000000003</v>
      </c>
      <c r="N63">
        <f t="shared" si="0"/>
        <v>0.6</v>
      </c>
      <c r="O63" s="5">
        <f t="shared" si="8"/>
        <v>0.26</v>
      </c>
      <c r="P63" s="2">
        <v>10</v>
      </c>
      <c r="Q63" s="5">
        <f t="shared" si="6"/>
        <v>0.33333333333333331</v>
      </c>
      <c r="R63">
        <v>0</v>
      </c>
      <c r="S63" s="2">
        <v>1</v>
      </c>
      <c r="T63">
        <v>0</v>
      </c>
      <c r="U63" s="5">
        <f t="shared" si="7"/>
        <v>0</v>
      </c>
      <c r="V63" s="9">
        <v>1</v>
      </c>
      <c r="W63" s="19">
        <f t="shared" si="9"/>
        <v>0.68166666666666664</v>
      </c>
    </row>
    <row r="64" spans="1:23" x14ac:dyDescent="0.3">
      <c r="A64" s="1">
        <v>46052</v>
      </c>
      <c r="B64">
        <v>17</v>
      </c>
      <c r="C64" t="s">
        <v>3</v>
      </c>
      <c r="D64" t="s">
        <v>44</v>
      </c>
      <c r="E64" s="3">
        <v>4</v>
      </c>
      <c r="F64" s="2">
        <v>0</v>
      </c>
      <c r="G64">
        <v>4</v>
      </c>
      <c r="H64">
        <v>5</v>
      </c>
      <c r="I64">
        <v>1</v>
      </c>
      <c r="J64">
        <f t="shared" si="2"/>
        <v>-0.2</v>
      </c>
      <c r="K64">
        <f t="shared" si="3"/>
        <v>0.20666666666666664</v>
      </c>
      <c r="L64">
        <f>E64-((E61+E62+E63+E65)/4)</f>
        <v>1.5</v>
      </c>
      <c r="M64" s="36">
        <f t="shared" si="4"/>
        <v>0.63500000000000001</v>
      </c>
      <c r="N64">
        <f t="shared" si="0"/>
        <v>0.48</v>
      </c>
      <c r="O64" s="5">
        <f t="shared" si="8"/>
        <v>0.188</v>
      </c>
      <c r="P64" s="2">
        <v>8</v>
      </c>
      <c r="Q64" s="5">
        <f t="shared" si="6"/>
        <v>0.26666666666666666</v>
      </c>
      <c r="R64">
        <v>1</v>
      </c>
      <c r="S64" s="2">
        <v>1</v>
      </c>
      <c r="T64">
        <v>0</v>
      </c>
      <c r="U64" s="5">
        <f t="shared" si="7"/>
        <v>0</v>
      </c>
      <c r="V64" s="9">
        <v>0</v>
      </c>
      <c r="W64" s="19">
        <f t="shared" si="9"/>
        <v>2.2653333333333334</v>
      </c>
    </row>
    <row r="65" spans="1:23" x14ac:dyDescent="0.3">
      <c r="A65" s="32">
        <v>46052</v>
      </c>
      <c r="B65" s="7">
        <v>17</v>
      </c>
      <c r="C65" s="7" t="s">
        <v>2</v>
      </c>
      <c r="D65" s="7" t="s">
        <v>42</v>
      </c>
      <c r="E65" s="18">
        <v>4</v>
      </c>
      <c r="F65" s="14">
        <v>0</v>
      </c>
      <c r="G65" s="7">
        <v>5</v>
      </c>
      <c r="H65" s="7">
        <v>5</v>
      </c>
      <c r="I65" s="7">
        <v>0</v>
      </c>
      <c r="J65" s="7">
        <f t="shared" si="2"/>
        <v>-0.2</v>
      </c>
      <c r="K65" s="7">
        <f t="shared" si="3"/>
        <v>6.6666666666666654E-3</v>
      </c>
      <c r="L65" s="7">
        <f>E65-((E61+E62+E63+E64)/4)</f>
        <v>1.5</v>
      </c>
      <c r="M65" s="40">
        <f t="shared" si="4"/>
        <v>0.63500000000000001</v>
      </c>
      <c r="N65" s="7">
        <f t="shared" si="0"/>
        <v>0.2</v>
      </c>
      <c r="O65" s="8">
        <f t="shared" si="8"/>
        <v>2.0000000000000011E-2</v>
      </c>
      <c r="P65" s="14">
        <v>8</v>
      </c>
      <c r="Q65" s="8">
        <f t="shared" si="6"/>
        <v>0.26666666666666666</v>
      </c>
      <c r="R65" s="7">
        <v>0</v>
      </c>
      <c r="S65" s="14">
        <v>0</v>
      </c>
      <c r="T65" s="7">
        <v>0</v>
      </c>
      <c r="U65" s="8">
        <f t="shared" si="7"/>
        <v>1</v>
      </c>
      <c r="V65" s="10">
        <v>1</v>
      </c>
      <c r="W65" s="20">
        <f t="shared" si="9"/>
        <v>1.1383333333333332</v>
      </c>
    </row>
    <row r="66" spans="1:23" x14ac:dyDescent="0.3">
      <c r="A66" s="1">
        <v>46059</v>
      </c>
      <c r="B66">
        <v>18</v>
      </c>
      <c r="C66" t="s">
        <v>6</v>
      </c>
      <c r="D66" t="s">
        <v>48</v>
      </c>
      <c r="E66" s="3">
        <v>3</v>
      </c>
      <c r="F66" s="2">
        <v>1</v>
      </c>
      <c r="G66">
        <v>1</v>
      </c>
      <c r="H66">
        <v>5</v>
      </c>
      <c r="I66">
        <v>2</v>
      </c>
      <c r="J66">
        <f t="shared" si="2"/>
        <v>0.8</v>
      </c>
      <c r="K66">
        <f t="shared" si="3"/>
        <v>0.40666666666666662</v>
      </c>
      <c r="L66">
        <f>E66-((E67+E68+E69+E70)/4)</f>
        <v>1</v>
      </c>
      <c r="M66" s="36">
        <f t="shared" si="4"/>
        <v>0.59</v>
      </c>
      <c r="N66">
        <f t="shared" si="0"/>
        <v>1.4</v>
      </c>
      <c r="O66" s="5">
        <f t="shared" si="8"/>
        <v>0.73999999999999988</v>
      </c>
      <c r="P66" s="2">
        <v>10</v>
      </c>
      <c r="Q66" s="5">
        <f t="shared" si="6"/>
        <v>0.70833333333333326</v>
      </c>
      <c r="R66">
        <v>1</v>
      </c>
      <c r="S66" s="2">
        <v>1</v>
      </c>
      <c r="T66">
        <v>0</v>
      </c>
      <c r="U66" s="5">
        <f t="shared" si="7"/>
        <v>0</v>
      </c>
      <c r="V66" s="9">
        <v>0</v>
      </c>
      <c r="W66" s="19">
        <f t="shared" si="9"/>
        <v>3.4797916666666664</v>
      </c>
    </row>
    <row r="67" spans="1:23" x14ac:dyDescent="0.3">
      <c r="A67" s="1">
        <v>46059</v>
      </c>
      <c r="B67">
        <v>18</v>
      </c>
      <c r="C67" t="s">
        <v>5</v>
      </c>
      <c r="D67" t="s">
        <v>11</v>
      </c>
      <c r="E67" s="3">
        <v>2</v>
      </c>
      <c r="F67" s="2">
        <v>0</v>
      </c>
      <c r="G67">
        <v>2</v>
      </c>
      <c r="H67">
        <v>5</v>
      </c>
      <c r="I67">
        <v>0</v>
      </c>
      <c r="J67">
        <f t="shared" si="2"/>
        <v>-0.2</v>
      </c>
      <c r="K67">
        <f t="shared" si="3"/>
        <v>6.6666666666666654E-3</v>
      </c>
      <c r="L67">
        <f>E67-((E66+E68+E69+E70)/4)</f>
        <v>-0.25</v>
      </c>
      <c r="M67" s="36">
        <f t="shared" si="4"/>
        <v>0.47749999999999998</v>
      </c>
      <c r="N67">
        <f t="shared" si="0"/>
        <v>0.8</v>
      </c>
      <c r="O67" s="5">
        <f t="shared" si="8"/>
        <v>0.38</v>
      </c>
      <c r="P67" s="2">
        <v>10</v>
      </c>
      <c r="Q67" s="5">
        <f t="shared" si="6"/>
        <v>0.33333333333333331</v>
      </c>
      <c r="R67">
        <v>0</v>
      </c>
      <c r="S67" s="2">
        <v>2</v>
      </c>
      <c r="T67">
        <v>2</v>
      </c>
      <c r="U67" s="5">
        <f t="shared" si="7"/>
        <v>1</v>
      </c>
      <c r="V67" s="9">
        <v>0</v>
      </c>
      <c r="W67" s="19">
        <f t="shared" si="9"/>
        <v>2.6116666666666664</v>
      </c>
    </row>
    <row r="68" spans="1:23" x14ac:dyDescent="0.3">
      <c r="A68" s="1">
        <v>46059</v>
      </c>
      <c r="B68">
        <v>18</v>
      </c>
      <c r="C68" t="s">
        <v>49</v>
      </c>
      <c r="D68" t="s">
        <v>50</v>
      </c>
      <c r="E68" s="3">
        <v>2</v>
      </c>
      <c r="F68" s="2">
        <v>0</v>
      </c>
      <c r="G68">
        <v>2</v>
      </c>
      <c r="H68">
        <v>5</v>
      </c>
      <c r="I68">
        <v>2</v>
      </c>
      <c r="J68">
        <f t="shared" si="2"/>
        <v>-0.2</v>
      </c>
      <c r="K68">
        <f t="shared" si="3"/>
        <v>0.40666666666666662</v>
      </c>
      <c r="L68">
        <f>E68-((E66+E67+E69+E70)/4)</f>
        <v>-0.25</v>
      </c>
      <c r="M68" s="36">
        <f t="shared" ref="M68:M81" si="10">0.5 + (L68 * 0.09)</f>
        <v>0.47749999999999998</v>
      </c>
      <c r="N68">
        <f t="shared" si="0"/>
        <v>1.1199999999999999</v>
      </c>
      <c r="O68" s="5">
        <f t="shared" si="8"/>
        <v>0.57199999999999995</v>
      </c>
      <c r="P68" s="2">
        <v>10</v>
      </c>
      <c r="Q68" s="5">
        <f t="shared" si="6"/>
        <v>0.33333333333333331</v>
      </c>
      <c r="R68">
        <v>0</v>
      </c>
      <c r="S68" s="2">
        <v>1</v>
      </c>
      <c r="T68">
        <v>0</v>
      </c>
      <c r="U68" s="5">
        <f t="shared" si="7"/>
        <v>0</v>
      </c>
      <c r="V68" s="9">
        <v>0</v>
      </c>
      <c r="W68" s="19">
        <f t="shared" si="9"/>
        <v>2.0246666666666662</v>
      </c>
    </row>
    <row r="69" spans="1:23" x14ac:dyDescent="0.3">
      <c r="A69" s="1">
        <v>46059</v>
      </c>
      <c r="B69">
        <v>18</v>
      </c>
      <c r="C69" t="s">
        <v>73</v>
      </c>
      <c r="D69" t="s">
        <v>26</v>
      </c>
      <c r="E69" s="3">
        <v>2</v>
      </c>
      <c r="F69" s="2">
        <v>0</v>
      </c>
      <c r="G69">
        <v>4</v>
      </c>
      <c r="H69">
        <v>5</v>
      </c>
      <c r="I69">
        <v>0</v>
      </c>
      <c r="J69">
        <f t="shared" si="2"/>
        <v>-0.2</v>
      </c>
      <c r="K69">
        <f t="shared" si="3"/>
        <v>6.6666666666666654E-3</v>
      </c>
      <c r="L69">
        <f>E69-((E66+E67+E68+E70)/4)</f>
        <v>-0.25</v>
      </c>
      <c r="M69" s="36">
        <f t="shared" si="10"/>
        <v>0.47749999999999998</v>
      </c>
      <c r="N69">
        <f t="shared" si="0"/>
        <v>0.4</v>
      </c>
      <c r="O69" s="5">
        <f t="shared" si="8"/>
        <v>0.14000000000000001</v>
      </c>
      <c r="P69" s="2">
        <v>9</v>
      </c>
      <c r="Q69" s="5">
        <f t="shared" si="6"/>
        <v>0.3</v>
      </c>
      <c r="R69">
        <v>1</v>
      </c>
      <c r="S69" s="2">
        <v>1</v>
      </c>
      <c r="T69">
        <v>0</v>
      </c>
      <c r="U69" s="5">
        <f t="shared" si="7"/>
        <v>0</v>
      </c>
      <c r="V69" s="9">
        <v>0</v>
      </c>
      <c r="W69" s="19">
        <f t="shared" si="9"/>
        <v>2.2224999999999997</v>
      </c>
    </row>
    <row r="70" spans="1:23" x14ac:dyDescent="0.3">
      <c r="A70" s="32">
        <v>46059</v>
      </c>
      <c r="B70" s="7">
        <v>18</v>
      </c>
      <c r="C70" s="7" t="s">
        <v>2</v>
      </c>
      <c r="D70" s="7" t="s">
        <v>52</v>
      </c>
      <c r="E70" s="18">
        <v>2</v>
      </c>
      <c r="F70" s="14">
        <v>0</v>
      </c>
      <c r="G70" s="7">
        <v>5</v>
      </c>
      <c r="H70" s="7">
        <v>5</v>
      </c>
      <c r="I70" s="7">
        <v>0</v>
      </c>
      <c r="J70" s="7">
        <f t="shared" si="2"/>
        <v>-0.2</v>
      </c>
      <c r="K70" s="7">
        <f t="shared" si="3"/>
        <v>6.6666666666666654E-3</v>
      </c>
      <c r="L70" s="7">
        <f>E70-((E66+E67+E68+E69)/4)</f>
        <v>-0.25</v>
      </c>
      <c r="M70" s="40">
        <f t="shared" si="10"/>
        <v>0.47749999999999998</v>
      </c>
      <c r="N70" s="7">
        <f t="shared" si="0"/>
        <v>0.2</v>
      </c>
      <c r="O70" s="8">
        <f t="shared" si="8"/>
        <v>2.0000000000000011E-2</v>
      </c>
      <c r="P70" s="14">
        <v>8</v>
      </c>
      <c r="Q70" s="8">
        <f t="shared" si="6"/>
        <v>0.26666666666666666</v>
      </c>
      <c r="R70" s="7">
        <v>0</v>
      </c>
      <c r="S70" s="14">
        <v>1</v>
      </c>
      <c r="T70" s="7">
        <v>1</v>
      </c>
      <c r="U70" s="8">
        <f t="shared" si="7"/>
        <v>1</v>
      </c>
      <c r="V70" s="10">
        <v>0</v>
      </c>
      <c r="W70" s="20">
        <f t="shared" si="9"/>
        <v>2.0133333333333332</v>
      </c>
    </row>
    <row r="71" spans="1:23" x14ac:dyDescent="0.3">
      <c r="A71" s="1">
        <v>46059</v>
      </c>
      <c r="B71">
        <v>19</v>
      </c>
      <c r="C71" t="s">
        <v>5</v>
      </c>
      <c r="D71" t="s">
        <v>11</v>
      </c>
      <c r="E71" s="3">
        <v>2</v>
      </c>
      <c r="F71" s="2">
        <v>1</v>
      </c>
      <c r="G71">
        <v>1</v>
      </c>
      <c r="H71">
        <v>4</v>
      </c>
      <c r="I71">
        <v>1</v>
      </c>
      <c r="J71">
        <f t="shared" si="2"/>
        <v>0.75</v>
      </c>
      <c r="K71">
        <f t="shared" si="3"/>
        <v>0.2166666666666667</v>
      </c>
      <c r="L71">
        <f>E71-((E72+E73+E74)/3)</f>
        <v>-0.66666666666666652</v>
      </c>
      <c r="M71" s="36">
        <f t="shared" si="10"/>
        <v>0.44</v>
      </c>
      <c r="N71">
        <f t="shared" si="0"/>
        <v>1.25</v>
      </c>
      <c r="O71" s="5">
        <f t="shared" si="8"/>
        <v>0.64999999999999991</v>
      </c>
      <c r="P71" s="2">
        <v>9</v>
      </c>
      <c r="Q71" s="5">
        <f t="shared" si="6"/>
        <v>0.75</v>
      </c>
      <c r="R71">
        <v>1</v>
      </c>
      <c r="S71" s="2">
        <v>0</v>
      </c>
      <c r="T71">
        <v>0</v>
      </c>
      <c r="U71" s="5">
        <f t="shared" si="7"/>
        <v>1</v>
      </c>
      <c r="V71" s="9">
        <v>0</v>
      </c>
      <c r="W71" s="19">
        <f t="shared" si="9"/>
        <v>4.2562500000000005</v>
      </c>
    </row>
    <row r="72" spans="1:23" x14ac:dyDescent="0.3">
      <c r="A72" s="1">
        <v>46059</v>
      </c>
      <c r="B72">
        <v>19</v>
      </c>
      <c r="C72" t="s">
        <v>2</v>
      </c>
      <c r="D72" t="s">
        <v>36</v>
      </c>
      <c r="E72" s="3">
        <v>2</v>
      </c>
      <c r="F72" s="2">
        <v>0</v>
      </c>
      <c r="G72">
        <v>2</v>
      </c>
      <c r="H72">
        <v>4</v>
      </c>
      <c r="I72">
        <v>1</v>
      </c>
      <c r="J72">
        <f t="shared" si="2"/>
        <v>-0.25</v>
      </c>
      <c r="K72">
        <f t="shared" si="3"/>
        <v>0.2166666666666667</v>
      </c>
      <c r="L72">
        <f>E72-((E71+E73+E74)/3)</f>
        <v>-0.66666666666666652</v>
      </c>
      <c r="M72" s="36">
        <f t="shared" si="10"/>
        <v>0.44</v>
      </c>
      <c r="N72">
        <f t="shared" si="0"/>
        <v>0.9375</v>
      </c>
      <c r="O72" s="5">
        <f t="shared" si="8"/>
        <v>0.46250000000000002</v>
      </c>
      <c r="P72" s="2">
        <v>9</v>
      </c>
      <c r="Q72" s="5">
        <f t="shared" si="6"/>
        <v>0.3</v>
      </c>
      <c r="R72">
        <v>1</v>
      </c>
      <c r="S72" s="2">
        <v>1</v>
      </c>
      <c r="T72">
        <v>1</v>
      </c>
      <c r="U72" s="5">
        <f t="shared" si="7"/>
        <v>1</v>
      </c>
      <c r="V72" s="9">
        <v>0</v>
      </c>
      <c r="W72" s="19">
        <f t="shared" si="9"/>
        <v>3.5812500000000003</v>
      </c>
    </row>
    <row r="73" spans="1:23" x14ac:dyDescent="0.3">
      <c r="A73" s="1">
        <v>46059</v>
      </c>
      <c r="B73">
        <v>19</v>
      </c>
      <c r="C73" t="s">
        <v>6</v>
      </c>
      <c r="D73" t="s">
        <v>46</v>
      </c>
      <c r="E73" s="3">
        <v>3</v>
      </c>
      <c r="F73" s="2">
        <v>0</v>
      </c>
      <c r="G73">
        <v>3</v>
      </c>
      <c r="H73">
        <v>4</v>
      </c>
      <c r="I73">
        <v>1</v>
      </c>
      <c r="J73">
        <f t="shared" si="2"/>
        <v>-0.25</v>
      </c>
      <c r="K73">
        <f t="shared" si="3"/>
        <v>0.2166666666666667</v>
      </c>
      <c r="L73">
        <f>E73-((E71+E72+E74)/3)</f>
        <v>0.66666666666666652</v>
      </c>
      <c r="M73" s="36">
        <f t="shared" si="10"/>
        <v>0.55999999999999994</v>
      </c>
      <c r="N73">
        <f t="shared" si="0"/>
        <v>0.625</v>
      </c>
      <c r="O73" s="5">
        <f t="shared" si="8"/>
        <v>0.27500000000000002</v>
      </c>
      <c r="P73" s="2">
        <v>8</v>
      </c>
      <c r="Q73" s="5">
        <f t="shared" si="6"/>
        <v>0.26666666666666666</v>
      </c>
      <c r="R73">
        <v>1</v>
      </c>
      <c r="S73" s="2">
        <v>0</v>
      </c>
      <c r="T73">
        <v>0</v>
      </c>
      <c r="U73" s="5">
        <f t="shared" si="7"/>
        <v>1</v>
      </c>
      <c r="V73" s="9">
        <v>0</v>
      </c>
      <c r="W73" s="19">
        <f t="shared" si="9"/>
        <v>3.270833333333333</v>
      </c>
    </row>
    <row r="74" spans="1:23" x14ac:dyDescent="0.3">
      <c r="A74" s="32">
        <v>46059</v>
      </c>
      <c r="B74" s="7">
        <v>19</v>
      </c>
      <c r="C74" s="7" t="s">
        <v>73</v>
      </c>
      <c r="D74" s="7" t="s">
        <v>53</v>
      </c>
      <c r="E74" s="18">
        <v>3</v>
      </c>
      <c r="F74" s="14">
        <v>0</v>
      </c>
      <c r="G74" s="7">
        <v>4</v>
      </c>
      <c r="H74" s="7">
        <v>4</v>
      </c>
      <c r="I74" s="7">
        <v>0</v>
      </c>
      <c r="J74" s="7">
        <f t="shared" ref="J74:J126" si="11">F74-(1/H74)</f>
        <v>-0.25</v>
      </c>
      <c r="K74" s="7">
        <f t="shared" ref="K74:K126" si="12">((I74-((H74-1)/H74))-(-5/6))/((5-(5/6))-(-5/6))</f>
        <v>1.6666666666666673E-2</v>
      </c>
      <c r="L74" s="7">
        <f>E74-((E71+E72+E73)/3)</f>
        <v>0.66666666666666652</v>
      </c>
      <c r="M74" s="40">
        <f>0.5 + (L74 * 0.09)</f>
        <v>0.55999999999999994</v>
      </c>
      <c r="N74" s="7">
        <f t="shared" ref="N74:N126" si="13">((H74-(G74-1))/H74)*(IF(I74&lt;&gt;0,(I74+H74)/H74,1))</f>
        <v>0.25</v>
      </c>
      <c r="O74" s="8">
        <f t="shared" ref="O74:O126" si="14">(N74-(1/6))/(10/6)</f>
        <v>0.05</v>
      </c>
      <c r="P74" s="14">
        <v>7</v>
      </c>
      <c r="Q74" s="8">
        <f t="shared" ref="Q74:Q126" si="15">IF(F74=1,(((1-((P74-3)/12))*0.5)+0.5),((P74/15)*0.5))</f>
        <v>0.23333333333333334</v>
      </c>
      <c r="R74" s="7">
        <v>0</v>
      </c>
      <c r="S74" s="14">
        <v>1</v>
      </c>
      <c r="T74" s="7">
        <v>0</v>
      </c>
      <c r="U74" s="8">
        <f t="shared" ref="U74:U126" si="16">IFERROR(T74/S74, 1)</f>
        <v>0</v>
      </c>
      <c r="V74" s="10">
        <v>0</v>
      </c>
      <c r="W74" s="20">
        <f t="shared" ref="W74:W126" si="17">5*((O74*0.3)+(Q74*0.175)+(R74*0.175)+(U74*0.175)+((1-V74)*0.175))</f>
        <v>1.1541666666666668</v>
      </c>
    </row>
    <row r="75" spans="1:23" x14ac:dyDescent="0.3">
      <c r="A75" s="1">
        <v>46066</v>
      </c>
      <c r="B75">
        <v>20</v>
      </c>
      <c r="C75" t="s">
        <v>4</v>
      </c>
      <c r="D75" t="s">
        <v>47</v>
      </c>
      <c r="E75" s="3">
        <v>3</v>
      </c>
      <c r="F75" s="2">
        <v>1</v>
      </c>
      <c r="G75">
        <v>1</v>
      </c>
      <c r="H75">
        <v>4</v>
      </c>
      <c r="I75">
        <v>2</v>
      </c>
      <c r="J75">
        <f t="shared" si="11"/>
        <v>0.75</v>
      </c>
      <c r="K75">
        <f t="shared" si="12"/>
        <v>0.41666666666666669</v>
      </c>
      <c r="L75">
        <f>E75-((E76+E77+E78)/3)</f>
        <v>0</v>
      </c>
      <c r="M75" s="36">
        <f t="shared" si="10"/>
        <v>0.5</v>
      </c>
      <c r="N75">
        <f t="shared" si="13"/>
        <v>1.5</v>
      </c>
      <c r="O75" s="5">
        <f t="shared" si="14"/>
        <v>0.79999999999999993</v>
      </c>
      <c r="P75" s="2">
        <v>9</v>
      </c>
      <c r="Q75" s="5">
        <f t="shared" si="15"/>
        <v>0.75</v>
      </c>
      <c r="R75">
        <v>1</v>
      </c>
      <c r="S75" s="2">
        <v>0</v>
      </c>
      <c r="T75">
        <v>0</v>
      </c>
      <c r="U75" s="5">
        <f t="shared" si="16"/>
        <v>1</v>
      </c>
      <c r="V75" s="9">
        <v>0</v>
      </c>
      <c r="W75" s="19">
        <f t="shared" si="17"/>
        <v>4.4812500000000002</v>
      </c>
    </row>
    <row r="76" spans="1:23" x14ac:dyDescent="0.3">
      <c r="A76" s="1">
        <v>46066</v>
      </c>
      <c r="B76">
        <v>20</v>
      </c>
      <c r="C76" t="s">
        <v>3</v>
      </c>
      <c r="D76" t="s">
        <v>25</v>
      </c>
      <c r="E76" s="3">
        <v>3</v>
      </c>
      <c r="F76" s="2">
        <v>0</v>
      </c>
      <c r="G76">
        <v>2</v>
      </c>
      <c r="H76">
        <v>4</v>
      </c>
      <c r="I76">
        <v>1</v>
      </c>
      <c r="J76">
        <f t="shared" si="11"/>
        <v>-0.25</v>
      </c>
      <c r="K76">
        <f t="shared" si="12"/>
        <v>0.2166666666666667</v>
      </c>
      <c r="L76">
        <f>E76-((E75+E77+E78)/3)</f>
        <v>0</v>
      </c>
      <c r="M76" s="36">
        <f t="shared" si="10"/>
        <v>0.5</v>
      </c>
      <c r="N76">
        <f t="shared" si="13"/>
        <v>0.9375</v>
      </c>
      <c r="O76" s="5">
        <f t="shared" si="14"/>
        <v>0.46250000000000002</v>
      </c>
      <c r="P76" s="2">
        <v>9</v>
      </c>
      <c r="Q76" s="5">
        <f t="shared" si="15"/>
        <v>0.3</v>
      </c>
      <c r="R76">
        <v>0</v>
      </c>
      <c r="S76" s="2">
        <v>0</v>
      </c>
      <c r="T76">
        <v>0</v>
      </c>
      <c r="U76" s="5">
        <f t="shared" si="16"/>
        <v>1</v>
      </c>
      <c r="V76" s="9">
        <v>0</v>
      </c>
      <c r="W76" s="19">
        <f t="shared" si="17"/>
        <v>2.7062499999999998</v>
      </c>
    </row>
    <row r="77" spans="1:23" x14ac:dyDescent="0.3">
      <c r="A77" s="1">
        <v>46066</v>
      </c>
      <c r="B77">
        <v>20</v>
      </c>
      <c r="C77" t="s">
        <v>6</v>
      </c>
      <c r="D77" t="s">
        <v>74</v>
      </c>
      <c r="E77" s="3">
        <v>4</v>
      </c>
      <c r="F77" s="2">
        <v>0</v>
      </c>
      <c r="G77">
        <v>3</v>
      </c>
      <c r="H77">
        <v>4</v>
      </c>
      <c r="I77">
        <v>0</v>
      </c>
      <c r="J77">
        <f t="shared" si="11"/>
        <v>-0.25</v>
      </c>
      <c r="K77">
        <f t="shared" si="12"/>
        <v>1.6666666666666673E-2</v>
      </c>
      <c r="L77">
        <f>E77-((E75+E76+E78)/3)</f>
        <v>1.3333333333333335</v>
      </c>
      <c r="M77" s="36">
        <f t="shared" si="10"/>
        <v>0.62</v>
      </c>
      <c r="N77">
        <f t="shared" si="13"/>
        <v>0.5</v>
      </c>
      <c r="O77" s="5">
        <f t="shared" si="14"/>
        <v>0.2</v>
      </c>
      <c r="P77" s="2">
        <v>8</v>
      </c>
      <c r="Q77" s="5">
        <f t="shared" si="15"/>
        <v>0.26666666666666666</v>
      </c>
      <c r="R77">
        <v>0</v>
      </c>
      <c r="S77" s="2">
        <v>2</v>
      </c>
      <c r="T77">
        <v>1</v>
      </c>
      <c r="U77" s="5">
        <f t="shared" si="16"/>
        <v>0.5</v>
      </c>
      <c r="V77" s="9">
        <v>0</v>
      </c>
      <c r="W77" s="19">
        <f t="shared" si="17"/>
        <v>1.8458333333333332</v>
      </c>
    </row>
    <row r="78" spans="1:23" x14ac:dyDescent="0.3">
      <c r="A78" s="32">
        <v>46066</v>
      </c>
      <c r="B78" s="7">
        <v>20</v>
      </c>
      <c r="C78" s="7" t="s">
        <v>2</v>
      </c>
      <c r="D78" s="7" t="s">
        <v>75</v>
      </c>
      <c r="E78" s="18">
        <v>2</v>
      </c>
      <c r="F78" s="14">
        <v>0</v>
      </c>
      <c r="G78" s="7">
        <v>4</v>
      </c>
      <c r="H78" s="7">
        <v>4</v>
      </c>
      <c r="I78" s="7">
        <v>0</v>
      </c>
      <c r="J78" s="7">
        <f t="shared" si="11"/>
        <v>-0.25</v>
      </c>
      <c r="K78" s="7">
        <f t="shared" si="12"/>
        <v>1.6666666666666673E-2</v>
      </c>
      <c r="L78" s="7">
        <f>E78-((E75+E76+E77)/3)</f>
        <v>-1.3333333333333335</v>
      </c>
      <c r="M78" s="40">
        <f>0.5 + (L78 * 0.09)</f>
        <v>0.38</v>
      </c>
      <c r="N78" s="7">
        <f t="shared" si="13"/>
        <v>0.25</v>
      </c>
      <c r="O78" s="8">
        <f t="shared" si="14"/>
        <v>0.05</v>
      </c>
      <c r="P78" s="14">
        <v>8</v>
      </c>
      <c r="Q78" s="8">
        <f t="shared" si="15"/>
        <v>0.26666666666666666</v>
      </c>
      <c r="R78" s="7">
        <v>1</v>
      </c>
      <c r="S78" s="14">
        <v>0</v>
      </c>
      <c r="T78" s="7">
        <v>0</v>
      </c>
      <c r="U78" s="8">
        <f t="shared" si="16"/>
        <v>1</v>
      </c>
      <c r="V78" s="10">
        <v>0</v>
      </c>
      <c r="W78" s="20">
        <f t="shared" si="17"/>
        <v>2.9333333333333336</v>
      </c>
    </row>
    <row r="79" spans="1:23" x14ac:dyDescent="0.3">
      <c r="A79" s="1">
        <v>46066</v>
      </c>
      <c r="B79">
        <v>21</v>
      </c>
      <c r="C79" t="s">
        <v>3</v>
      </c>
      <c r="D79" t="s">
        <v>39</v>
      </c>
      <c r="E79" s="3">
        <v>3</v>
      </c>
      <c r="F79" s="2">
        <v>1</v>
      </c>
      <c r="G79">
        <v>1</v>
      </c>
      <c r="H79">
        <v>4</v>
      </c>
      <c r="I79">
        <v>2</v>
      </c>
      <c r="J79">
        <f t="shared" si="11"/>
        <v>0.75</v>
      </c>
      <c r="K79">
        <f t="shared" si="12"/>
        <v>0.41666666666666669</v>
      </c>
      <c r="L79">
        <f>E79-((E80+E81+E82)/3)</f>
        <v>0.33333333333333348</v>
      </c>
      <c r="M79" s="36">
        <f t="shared" si="10"/>
        <v>0.53</v>
      </c>
      <c r="N79">
        <f t="shared" si="13"/>
        <v>1.5</v>
      </c>
      <c r="O79" s="5">
        <f t="shared" si="14"/>
        <v>0.79999999999999993</v>
      </c>
      <c r="P79" s="2">
        <v>10</v>
      </c>
      <c r="Q79" s="5">
        <f t="shared" si="15"/>
        <v>0.70833333333333326</v>
      </c>
      <c r="R79">
        <v>1</v>
      </c>
      <c r="S79" s="2">
        <v>1</v>
      </c>
      <c r="T79">
        <v>0</v>
      </c>
      <c r="U79" s="5">
        <f t="shared" si="16"/>
        <v>0</v>
      </c>
      <c r="V79" s="9">
        <v>0</v>
      </c>
      <c r="W79" s="19">
        <f t="shared" si="17"/>
        <v>3.5697916666666663</v>
      </c>
    </row>
    <row r="80" spans="1:23" x14ac:dyDescent="0.3">
      <c r="A80" s="1">
        <v>46066</v>
      </c>
      <c r="B80">
        <v>21</v>
      </c>
      <c r="C80" t="s">
        <v>4</v>
      </c>
      <c r="D80" t="s">
        <v>72</v>
      </c>
      <c r="E80" s="3">
        <v>2</v>
      </c>
      <c r="F80" s="2">
        <v>0</v>
      </c>
      <c r="G80">
        <v>2</v>
      </c>
      <c r="H80">
        <v>4</v>
      </c>
      <c r="I80">
        <v>0</v>
      </c>
      <c r="J80">
        <f t="shared" si="11"/>
        <v>-0.25</v>
      </c>
      <c r="K80">
        <f t="shared" si="12"/>
        <v>1.6666666666666673E-2</v>
      </c>
      <c r="L80">
        <f>E80-((E79+E81+E82)/3)</f>
        <v>-1</v>
      </c>
      <c r="M80" s="36">
        <f t="shared" si="10"/>
        <v>0.41000000000000003</v>
      </c>
      <c r="N80">
        <f t="shared" si="13"/>
        <v>0.75</v>
      </c>
      <c r="O80" s="5">
        <f t="shared" si="14"/>
        <v>0.35000000000000003</v>
      </c>
      <c r="P80" s="2">
        <v>10</v>
      </c>
      <c r="Q80" s="5">
        <f t="shared" si="15"/>
        <v>0.33333333333333331</v>
      </c>
      <c r="R80">
        <v>0</v>
      </c>
      <c r="S80" s="2">
        <v>1</v>
      </c>
      <c r="T80">
        <v>0</v>
      </c>
      <c r="U80" s="5">
        <f t="shared" si="16"/>
        <v>0</v>
      </c>
      <c r="V80" s="9">
        <v>1</v>
      </c>
      <c r="W80" s="19">
        <f t="shared" si="17"/>
        <v>0.81666666666666665</v>
      </c>
    </row>
    <row r="81" spans="1:23" x14ac:dyDescent="0.3">
      <c r="A81" s="1">
        <v>46066</v>
      </c>
      <c r="B81">
        <v>21</v>
      </c>
      <c r="C81" t="s">
        <v>2</v>
      </c>
      <c r="D81" t="s">
        <v>76</v>
      </c>
      <c r="E81" s="3">
        <v>2</v>
      </c>
      <c r="F81" s="2">
        <v>0</v>
      </c>
      <c r="G81">
        <v>3</v>
      </c>
      <c r="H81">
        <v>4</v>
      </c>
      <c r="I81">
        <v>1</v>
      </c>
      <c r="J81">
        <f t="shared" si="11"/>
        <v>-0.25</v>
      </c>
      <c r="K81">
        <f t="shared" si="12"/>
        <v>0.2166666666666667</v>
      </c>
      <c r="L81">
        <f>E81-((E79+E80+E82)/3)</f>
        <v>-1</v>
      </c>
      <c r="M81" s="36">
        <f t="shared" si="10"/>
        <v>0.41000000000000003</v>
      </c>
      <c r="N81">
        <f t="shared" si="13"/>
        <v>0.625</v>
      </c>
      <c r="O81" s="5">
        <f t="shared" si="14"/>
        <v>0.27500000000000002</v>
      </c>
      <c r="P81" s="2">
        <v>9</v>
      </c>
      <c r="Q81" s="5">
        <f t="shared" si="15"/>
        <v>0.3</v>
      </c>
      <c r="R81">
        <v>1</v>
      </c>
      <c r="S81" s="2">
        <v>1</v>
      </c>
      <c r="T81">
        <v>0</v>
      </c>
      <c r="U81" s="5">
        <f t="shared" si="16"/>
        <v>0</v>
      </c>
      <c r="V81" s="9">
        <v>0</v>
      </c>
      <c r="W81" s="19">
        <f t="shared" si="17"/>
        <v>2.4249999999999998</v>
      </c>
    </row>
    <row r="82" spans="1:23" x14ac:dyDescent="0.3">
      <c r="A82" s="32">
        <v>46066</v>
      </c>
      <c r="B82" s="7">
        <v>21</v>
      </c>
      <c r="C82" s="7" t="s">
        <v>6</v>
      </c>
      <c r="D82" s="7" t="s">
        <v>71</v>
      </c>
      <c r="E82" s="18">
        <v>4</v>
      </c>
      <c r="F82" s="14">
        <v>0</v>
      </c>
      <c r="G82" s="7">
        <v>4</v>
      </c>
      <c r="H82" s="7">
        <v>4</v>
      </c>
      <c r="I82" s="7">
        <v>0</v>
      </c>
      <c r="J82" s="7">
        <f t="shared" si="11"/>
        <v>-0.25</v>
      </c>
      <c r="K82" s="7">
        <f t="shared" si="12"/>
        <v>1.6666666666666673E-2</v>
      </c>
      <c r="L82" s="7">
        <f>E82-((E79+E80+E81)/3)</f>
        <v>1.6666666666666665</v>
      </c>
      <c r="M82" s="40">
        <f t="shared" ref="M82:M87" si="18">0.5 + (L82 * 0.09)</f>
        <v>0.65</v>
      </c>
      <c r="N82" s="7">
        <f t="shared" si="13"/>
        <v>0.25</v>
      </c>
      <c r="O82" s="8">
        <f t="shared" si="14"/>
        <v>0.05</v>
      </c>
      <c r="P82" s="14">
        <v>9</v>
      </c>
      <c r="Q82" s="8">
        <f t="shared" si="15"/>
        <v>0.3</v>
      </c>
      <c r="R82" s="7">
        <v>1</v>
      </c>
      <c r="S82" s="14">
        <v>1</v>
      </c>
      <c r="T82" s="7">
        <v>1</v>
      </c>
      <c r="U82" s="8">
        <f t="shared" si="16"/>
        <v>1</v>
      </c>
      <c r="V82" s="10">
        <v>0</v>
      </c>
      <c r="W82" s="20">
        <f t="shared" si="17"/>
        <v>2.9625000000000004</v>
      </c>
    </row>
    <row r="83" spans="1:23" x14ac:dyDescent="0.3">
      <c r="A83" s="30">
        <v>46073</v>
      </c>
      <c r="B83" s="25">
        <v>22</v>
      </c>
      <c r="C83" s="25" t="s">
        <v>6</v>
      </c>
      <c r="D83" s="25" t="s">
        <v>38</v>
      </c>
      <c r="E83" s="31">
        <v>2</v>
      </c>
      <c r="F83" s="27">
        <v>1</v>
      </c>
      <c r="G83" s="25">
        <v>1</v>
      </c>
      <c r="H83" s="25">
        <v>5</v>
      </c>
      <c r="I83" s="25">
        <v>3</v>
      </c>
      <c r="J83" s="25">
        <f t="shared" si="11"/>
        <v>0.8</v>
      </c>
      <c r="K83" s="25">
        <f t="shared" si="12"/>
        <v>0.60666666666666669</v>
      </c>
      <c r="L83" s="25">
        <f>E83-((E84+E85+E86+E87)/4)</f>
        <v>-0.5</v>
      </c>
      <c r="M83" s="47">
        <f t="shared" si="18"/>
        <v>0.45500000000000002</v>
      </c>
      <c r="N83" s="25">
        <f t="shared" si="13"/>
        <v>1.6</v>
      </c>
      <c r="O83" s="26">
        <f t="shared" si="14"/>
        <v>0.86</v>
      </c>
      <c r="P83" s="27">
        <v>8</v>
      </c>
      <c r="Q83" s="26">
        <f t="shared" si="15"/>
        <v>0.79166666666666663</v>
      </c>
      <c r="R83" s="25">
        <v>1</v>
      </c>
      <c r="S83" s="27">
        <v>0</v>
      </c>
      <c r="T83" s="25">
        <v>0</v>
      </c>
      <c r="U83" s="26">
        <f t="shared" si="16"/>
        <v>1</v>
      </c>
      <c r="V83" s="28">
        <v>0</v>
      </c>
      <c r="W83" s="21">
        <f t="shared" si="17"/>
        <v>4.6077083333333331</v>
      </c>
    </row>
    <row r="84" spans="1:23" x14ac:dyDescent="0.3">
      <c r="A84" s="1">
        <v>46073</v>
      </c>
      <c r="B84">
        <v>22</v>
      </c>
      <c r="C84" t="s">
        <v>2</v>
      </c>
      <c r="D84" t="s">
        <v>37</v>
      </c>
      <c r="E84" s="3">
        <v>3</v>
      </c>
      <c r="F84" s="2">
        <v>0</v>
      </c>
      <c r="G84">
        <v>2</v>
      </c>
      <c r="H84">
        <v>5</v>
      </c>
      <c r="I84">
        <v>0</v>
      </c>
      <c r="J84">
        <f t="shared" si="11"/>
        <v>-0.2</v>
      </c>
      <c r="K84">
        <f t="shared" si="12"/>
        <v>6.6666666666666654E-3</v>
      </c>
      <c r="L84">
        <f>E84-((E83+E85+E86+E87)/4)</f>
        <v>0.75</v>
      </c>
      <c r="M84" s="48">
        <f t="shared" si="18"/>
        <v>0.5675</v>
      </c>
      <c r="N84">
        <f t="shared" si="13"/>
        <v>0.8</v>
      </c>
      <c r="O84" s="5">
        <f t="shared" si="14"/>
        <v>0.38</v>
      </c>
      <c r="P84" s="2">
        <v>8</v>
      </c>
      <c r="Q84" s="5">
        <f t="shared" si="15"/>
        <v>0.26666666666666666</v>
      </c>
      <c r="R84">
        <v>0</v>
      </c>
      <c r="S84" s="2">
        <v>0</v>
      </c>
      <c r="T84">
        <v>0</v>
      </c>
      <c r="U84" s="5">
        <f t="shared" si="16"/>
        <v>1</v>
      </c>
      <c r="V84" s="9">
        <v>1</v>
      </c>
      <c r="W84" s="19">
        <f t="shared" si="17"/>
        <v>1.6783333333333332</v>
      </c>
    </row>
    <row r="85" spans="1:23" x14ac:dyDescent="0.3">
      <c r="A85" s="1">
        <v>46073</v>
      </c>
      <c r="B85">
        <v>22</v>
      </c>
      <c r="C85" t="s">
        <v>3</v>
      </c>
      <c r="D85" t="s">
        <v>39</v>
      </c>
      <c r="E85" s="3">
        <v>3</v>
      </c>
      <c r="F85" s="2">
        <v>0</v>
      </c>
      <c r="G85">
        <v>3</v>
      </c>
      <c r="H85">
        <v>5</v>
      </c>
      <c r="I85">
        <v>1</v>
      </c>
      <c r="J85">
        <f t="shared" si="11"/>
        <v>-0.2</v>
      </c>
      <c r="K85">
        <f t="shared" si="12"/>
        <v>0.20666666666666664</v>
      </c>
      <c r="L85">
        <f>E85-((E83+E84+E86+E87)/4)</f>
        <v>0.75</v>
      </c>
      <c r="M85" s="48">
        <f t="shared" si="18"/>
        <v>0.5675</v>
      </c>
      <c r="N85">
        <f t="shared" si="13"/>
        <v>0.72</v>
      </c>
      <c r="O85" s="5">
        <f t="shared" si="14"/>
        <v>0.33200000000000002</v>
      </c>
      <c r="P85" s="2">
        <v>7</v>
      </c>
      <c r="Q85" s="5">
        <f t="shared" si="15"/>
        <v>0.23333333333333334</v>
      </c>
      <c r="R85">
        <v>1</v>
      </c>
      <c r="S85" s="2">
        <v>0</v>
      </c>
      <c r="T85">
        <v>0</v>
      </c>
      <c r="U85" s="5">
        <f t="shared" si="16"/>
        <v>1</v>
      </c>
      <c r="V85" s="9">
        <v>0</v>
      </c>
      <c r="W85" s="19">
        <f t="shared" si="17"/>
        <v>3.3271666666666668</v>
      </c>
    </row>
    <row r="86" spans="1:23" x14ac:dyDescent="0.3">
      <c r="A86" s="1">
        <v>46073</v>
      </c>
      <c r="B86">
        <v>22</v>
      </c>
      <c r="C86" t="s">
        <v>5</v>
      </c>
      <c r="D86" t="s">
        <v>11</v>
      </c>
      <c r="E86" s="3">
        <v>2</v>
      </c>
      <c r="F86" s="2">
        <v>0</v>
      </c>
      <c r="G86">
        <v>3</v>
      </c>
      <c r="H86">
        <v>5</v>
      </c>
      <c r="I86">
        <v>0</v>
      </c>
      <c r="J86">
        <f t="shared" si="11"/>
        <v>-0.2</v>
      </c>
      <c r="K86">
        <f t="shared" si="12"/>
        <v>6.6666666666666654E-3</v>
      </c>
      <c r="L86">
        <f>E86-((E83+E84+E85+E87)/4)</f>
        <v>-0.5</v>
      </c>
      <c r="M86" s="48">
        <f t="shared" si="18"/>
        <v>0.45500000000000002</v>
      </c>
      <c r="N86">
        <f t="shared" si="13"/>
        <v>0.6</v>
      </c>
      <c r="O86" s="5">
        <f t="shared" si="14"/>
        <v>0.26</v>
      </c>
      <c r="P86" s="2">
        <v>7</v>
      </c>
      <c r="Q86" s="5">
        <f t="shared" si="15"/>
        <v>0.23333333333333334</v>
      </c>
      <c r="R86">
        <v>0</v>
      </c>
      <c r="S86" s="2">
        <v>0</v>
      </c>
      <c r="T86">
        <v>0</v>
      </c>
      <c r="U86" s="5">
        <f t="shared" si="16"/>
        <v>1</v>
      </c>
      <c r="V86" s="9">
        <v>0</v>
      </c>
      <c r="W86" s="19">
        <f t="shared" si="17"/>
        <v>2.3441666666666667</v>
      </c>
    </row>
    <row r="87" spans="1:23" x14ac:dyDescent="0.3">
      <c r="A87" s="32">
        <v>46073</v>
      </c>
      <c r="B87" s="7">
        <v>22</v>
      </c>
      <c r="C87" s="7" t="s">
        <v>73</v>
      </c>
      <c r="D87" s="7" t="s">
        <v>26</v>
      </c>
      <c r="E87" s="18">
        <v>2</v>
      </c>
      <c r="F87" s="14">
        <v>0</v>
      </c>
      <c r="G87" s="7">
        <v>5</v>
      </c>
      <c r="H87" s="7">
        <v>5</v>
      </c>
      <c r="I87" s="7">
        <v>0</v>
      </c>
      <c r="J87" s="7">
        <f t="shared" si="11"/>
        <v>-0.2</v>
      </c>
      <c r="K87" s="7">
        <f t="shared" si="12"/>
        <v>6.6666666666666654E-3</v>
      </c>
      <c r="L87" s="7">
        <f>E87-((E83+E84+E85+E86)/4)</f>
        <v>-0.5</v>
      </c>
      <c r="M87" s="40">
        <f t="shared" si="18"/>
        <v>0.45500000000000002</v>
      </c>
      <c r="N87" s="7">
        <f t="shared" si="13"/>
        <v>0.2</v>
      </c>
      <c r="O87" s="8">
        <f t="shared" si="14"/>
        <v>2.0000000000000011E-2</v>
      </c>
      <c r="P87" s="14">
        <v>7</v>
      </c>
      <c r="Q87" s="8">
        <f t="shared" si="15"/>
        <v>0.23333333333333334</v>
      </c>
      <c r="R87" s="7">
        <v>1</v>
      </c>
      <c r="S87" s="14">
        <v>0</v>
      </c>
      <c r="T87" s="7">
        <v>0</v>
      </c>
      <c r="U87" s="8">
        <f t="shared" si="16"/>
        <v>1</v>
      </c>
      <c r="V87" s="10">
        <v>0</v>
      </c>
      <c r="W87" s="20">
        <f t="shared" si="17"/>
        <v>2.8591666666666664</v>
      </c>
    </row>
    <row r="88" spans="1:23" x14ac:dyDescent="0.3">
      <c r="A88" s="1">
        <v>46073</v>
      </c>
      <c r="B88">
        <v>23</v>
      </c>
      <c r="C88" t="s">
        <v>6</v>
      </c>
      <c r="D88" t="s">
        <v>45</v>
      </c>
      <c r="E88" s="3">
        <v>2</v>
      </c>
      <c r="F88" s="2">
        <v>1</v>
      </c>
      <c r="G88">
        <v>1</v>
      </c>
      <c r="H88">
        <v>5</v>
      </c>
      <c r="I88">
        <v>3</v>
      </c>
      <c r="J88">
        <f t="shared" si="11"/>
        <v>0.8</v>
      </c>
      <c r="K88">
        <f t="shared" si="12"/>
        <v>0.60666666666666669</v>
      </c>
      <c r="L88" s="25">
        <f>E88-((E89+E90+E91+E92)/4)</f>
        <v>-0.75</v>
      </c>
      <c r="M88" s="47">
        <f t="shared" ref="M88:M101" si="19">0.5 + (L88 * 0.09)</f>
        <v>0.4325</v>
      </c>
      <c r="N88">
        <f t="shared" si="13"/>
        <v>1.6</v>
      </c>
      <c r="O88" s="5">
        <f t="shared" si="14"/>
        <v>0.86</v>
      </c>
      <c r="P88" s="2">
        <v>8</v>
      </c>
      <c r="Q88" s="5">
        <f t="shared" si="15"/>
        <v>0.79166666666666663</v>
      </c>
      <c r="R88">
        <v>1</v>
      </c>
      <c r="S88" s="2">
        <v>0</v>
      </c>
      <c r="T88">
        <v>0</v>
      </c>
      <c r="U88" s="5">
        <f t="shared" si="16"/>
        <v>1</v>
      </c>
      <c r="V88" s="9">
        <v>0</v>
      </c>
      <c r="W88" s="19">
        <f t="shared" si="17"/>
        <v>4.6077083333333331</v>
      </c>
    </row>
    <row r="89" spans="1:23" x14ac:dyDescent="0.3">
      <c r="A89" s="1">
        <v>46073</v>
      </c>
      <c r="B89">
        <v>23</v>
      </c>
      <c r="C89" t="s">
        <v>5</v>
      </c>
      <c r="D89" t="s">
        <v>24</v>
      </c>
      <c r="E89" s="3">
        <v>4</v>
      </c>
      <c r="F89" s="2">
        <v>0</v>
      </c>
      <c r="G89">
        <v>2</v>
      </c>
      <c r="H89">
        <v>5</v>
      </c>
      <c r="I89">
        <v>0</v>
      </c>
      <c r="J89">
        <f t="shared" si="11"/>
        <v>-0.2</v>
      </c>
      <c r="K89">
        <f t="shared" si="12"/>
        <v>6.6666666666666654E-3</v>
      </c>
      <c r="L89">
        <f>E89-((E88+E90+E91+E92)/4)</f>
        <v>1.75</v>
      </c>
      <c r="M89" s="48">
        <f t="shared" si="19"/>
        <v>0.65749999999999997</v>
      </c>
      <c r="N89">
        <f t="shared" si="13"/>
        <v>0.8</v>
      </c>
      <c r="O89" s="5">
        <f t="shared" si="14"/>
        <v>0.38</v>
      </c>
      <c r="P89" s="2">
        <v>8</v>
      </c>
      <c r="Q89" s="5">
        <f t="shared" si="15"/>
        <v>0.26666666666666666</v>
      </c>
      <c r="R89">
        <v>0</v>
      </c>
      <c r="S89" s="2">
        <v>0</v>
      </c>
      <c r="T89">
        <v>0</v>
      </c>
      <c r="U89" s="5">
        <f t="shared" si="16"/>
        <v>1</v>
      </c>
      <c r="V89" s="9">
        <v>0</v>
      </c>
      <c r="W89" s="19">
        <f t="shared" si="17"/>
        <v>2.5533333333333328</v>
      </c>
    </row>
    <row r="90" spans="1:23" x14ac:dyDescent="0.3">
      <c r="A90" s="1">
        <v>46073</v>
      </c>
      <c r="B90">
        <v>23</v>
      </c>
      <c r="C90" t="s">
        <v>2</v>
      </c>
      <c r="D90" t="s">
        <v>75</v>
      </c>
      <c r="E90" s="3">
        <v>2</v>
      </c>
      <c r="F90" s="2">
        <v>0</v>
      </c>
      <c r="G90">
        <v>3</v>
      </c>
      <c r="H90">
        <v>5</v>
      </c>
      <c r="I90">
        <v>1</v>
      </c>
      <c r="J90">
        <f t="shared" si="11"/>
        <v>-0.2</v>
      </c>
      <c r="K90">
        <f t="shared" si="12"/>
        <v>0.20666666666666664</v>
      </c>
      <c r="L90">
        <f>E90-((E88+E89+E91+E92)/4)</f>
        <v>-0.75</v>
      </c>
      <c r="M90" s="48">
        <f t="shared" si="19"/>
        <v>0.4325</v>
      </c>
      <c r="N90">
        <f t="shared" si="13"/>
        <v>0.72</v>
      </c>
      <c r="O90" s="5">
        <f t="shared" si="14"/>
        <v>0.33200000000000002</v>
      </c>
      <c r="P90" s="2">
        <v>7</v>
      </c>
      <c r="Q90" s="5">
        <f t="shared" si="15"/>
        <v>0.23333333333333334</v>
      </c>
      <c r="R90">
        <v>0</v>
      </c>
      <c r="S90" s="2">
        <v>1</v>
      </c>
      <c r="T90">
        <v>0</v>
      </c>
      <c r="U90" s="5">
        <f t="shared" si="16"/>
        <v>0</v>
      </c>
      <c r="V90" s="9">
        <v>0</v>
      </c>
      <c r="W90" s="19">
        <f t="shared" si="17"/>
        <v>1.5771666666666668</v>
      </c>
    </row>
    <row r="91" spans="1:23" x14ac:dyDescent="0.3">
      <c r="A91" s="1">
        <v>46073</v>
      </c>
      <c r="B91">
        <v>23</v>
      </c>
      <c r="C91" t="s">
        <v>3</v>
      </c>
      <c r="D91" t="s">
        <v>25</v>
      </c>
      <c r="E91" s="3">
        <v>3</v>
      </c>
      <c r="F91" s="2">
        <v>0</v>
      </c>
      <c r="G91">
        <v>4</v>
      </c>
      <c r="H91">
        <v>5</v>
      </c>
      <c r="I91">
        <v>0</v>
      </c>
      <c r="J91">
        <f t="shared" si="11"/>
        <v>-0.2</v>
      </c>
      <c r="K91">
        <f t="shared" si="12"/>
        <v>6.6666666666666654E-3</v>
      </c>
      <c r="L91">
        <f>E91-((E88+E89+E90+E92)/4)</f>
        <v>0.5</v>
      </c>
      <c r="M91" s="48">
        <f t="shared" si="19"/>
        <v>0.54500000000000004</v>
      </c>
      <c r="N91">
        <f t="shared" si="13"/>
        <v>0.4</v>
      </c>
      <c r="O91" s="5">
        <f t="shared" si="14"/>
        <v>0.14000000000000001</v>
      </c>
      <c r="P91" s="2">
        <v>6</v>
      </c>
      <c r="Q91" s="5">
        <f t="shared" si="15"/>
        <v>0.2</v>
      </c>
      <c r="R91">
        <v>0</v>
      </c>
      <c r="S91" s="2">
        <v>1</v>
      </c>
      <c r="T91">
        <v>1</v>
      </c>
      <c r="U91" s="5">
        <f t="shared" si="16"/>
        <v>1</v>
      </c>
      <c r="V91" s="9">
        <v>1</v>
      </c>
      <c r="W91" s="19">
        <f t="shared" si="17"/>
        <v>1.26</v>
      </c>
    </row>
    <row r="92" spans="1:23" x14ac:dyDescent="0.3">
      <c r="A92" s="32">
        <v>46073</v>
      </c>
      <c r="B92" s="7">
        <v>23</v>
      </c>
      <c r="C92" s="7" t="s">
        <v>73</v>
      </c>
      <c r="D92" s="7" t="s">
        <v>26</v>
      </c>
      <c r="E92" s="18">
        <v>2</v>
      </c>
      <c r="F92" s="14">
        <v>0</v>
      </c>
      <c r="G92" s="7">
        <v>5</v>
      </c>
      <c r="H92" s="7">
        <v>5</v>
      </c>
      <c r="I92" s="7">
        <v>0</v>
      </c>
      <c r="J92" s="7">
        <f t="shared" si="11"/>
        <v>-0.2</v>
      </c>
      <c r="K92" s="7">
        <f t="shared" si="12"/>
        <v>6.6666666666666654E-3</v>
      </c>
      <c r="L92" s="7">
        <f>E92-((E88+E89+E90+E91)/4)</f>
        <v>-0.75</v>
      </c>
      <c r="M92" s="40">
        <f t="shared" si="19"/>
        <v>0.4325</v>
      </c>
      <c r="N92" s="7">
        <f t="shared" si="13"/>
        <v>0.2</v>
      </c>
      <c r="O92" s="8">
        <f t="shared" si="14"/>
        <v>2.0000000000000011E-2</v>
      </c>
      <c r="P92" s="14">
        <v>6</v>
      </c>
      <c r="Q92" s="8">
        <f t="shared" si="15"/>
        <v>0.2</v>
      </c>
      <c r="R92" s="7">
        <v>0</v>
      </c>
      <c r="S92" s="14">
        <v>1</v>
      </c>
      <c r="T92" s="7">
        <v>0</v>
      </c>
      <c r="U92" s="8">
        <f t="shared" si="16"/>
        <v>0</v>
      </c>
      <c r="V92" s="10">
        <v>0</v>
      </c>
      <c r="W92" s="20">
        <f t="shared" si="17"/>
        <v>1.08</v>
      </c>
    </row>
    <row r="93" spans="1:23" x14ac:dyDescent="0.3">
      <c r="A93" s="1">
        <v>46076</v>
      </c>
      <c r="B93">
        <v>24</v>
      </c>
      <c r="C93" t="s">
        <v>6</v>
      </c>
      <c r="D93" t="s">
        <v>46</v>
      </c>
      <c r="E93" s="3">
        <v>3</v>
      </c>
      <c r="F93" s="2">
        <v>1</v>
      </c>
      <c r="G93">
        <v>1</v>
      </c>
      <c r="H93">
        <v>4</v>
      </c>
      <c r="I93">
        <v>3</v>
      </c>
      <c r="J93">
        <f t="shared" si="11"/>
        <v>0.75</v>
      </c>
      <c r="K93">
        <f t="shared" si="12"/>
        <v>0.6166666666666667</v>
      </c>
      <c r="L93">
        <f>E93-((E94+E95+E96)/3)</f>
        <v>0</v>
      </c>
      <c r="M93" s="36">
        <f t="shared" si="19"/>
        <v>0.5</v>
      </c>
      <c r="N93">
        <f t="shared" si="13"/>
        <v>1.75</v>
      </c>
      <c r="O93" s="5">
        <f t="shared" si="14"/>
        <v>0.95</v>
      </c>
      <c r="P93" s="2">
        <v>8</v>
      </c>
      <c r="Q93" s="5">
        <f t="shared" si="15"/>
        <v>0.79166666666666663</v>
      </c>
      <c r="R93">
        <v>1</v>
      </c>
      <c r="S93" s="2">
        <v>0</v>
      </c>
      <c r="T93">
        <v>0</v>
      </c>
      <c r="U93" s="5">
        <f t="shared" si="16"/>
        <v>1</v>
      </c>
      <c r="V93" s="9">
        <v>0</v>
      </c>
      <c r="W93" s="19">
        <f t="shared" si="17"/>
        <v>4.7427083333333329</v>
      </c>
    </row>
    <row r="94" spans="1:23" x14ac:dyDescent="0.3">
      <c r="A94" s="1">
        <v>46076</v>
      </c>
      <c r="B94">
        <v>24</v>
      </c>
      <c r="C94" t="s">
        <v>2</v>
      </c>
      <c r="D94" t="s">
        <v>75</v>
      </c>
      <c r="E94" s="3">
        <v>2</v>
      </c>
      <c r="F94" s="2">
        <v>0</v>
      </c>
      <c r="G94">
        <v>2</v>
      </c>
      <c r="H94">
        <v>4</v>
      </c>
      <c r="I94">
        <v>0</v>
      </c>
      <c r="J94">
        <f t="shared" si="11"/>
        <v>-0.25</v>
      </c>
      <c r="K94">
        <f t="shared" si="12"/>
        <v>1.6666666666666673E-2</v>
      </c>
      <c r="L94">
        <f>E94-((E93+E95+E96)/3)</f>
        <v>-1.3333333333333335</v>
      </c>
      <c r="M94" s="36">
        <f t="shared" si="19"/>
        <v>0.38</v>
      </c>
      <c r="N94">
        <f t="shared" si="13"/>
        <v>0.75</v>
      </c>
      <c r="O94" s="5">
        <f t="shared" si="14"/>
        <v>0.35000000000000003</v>
      </c>
      <c r="P94" s="2">
        <v>8</v>
      </c>
      <c r="Q94" s="5">
        <f t="shared" si="15"/>
        <v>0.26666666666666666</v>
      </c>
      <c r="R94">
        <v>1</v>
      </c>
      <c r="S94" s="2">
        <v>2</v>
      </c>
      <c r="T94">
        <v>1</v>
      </c>
      <c r="U94" s="5">
        <f t="shared" si="16"/>
        <v>0.5</v>
      </c>
      <c r="V94" s="9">
        <v>0</v>
      </c>
      <c r="W94" s="19">
        <f t="shared" si="17"/>
        <v>2.9458333333333329</v>
      </c>
    </row>
    <row r="95" spans="1:23" x14ac:dyDescent="0.3">
      <c r="A95" s="1">
        <v>46076</v>
      </c>
      <c r="B95">
        <v>24</v>
      </c>
      <c r="C95" t="s">
        <v>4</v>
      </c>
      <c r="D95" t="s">
        <v>79</v>
      </c>
      <c r="E95" s="3">
        <v>3</v>
      </c>
      <c r="F95" s="2">
        <v>0</v>
      </c>
      <c r="G95">
        <v>3</v>
      </c>
      <c r="H95">
        <v>4</v>
      </c>
      <c r="I95">
        <v>0</v>
      </c>
      <c r="J95">
        <f t="shared" si="11"/>
        <v>-0.25</v>
      </c>
      <c r="K95">
        <f t="shared" si="12"/>
        <v>1.6666666666666673E-2</v>
      </c>
      <c r="L95">
        <f>E95-((E93+E94+E96)/3)</f>
        <v>0</v>
      </c>
      <c r="M95" s="36">
        <f t="shared" si="19"/>
        <v>0.5</v>
      </c>
      <c r="N95">
        <f t="shared" si="13"/>
        <v>0.5</v>
      </c>
      <c r="O95" s="5">
        <f t="shared" si="14"/>
        <v>0.2</v>
      </c>
      <c r="P95" s="2">
        <v>7</v>
      </c>
      <c r="Q95" s="5">
        <f t="shared" si="15"/>
        <v>0.23333333333333334</v>
      </c>
      <c r="R95">
        <v>1</v>
      </c>
      <c r="S95" s="2">
        <v>1</v>
      </c>
      <c r="T95">
        <v>0</v>
      </c>
      <c r="U95" s="5">
        <f t="shared" si="16"/>
        <v>0</v>
      </c>
      <c r="V95" s="9">
        <v>0</v>
      </c>
      <c r="W95" s="19">
        <f t="shared" si="17"/>
        <v>2.2541666666666664</v>
      </c>
    </row>
    <row r="96" spans="1:23" x14ac:dyDescent="0.3">
      <c r="A96" s="32">
        <v>46076</v>
      </c>
      <c r="B96" s="7">
        <v>24</v>
      </c>
      <c r="C96" s="7" t="s">
        <v>3</v>
      </c>
      <c r="D96" s="7" t="s">
        <v>44</v>
      </c>
      <c r="E96" s="18">
        <v>4</v>
      </c>
      <c r="F96" s="14">
        <v>0</v>
      </c>
      <c r="G96" s="7">
        <v>3</v>
      </c>
      <c r="H96" s="7">
        <v>4</v>
      </c>
      <c r="I96" s="7">
        <v>0</v>
      </c>
      <c r="J96" s="7">
        <f t="shared" si="11"/>
        <v>-0.25</v>
      </c>
      <c r="K96" s="7">
        <f t="shared" si="12"/>
        <v>1.6666666666666673E-2</v>
      </c>
      <c r="L96" s="7">
        <f>E96-((E93+E94+E95)/3)</f>
        <v>1.3333333333333335</v>
      </c>
      <c r="M96" s="40">
        <f>0.5 + (L96 * 0.09)</f>
        <v>0.62</v>
      </c>
      <c r="N96" s="7">
        <f t="shared" si="13"/>
        <v>0.5</v>
      </c>
      <c r="O96" s="8">
        <f t="shared" si="14"/>
        <v>0.2</v>
      </c>
      <c r="P96" s="14">
        <v>7</v>
      </c>
      <c r="Q96" s="8">
        <f t="shared" si="15"/>
        <v>0.23333333333333334</v>
      </c>
      <c r="R96" s="7">
        <v>0</v>
      </c>
      <c r="S96" s="14">
        <v>0</v>
      </c>
      <c r="T96" s="7">
        <v>0</v>
      </c>
      <c r="U96" s="8">
        <f t="shared" si="16"/>
        <v>1</v>
      </c>
      <c r="V96" s="10">
        <v>0</v>
      </c>
      <c r="W96" s="20">
        <f t="shared" si="17"/>
        <v>2.2541666666666664</v>
      </c>
    </row>
    <row r="97" spans="1:23" x14ac:dyDescent="0.3">
      <c r="A97" s="1">
        <v>46080</v>
      </c>
      <c r="B97">
        <v>25</v>
      </c>
      <c r="C97" t="s">
        <v>4</v>
      </c>
      <c r="D97" t="s">
        <v>80</v>
      </c>
      <c r="E97" s="3">
        <v>3</v>
      </c>
      <c r="F97" s="2">
        <v>1</v>
      </c>
      <c r="G97">
        <v>1</v>
      </c>
      <c r="H97">
        <v>5</v>
      </c>
      <c r="I97">
        <v>1</v>
      </c>
      <c r="J97">
        <f t="shared" si="11"/>
        <v>0.8</v>
      </c>
      <c r="K97">
        <f t="shared" si="12"/>
        <v>0.20666666666666664</v>
      </c>
      <c r="L97" s="25">
        <f>E97-((E98+E99+E100+E101)/4)</f>
        <v>0.25</v>
      </c>
      <c r="M97" s="47">
        <f t="shared" si="19"/>
        <v>0.52249999999999996</v>
      </c>
      <c r="N97">
        <f t="shared" si="13"/>
        <v>1.2</v>
      </c>
      <c r="O97" s="5">
        <f t="shared" si="14"/>
        <v>0.61999999999999988</v>
      </c>
      <c r="P97" s="2">
        <v>10</v>
      </c>
      <c r="Q97" s="5">
        <f t="shared" si="15"/>
        <v>0.70833333333333326</v>
      </c>
      <c r="R97">
        <v>1</v>
      </c>
      <c r="S97" s="2">
        <v>1</v>
      </c>
      <c r="T97">
        <v>0</v>
      </c>
      <c r="U97" s="5">
        <f t="shared" si="16"/>
        <v>0</v>
      </c>
      <c r="V97" s="9">
        <v>0</v>
      </c>
      <c r="W97" s="19">
        <f t="shared" si="17"/>
        <v>3.2997916666666658</v>
      </c>
    </row>
    <row r="98" spans="1:23" x14ac:dyDescent="0.3">
      <c r="A98" s="1">
        <v>46080</v>
      </c>
      <c r="B98">
        <v>25</v>
      </c>
      <c r="C98" t="s">
        <v>2</v>
      </c>
      <c r="D98" t="s">
        <v>36</v>
      </c>
      <c r="E98" s="3">
        <v>2</v>
      </c>
      <c r="F98" s="2">
        <v>0</v>
      </c>
      <c r="G98">
        <v>2</v>
      </c>
      <c r="H98">
        <v>5</v>
      </c>
      <c r="I98">
        <v>2</v>
      </c>
      <c r="J98">
        <f t="shared" si="11"/>
        <v>-0.2</v>
      </c>
      <c r="K98">
        <f t="shared" si="12"/>
        <v>0.40666666666666662</v>
      </c>
      <c r="L98">
        <f>E98-((E97+E99+E100+E101)/4)</f>
        <v>-1</v>
      </c>
      <c r="M98" s="48">
        <f t="shared" si="19"/>
        <v>0.41000000000000003</v>
      </c>
      <c r="N98">
        <f t="shared" si="13"/>
        <v>1.1199999999999999</v>
      </c>
      <c r="O98" s="5">
        <f t="shared" si="14"/>
        <v>0.57199999999999995</v>
      </c>
      <c r="P98" s="2">
        <v>10</v>
      </c>
      <c r="Q98" s="5">
        <f t="shared" si="15"/>
        <v>0.33333333333333331</v>
      </c>
      <c r="R98">
        <v>0</v>
      </c>
      <c r="S98" s="2">
        <v>1</v>
      </c>
      <c r="T98">
        <v>1</v>
      </c>
      <c r="U98" s="5">
        <f t="shared" si="16"/>
        <v>1</v>
      </c>
      <c r="V98" s="9">
        <v>1</v>
      </c>
      <c r="W98" s="19">
        <f t="shared" si="17"/>
        <v>2.0246666666666662</v>
      </c>
    </row>
    <row r="99" spans="1:23" x14ac:dyDescent="0.3">
      <c r="A99" s="1">
        <v>46080</v>
      </c>
      <c r="B99">
        <v>25</v>
      </c>
      <c r="C99" t="s">
        <v>6</v>
      </c>
      <c r="D99" t="s">
        <v>8</v>
      </c>
      <c r="E99" s="3">
        <v>3</v>
      </c>
      <c r="F99" s="2">
        <v>0</v>
      </c>
      <c r="G99">
        <v>3</v>
      </c>
      <c r="H99">
        <v>5</v>
      </c>
      <c r="I99">
        <v>0</v>
      </c>
      <c r="J99">
        <f t="shared" si="11"/>
        <v>-0.2</v>
      </c>
      <c r="K99">
        <f t="shared" si="12"/>
        <v>6.6666666666666654E-3</v>
      </c>
      <c r="L99">
        <f>E99-((E97+E98+E100+E101)/4)</f>
        <v>0.25</v>
      </c>
      <c r="M99" s="48">
        <f t="shared" si="19"/>
        <v>0.52249999999999996</v>
      </c>
      <c r="N99">
        <f t="shared" si="13"/>
        <v>0.6</v>
      </c>
      <c r="O99" s="5">
        <f t="shared" si="14"/>
        <v>0.26</v>
      </c>
      <c r="P99" s="2">
        <v>9</v>
      </c>
      <c r="Q99" s="5">
        <f t="shared" si="15"/>
        <v>0.3</v>
      </c>
      <c r="R99">
        <v>0</v>
      </c>
      <c r="S99" s="2">
        <v>2</v>
      </c>
      <c r="T99">
        <v>1</v>
      </c>
      <c r="U99" s="5">
        <f t="shared" si="16"/>
        <v>0.5</v>
      </c>
      <c r="V99" s="9">
        <v>0</v>
      </c>
      <c r="W99" s="19">
        <f t="shared" si="17"/>
        <v>1.9650000000000001</v>
      </c>
    </row>
    <row r="100" spans="1:23" x14ac:dyDescent="0.3">
      <c r="A100" s="1">
        <v>46080</v>
      </c>
      <c r="B100">
        <v>25</v>
      </c>
      <c r="C100" t="s">
        <v>3</v>
      </c>
      <c r="D100" t="s">
        <v>81</v>
      </c>
      <c r="E100" s="3">
        <v>2</v>
      </c>
      <c r="F100" s="2">
        <v>0</v>
      </c>
      <c r="G100">
        <v>4</v>
      </c>
      <c r="H100">
        <v>5</v>
      </c>
      <c r="I100">
        <v>0</v>
      </c>
      <c r="J100">
        <f t="shared" si="11"/>
        <v>-0.2</v>
      </c>
      <c r="K100">
        <f t="shared" si="12"/>
        <v>6.6666666666666654E-3</v>
      </c>
      <c r="L100">
        <f>E100-((E97+E98+E99+E101)/4)</f>
        <v>-1</v>
      </c>
      <c r="M100" s="48">
        <f t="shared" si="19"/>
        <v>0.41000000000000003</v>
      </c>
      <c r="N100">
        <f t="shared" si="13"/>
        <v>0.4</v>
      </c>
      <c r="O100" s="5">
        <f t="shared" si="14"/>
        <v>0.14000000000000001</v>
      </c>
      <c r="P100" s="2">
        <v>8</v>
      </c>
      <c r="Q100" s="5">
        <f t="shared" si="15"/>
        <v>0.26666666666666666</v>
      </c>
      <c r="R100">
        <v>1</v>
      </c>
      <c r="S100" s="2">
        <v>2</v>
      </c>
      <c r="T100">
        <v>1</v>
      </c>
      <c r="U100" s="5">
        <f t="shared" si="16"/>
        <v>0.5</v>
      </c>
      <c r="V100" s="9">
        <v>1</v>
      </c>
      <c r="W100" s="19">
        <f t="shared" si="17"/>
        <v>1.7558333333333331</v>
      </c>
    </row>
    <row r="101" spans="1:23" x14ac:dyDescent="0.3">
      <c r="A101" s="32">
        <v>46080</v>
      </c>
      <c r="B101" s="7">
        <v>25</v>
      </c>
      <c r="C101" s="7" t="s">
        <v>5</v>
      </c>
      <c r="D101" s="7" t="s">
        <v>24</v>
      </c>
      <c r="E101" s="18">
        <v>4</v>
      </c>
      <c r="F101" s="14">
        <v>0</v>
      </c>
      <c r="G101" s="7">
        <v>5</v>
      </c>
      <c r="H101" s="7">
        <v>5</v>
      </c>
      <c r="I101" s="7">
        <v>1</v>
      </c>
      <c r="J101" s="7">
        <f t="shared" si="11"/>
        <v>-0.2</v>
      </c>
      <c r="K101" s="7">
        <f t="shared" si="12"/>
        <v>0.20666666666666664</v>
      </c>
      <c r="L101" s="7">
        <f>E101-((E97+E98+E99+E100)/4)</f>
        <v>1.5</v>
      </c>
      <c r="M101" s="40">
        <f t="shared" si="19"/>
        <v>0.63500000000000001</v>
      </c>
      <c r="N101" s="7">
        <f t="shared" si="13"/>
        <v>0.24</v>
      </c>
      <c r="O101" s="8">
        <f t="shared" si="14"/>
        <v>4.3999999999999997E-2</v>
      </c>
      <c r="P101" s="14">
        <v>7</v>
      </c>
      <c r="Q101" s="8">
        <f t="shared" si="15"/>
        <v>0.23333333333333334</v>
      </c>
      <c r="R101" s="7">
        <v>0</v>
      </c>
      <c r="S101" s="14">
        <v>0</v>
      </c>
      <c r="T101" s="7">
        <v>0</v>
      </c>
      <c r="U101" s="8">
        <f t="shared" si="16"/>
        <v>1</v>
      </c>
      <c r="V101" s="10">
        <v>0</v>
      </c>
      <c r="W101" s="20">
        <f t="shared" si="17"/>
        <v>2.0201666666666664</v>
      </c>
    </row>
    <row r="102" spans="1:23" x14ac:dyDescent="0.3">
      <c r="A102" s="1">
        <v>46080</v>
      </c>
      <c r="B102">
        <v>26</v>
      </c>
      <c r="C102" t="s">
        <v>3</v>
      </c>
      <c r="D102" t="s">
        <v>9</v>
      </c>
      <c r="E102" s="3">
        <v>3</v>
      </c>
      <c r="F102" s="2">
        <v>1</v>
      </c>
      <c r="G102">
        <v>1</v>
      </c>
      <c r="H102">
        <v>5</v>
      </c>
      <c r="I102">
        <v>1</v>
      </c>
      <c r="J102">
        <f t="shared" si="11"/>
        <v>0.8</v>
      </c>
      <c r="K102">
        <f t="shared" si="12"/>
        <v>0.20666666666666664</v>
      </c>
      <c r="L102" s="25">
        <f>E102-((E103+E104+E105+E106)/4)</f>
        <v>0.75</v>
      </c>
      <c r="M102" s="47">
        <f t="shared" ref="M102:M109" si="20">0.5 + (L102 * 0.09)</f>
        <v>0.5675</v>
      </c>
      <c r="N102">
        <f t="shared" si="13"/>
        <v>1.2</v>
      </c>
      <c r="O102" s="5">
        <f t="shared" si="14"/>
        <v>0.61999999999999988</v>
      </c>
      <c r="P102" s="2">
        <v>12</v>
      </c>
      <c r="Q102" s="5">
        <f t="shared" si="15"/>
        <v>0.625</v>
      </c>
      <c r="R102">
        <v>1</v>
      </c>
      <c r="S102" s="2">
        <v>1</v>
      </c>
      <c r="T102">
        <v>0</v>
      </c>
      <c r="U102" s="5">
        <f t="shared" si="16"/>
        <v>0</v>
      </c>
      <c r="V102" s="9">
        <v>0</v>
      </c>
      <c r="W102" s="19">
        <f t="shared" si="17"/>
        <v>3.2268749999999997</v>
      </c>
    </row>
    <row r="103" spans="1:23" x14ac:dyDescent="0.3">
      <c r="A103" s="1">
        <v>46080</v>
      </c>
      <c r="B103">
        <v>26</v>
      </c>
      <c r="C103" t="s">
        <v>5</v>
      </c>
      <c r="D103" t="s">
        <v>11</v>
      </c>
      <c r="E103" s="3">
        <v>2</v>
      </c>
      <c r="F103" s="2">
        <v>0</v>
      </c>
      <c r="G103">
        <v>2</v>
      </c>
      <c r="H103">
        <v>5</v>
      </c>
      <c r="I103">
        <v>0</v>
      </c>
      <c r="J103">
        <f t="shared" si="11"/>
        <v>-0.2</v>
      </c>
      <c r="K103">
        <f t="shared" si="12"/>
        <v>6.6666666666666654E-3</v>
      </c>
      <c r="L103">
        <f>E103-((E102+E104+E105+E106)/4)</f>
        <v>-0.5</v>
      </c>
      <c r="M103" s="48">
        <f t="shared" si="20"/>
        <v>0.45500000000000002</v>
      </c>
      <c r="N103">
        <f t="shared" si="13"/>
        <v>0.8</v>
      </c>
      <c r="O103" s="5">
        <f t="shared" si="14"/>
        <v>0.38</v>
      </c>
      <c r="P103" s="2">
        <v>12</v>
      </c>
      <c r="Q103" s="5">
        <f t="shared" si="15"/>
        <v>0.4</v>
      </c>
      <c r="R103">
        <v>1</v>
      </c>
      <c r="S103" s="2">
        <v>2</v>
      </c>
      <c r="T103">
        <v>1</v>
      </c>
      <c r="U103" s="5">
        <f t="shared" si="16"/>
        <v>0.5</v>
      </c>
      <c r="V103" s="9">
        <v>0</v>
      </c>
      <c r="W103" s="19">
        <f t="shared" si="17"/>
        <v>3.1074999999999999</v>
      </c>
    </row>
    <row r="104" spans="1:23" x14ac:dyDescent="0.3">
      <c r="A104" s="1">
        <v>46080</v>
      </c>
      <c r="B104">
        <v>26</v>
      </c>
      <c r="C104" t="s">
        <v>2</v>
      </c>
      <c r="D104" t="s">
        <v>43</v>
      </c>
      <c r="E104" s="3">
        <v>2</v>
      </c>
      <c r="F104" s="2">
        <v>0</v>
      </c>
      <c r="G104">
        <v>3</v>
      </c>
      <c r="H104">
        <v>5</v>
      </c>
      <c r="I104">
        <v>2</v>
      </c>
      <c r="J104">
        <f t="shared" si="11"/>
        <v>-0.2</v>
      </c>
      <c r="K104">
        <f t="shared" si="12"/>
        <v>0.40666666666666662</v>
      </c>
      <c r="L104">
        <f>E104-((E102+E103+E105+E106)/4)</f>
        <v>-0.5</v>
      </c>
      <c r="M104" s="48">
        <f t="shared" si="20"/>
        <v>0.45500000000000002</v>
      </c>
      <c r="N104">
        <f t="shared" si="13"/>
        <v>0.84</v>
      </c>
      <c r="O104" s="5">
        <f t="shared" si="14"/>
        <v>0.40399999999999997</v>
      </c>
      <c r="P104" s="2">
        <v>8</v>
      </c>
      <c r="Q104" s="5">
        <f t="shared" si="15"/>
        <v>0.26666666666666666</v>
      </c>
      <c r="R104">
        <v>1</v>
      </c>
      <c r="S104" s="2">
        <v>1</v>
      </c>
      <c r="T104">
        <v>0</v>
      </c>
      <c r="U104" s="5">
        <f t="shared" si="16"/>
        <v>0</v>
      </c>
      <c r="V104" s="9">
        <v>0</v>
      </c>
      <c r="W104" s="19">
        <f t="shared" si="17"/>
        <v>2.5893333333333333</v>
      </c>
    </row>
    <row r="105" spans="1:23" x14ac:dyDescent="0.3">
      <c r="A105" s="1">
        <v>46080</v>
      </c>
      <c r="B105">
        <v>26</v>
      </c>
      <c r="C105" t="s">
        <v>6</v>
      </c>
      <c r="D105" t="s">
        <v>82</v>
      </c>
      <c r="E105" s="3">
        <v>2</v>
      </c>
      <c r="F105" s="2">
        <v>0</v>
      </c>
      <c r="G105">
        <v>3</v>
      </c>
      <c r="H105">
        <v>5</v>
      </c>
      <c r="I105">
        <v>0</v>
      </c>
      <c r="J105">
        <f t="shared" si="11"/>
        <v>-0.2</v>
      </c>
      <c r="K105">
        <f t="shared" si="12"/>
        <v>6.6666666666666654E-3</v>
      </c>
      <c r="L105">
        <f>E105-((E102+E103+E104+E106)/4)</f>
        <v>-0.5</v>
      </c>
      <c r="M105" s="48">
        <f t="shared" si="20"/>
        <v>0.45500000000000002</v>
      </c>
      <c r="N105">
        <f t="shared" si="13"/>
        <v>0.6</v>
      </c>
      <c r="O105" s="5">
        <f t="shared" si="14"/>
        <v>0.26</v>
      </c>
      <c r="P105" s="2">
        <v>8</v>
      </c>
      <c r="Q105" s="5">
        <f t="shared" si="15"/>
        <v>0.26666666666666666</v>
      </c>
      <c r="R105">
        <v>1</v>
      </c>
      <c r="S105" s="2">
        <v>1</v>
      </c>
      <c r="T105">
        <v>0</v>
      </c>
      <c r="U105" s="5">
        <f t="shared" si="16"/>
        <v>0</v>
      </c>
      <c r="V105" s="9">
        <v>0</v>
      </c>
      <c r="W105" s="19">
        <f t="shared" si="17"/>
        <v>2.3733333333333331</v>
      </c>
    </row>
    <row r="106" spans="1:23" x14ac:dyDescent="0.3">
      <c r="A106" s="32">
        <v>46080</v>
      </c>
      <c r="B106" s="7">
        <v>26</v>
      </c>
      <c r="C106" s="7" t="s">
        <v>4</v>
      </c>
      <c r="D106" s="7" t="s">
        <v>79</v>
      </c>
      <c r="E106" s="18">
        <v>3</v>
      </c>
      <c r="F106" s="14">
        <v>0</v>
      </c>
      <c r="G106" s="7">
        <v>3</v>
      </c>
      <c r="H106" s="7">
        <v>5</v>
      </c>
      <c r="I106" s="7">
        <v>1</v>
      </c>
      <c r="J106" s="7">
        <f t="shared" si="11"/>
        <v>-0.2</v>
      </c>
      <c r="K106" s="7">
        <f t="shared" si="12"/>
        <v>0.20666666666666664</v>
      </c>
      <c r="L106" s="7">
        <f>E106-((E102+E103+E104+E105)/4)</f>
        <v>0.75</v>
      </c>
      <c r="M106" s="40">
        <f t="shared" si="20"/>
        <v>0.5675</v>
      </c>
      <c r="N106" s="7">
        <f t="shared" si="13"/>
        <v>0.72</v>
      </c>
      <c r="O106" s="8">
        <f t="shared" si="14"/>
        <v>0.33200000000000002</v>
      </c>
      <c r="P106" s="14">
        <v>8</v>
      </c>
      <c r="Q106" s="8">
        <f t="shared" si="15"/>
        <v>0.26666666666666666</v>
      </c>
      <c r="R106" s="7">
        <v>0</v>
      </c>
      <c r="S106" s="14">
        <v>0</v>
      </c>
      <c r="T106" s="7">
        <v>0</v>
      </c>
      <c r="U106" s="8">
        <f t="shared" si="16"/>
        <v>1</v>
      </c>
      <c r="V106" s="10">
        <v>0</v>
      </c>
      <c r="W106" s="20">
        <f t="shared" si="17"/>
        <v>2.4813333333333332</v>
      </c>
    </row>
    <row r="107" spans="1:23" x14ac:dyDescent="0.3">
      <c r="A107" s="1">
        <v>46087</v>
      </c>
      <c r="B107">
        <v>27</v>
      </c>
      <c r="C107" t="s">
        <v>2</v>
      </c>
      <c r="D107" t="s">
        <v>26</v>
      </c>
      <c r="E107" s="3">
        <v>2</v>
      </c>
      <c r="F107" s="2">
        <v>1</v>
      </c>
      <c r="G107">
        <v>1</v>
      </c>
      <c r="H107">
        <v>4</v>
      </c>
      <c r="I107">
        <v>1</v>
      </c>
      <c r="J107">
        <f t="shared" si="11"/>
        <v>0.75</v>
      </c>
      <c r="K107">
        <f t="shared" si="12"/>
        <v>0.2166666666666667</v>
      </c>
      <c r="L107">
        <f>E107-((E108+E109+E110)/3)</f>
        <v>-0.66666666666666652</v>
      </c>
      <c r="M107" s="36">
        <f t="shared" si="20"/>
        <v>0.44</v>
      </c>
      <c r="N107">
        <f t="shared" si="13"/>
        <v>1.25</v>
      </c>
      <c r="O107" s="5">
        <f t="shared" si="14"/>
        <v>0.64999999999999991</v>
      </c>
      <c r="P107" s="2">
        <v>8</v>
      </c>
      <c r="Q107" s="5">
        <f t="shared" si="15"/>
        <v>0.79166666666666663</v>
      </c>
      <c r="R107">
        <v>1</v>
      </c>
      <c r="S107" s="2">
        <v>0</v>
      </c>
      <c r="T107">
        <v>0</v>
      </c>
      <c r="U107" s="5">
        <f t="shared" si="16"/>
        <v>1</v>
      </c>
      <c r="V107" s="9">
        <v>0</v>
      </c>
      <c r="W107" s="19">
        <f t="shared" si="17"/>
        <v>4.2927083333333336</v>
      </c>
    </row>
    <row r="108" spans="1:23" x14ac:dyDescent="0.3">
      <c r="A108" s="1">
        <v>46087</v>
      </c>
      <c r="B108">
        <v>27</v>
      </c>
      <c r="C108" t="s">
        <v>49</v>
      </c>
      <c r="D108" t="s">
        <v>50</v>
      </c>
      <c r="E108" s="3">
        <v>2</v>
      </c>
      <c r="F108" s="2">
        <v>0</v>
      </c>
      <c r="G108">
        <v>2</v>
      </c>
      <c r="H108">
        <v>4</v>
      </c>
      <c r="I108">
        <v>2</v>
      </c>
      <c r="J108">
        <f t="shared" si="11"/>
        <v>-0.25</v>
      </c>
      <c r="K108">
        <f t="shared" si="12"/>
        <v>0.41666666666666669</v>
      </c>
      <c r="L108">
        <f>E108-((E107+E109+E110)/3)</f>
        <v>-0.66666666666666652</v>
      </c>
      <c r="M108" s="36">
        <f t="shared" si="20"/>
        <v>0.44</v>
      </c>
      <c r="N108">
        <f t="shared" si="13"/>
        <v>1.125</v>
      </c>
      <c r="O108" s="5">
        <f t="shared" si="14"/>
        <v>0.57499999999999996</v>
      </c>
      <c r="P108" s="2">
        <v>8</v>
      </c>
      <c r="Q108" s="5">
        <f t="shared" si="15"/>
        <v>0.26666666666666666</v>
      </c>
      <c r="R108">
        <v>1</v>
      </c>
      <c r="S108" s="2">
        <v>0</v>
      </c>
      <c r="T108">
        <v>0</v>
      </c>
      <c r="U108" s="5">
        <f t="shared" si="16"/>
        <v>1</v>
      </c>
      <c r="V108" s="9">
        <v>0</v>
      </c>
      <c r="W108" s="19">
        <f t="shared" si="17"/>
        <v>3.7208333333333332</v>
      </c>
    </row>
    <row r="109" spans="1:23" x14ac:dyDescent="0.3">
      <c r="A109" s="1">
        <v>46087</v>
      </c>
      <c r="B109">
        <v>27</v>
      </c>
      <c r="C109" t="s">
        <v>6</v>
      </c>
      <c r="D109" t="s">
        <v>82</v>
      </c>
      <c r="E109" s="3">
        <v>2</v>
      </c>
      <c r="F109" s="2">
        <v>0</v>
      </c>
      <c r="G109">
        <v>3</v>
      </c>
      <c r="H109">
        <v>4</v>
      </c>
      <c r="I109">
        <v>0</v>
      </c>
      <c r="J109">
        <f t="shared" si="11"/>
        <v>-0.25</v>
      </c>
      <c r="K109">
        <f t="shared" si="12"/>
        <v>1.6666666666666673E-2</v>
      </c>
      <c r="L109">
        <f>E109-((E107+E108+E110)/3)</f>
        <v>-0.66666666666666652</v>
      </c>
      <c r="M109" s="36">
        <f t="shared" si="20"/>
        <v>0.44</v>
      </c>
      <c r="N109">
        <f t="shared" si="13"/>
        <v>0.5</v>
      </c>
      <c r="O109" s="5">
        <f t="shared" si="14"/>
        <v>0.2</v>
      </c>
      <c r="P109" s="2">
        <v>8</v>
      </c>
      <c r="Q109" s="5">
        <f t="shared" si="15"/>
        <v>0.26666666666666666</v>
      </c>
      <c r="R109">
        <v>1</v>
      </c>
      <c r="S109" s="2">
        <v>0</v>
      </c>
      <c r="T109">
        <v>0</v>
      </c>
      <c r="U109" s="5">
        <f t="shared" si="16"/>
        <v>1</v>
      </c>
      <c r="V109" s="9">
        <v>0</v>
      </c>
      <c r="W109" s="19">
        <f t="shared" si="17"/>
        <v>3.1583333333333332</v>
      </c>
    </row>
    <row r="110" spans="1:23" x14ac:dyDescent="0.3">
      <c r="A110" s="32">
        <v>46087</v>
      </c>
      <c r="B110" s="7">
        <v>27</v>
      </c>
      <c r="C110" s="7" t="s">
        <v>5</v>
      </c>
      <c r="D110" s="7" t="s">
        <v>24</v>
      </c>
      <c r="E110" s="18">
        <v>4</v>
      </c>
      <c r="F110" s="14">
        <v>0</v>
      </c>
      <c r="G110" s="7">
        <v>4</v>
      </c>
      <c r="H110" s="7">
        <v>4</v>
      </c>
      <c r="I110" s="7">
        <v>0</v>
      </c>
      <c r="J110" s="7">
        <f t="shared" si="11"/>
        <v>-0.25</v>
      </c>
      <c r="K110" s="7">
        <f t="shared" si="12"/>
        <v>1.6666666666666673E-2</v>
      </c>
      <c r="L110" s="7">
        <f>E110-((E107+E108+E109)/3)</f>
        <v>2</v>
      </c>
      <c r="M110" s="40">
        <f>0.5 + (L110 * 0.09)</f>
        <v>0.67999999999999994</v>
      </c>
      <c r="N110" s="7">
        <f t="shared" si="13"/>
        <v>0.25</v>
      </c>
      <c r="O110" s="8">
        <f t="shared" si="14"/>
        <v>0.05</v>
      </c>
      <c r="P110" s="14">
        <v>7</v>
      </c>
      <c r="Q110" s="8">
        <f t="shared" si="15"/>
        <v>0.23333333333333334</v>
      </c>
      <c r="R110" s="7">
        <v>0</v>
      </c>
      <c r="S110" s="14">
        <v>0</v>
      </c>
      <c r="T110" s="7">
        <v>0</v>
      </c>
      <c r="U110" s="8">
        <f t="shared" si="16"/>
        <v>1</v>
      </c>
      <c r="V110" s="10">
        <v>0</v>
      </c>
      <c r="W110" s="20">
        <f t="shared" si="17"/>
        <v>2.0291666666666668</v>
      </c>
    </row>
    <row r="111" spans="1:23" x14ac:dyDescent="0.3">
      <c r="A111" s="1">
        <v>46096</v>
      </c>
      <c r="B111">
        <v>28</v>
      </c>
      <c r="C111" t="s">
        <v>3</v>
      </c>
      <c r="D111" t="s">
        <v>83</v>
      </c>
      <c r="E111" s="3">
        <v>4</v>
      </c>
      <c r="F111" s="2">
        <v>1</v>
      </c>
      <c r="G111">
        <v>1</v>
      </c>
      <c r="H111">
        <v>3</v>
      </c>
      <c r="I111">
        <v>2</v>
      </c>
      <c r="J111">
        <f t="shared" si="11"/>
        <v>0.66666666666666674</v>
      </c>
      <c r="K111">
        <f t="shared" si="12"/>
        <v>0.4333333333333334</v>
      </c>
      <c r="L111" s="3">
        <f>E111-((E112+E113)/2)</f>
        <v>1.5</v>
      </c>
      <c r="M111" s="36">
        <f t="shared" ref="M111:M126" si="21">0.5 + (L111 * 0.09)</f>
        <v>0.63500000000000001</v>
      </c>
      <c r="N111">
        <f t="shared" si="13"/>
        <v>1.6666666666666667</v>
      </c>
      <c r="O111" s="5">
        <f t="shared" si="14"/>
        <v>0.89999999999999991</v>
      </c>
      <c r="P111" s="2">
        <v>7</v>
      </c>
      <c r="Q111" s="5">
        <f t="shared" si="15"/>
        <v>0.83333333333333337</v>
      </c>
      <c r="R111">
        <v>1</v>
      </c>
      <c r="S111" s="2">
        <v>0</v>
      </c>
      <c r="T111">
        <v>0</v>
      </c>
      <c r="U111" s="5">
        <f t="shared" si="16"/>
        <v>1</v>
      </c>
      <c r="V111" s="9">
        <v>0</v>
      </c>
      <c r="W111" s="19">
        <f t="shared" si="17"/>
        <v>4.7041666666666675</v>
      </c>
    </row>
    <row r="112" spans="1:23" x14ac:dyDescent="0.3">
      <c r="A112" s="1">
        <v>46096</v>
      </c>
      <c r="B112">
        <v>28</v>
      </c>
      <c r="C112" t="s">
        <v>2</v>
      </c>
      <c r="D112" t="s">
        <v>75</v>
      </c>
      <c r="E112" s="3">
        <v>2</v>
      </c>
      <c r="F112" s="2">
        <v>0</v>
      </c>
      <c r="G112">
        <v>2</v>
      </c>
      <c r="H112">
        <v>3</v>
      </c>
      <c r="I112">
        <v>0</v>
      </c>
      <c r="J112">
        <f t="shared" si="11"/>
        <v>-0.33333333333333331</v>
      </c>
      <c r="K112">
        <f t="shared" si="12"/>
        <v>3.3333333333333347E-2</v>
      </c>
      <c r="L112">
        <f>E112-((E111+E113)/2)</f>
        <v>-1.5</v>
      </c>
      <c r="M112" s="36">
        <f t="shared" si="21"/>
        <v>0.36499999999999999</v>
      </c>
      <c r="N112">
        <f t="shared" si="13"/>
        <v>0.66666666666666663</v>
      </c>
      <c r="O112" s="5">
        <f t="shared" si="14"/>
        <v>0.3</v>
      </c>
      <c r="P112" s="2">
        <v>7</v>
      </c>
      <c r="Q112" s="5">
        <f t="shared" si="15"/>
        <v>0.23333333333333334</v>
      </c>
      <c r="R112">
        <v>0</v>
      </c>
      <c r="S112" s="2">
        <v>0</v>
      </c>
      <c r="T112">
        <v>0</v>
      </c>
      <c r="U112" s="5">
        <f t="shared" si="16"/>
        <v>1</v>
      </c>
      <c r="V112" s="9">
        <v>0</v>
      </c>
      <c r="W112" s="19">
        <f t="shared" si="17"/>
        <v>2.4041666666666663</v>
      </c>
    </row>
    <row r="113" spans="1:23" x14ac:dyDescent="0.3">
      <c r="A113" s="32">
        <v>46096</v>
      </c>
      <c r="B113" s="7">
        <v>28</v>
      </c>
      <c r="C113" s="7" t="s">
        <v>6</v>
      </c>
      <c r="D113" s="7" t="s">
        <v>8</v>
      </c>
      <c r="E113" s="18">
        <v>3</v>
      </c>
      <c r="F113" s="14">
        <v>0</v>
      </c>
      <c r="G113" s="7">
        <v>3</v>
      </c>
      <c r="H113" s="7">
        <v>3</v>
      </c>
      <c r="I113" s="7">
        <v>0</v>
      </c>
      <c r="J113" s="7">
        <f t="shared" si="11"/>
        <v>-0.33333333333333331</v>
      </c>
      <c r="K113" s="7">
        <f t="shared" si="12"/>
        <v>3.3333333333333347E-2</v>
      </c>
      <c r="L113" s="7">
        <f>E113-((E111+E112)/2)</f>
        <v>0</v>
      </c>
      <c r="M113" s="40">
        <f t="shared" si="21"/>
        <v>0.5</v>
      </c>
      <c r="N113" s="7">
        <f t="shared" si="13"/>
        <v>0.33333333333333331</v>
      </c>
      <c r="O113" s="8">
        <f t="shared" si="14"/>
        <v>9.9999999999999992E-2</v>
      </c>
      <c r="P113" s="14">
        <v>7</v>
      </c>
      <c r="Q113" s="8">
        <f t="shared" si="15"/>
        <v>0.23333333333333334</v>
      </c>
      <c r="R113" s="7">
        <v>0</v>
      </c>
      <c r="S113" s="14">
        <v>0</v>
      </c>
      <c r="T113" s="7">
        <v>0</v>
      </c>
      <c r="U113" s="8">
        <f t="shared" si="16"/>
        <v>1</v>
      </c>
      <c r="V113" s="10">
        <v>0</v>
      </c>
      <c r="W113" s="20">
        <f t="shared" si="17"/>
        <v>2.1041666666666665</v>
      </c>
    </row>
    <row r="114" spans="1:23" x14ac:dyDescent="0.3">
      <c r="A114" s="1">
        <v>46101</v>
      </c>
      <c r="B114">
        <v>29</v>
      </c>
      <c r="C114" t="s">
        <v>6</v>
      </c>
      <c r="D114" t="s">
        <v>45</v>
      </c>
      <c r="E114" s="3">
        <v>2</v>
      </c>
      <c r="F114" s="2">
        <v>1</v>
      </c>
      <c r="G114">
        <v>1</v>
      </c>
      <c r="H114">
        <v>8</v>
      </c>
      <c r="I114">
        <v>4</v>
      </c>
      <c r="J114">
        <f t="shared" si="11"/>
        <v>0.875</v>
      </c>
      <c r="K114">
        <f t="shared" si="12"/>
        <v>0.79166666666666674</v>
      </c>
      <c r="L114" s="3">
        <f>E114-((E115+E116+E117+E118+E119+E120+E121)/7)</f>
        <v>-1</v>
      </c>
      <c r="M114" s="36">
        <f t="shared" si="21"/>
        <v>0.41000000000000003</v>
      </c>
      <c r="N114">
        <f t="shared" si="13"/>
        <v>1.5</v>
      </c>
      <c r="O114" s="5">
        <f t="shared" si="14"/>
        <v>0.79999999999999993</v>
      </c>
      <c r="P114" s="2">
        <v>8</v>
      </c>
      <c r="Q114" s="5">
        <f t="shared" si="15"/>
        <v>0.79166666666666663</v>
      </c>
      <c r="R114">
        <v>1</v>
      </c>
      <c r="S114" s="2">
        <v>0</v>
      </c>
      <c r="T114">
        <v>0</v>
      </c>
      <c r="U114" s="5">
        <f t="shared" si="16"/>
        <v>1</v>
      </c>
      <c r="V114" s="9">
        <v>0</v>
      </c>
      <c r="W114" s="19">
        <f t="shared" si="17"/>
        <v>4.5177083333333332</v>
      </c>
    </row>
    <row r="115" spans="1:23" x14ac:dyDescent="0.3">
      <c r="A115" s="1">
        <v>46101</v>
      </c>
      <c r="B115">
        <v>29</v>
      </c>
      <c r="C115" t="s">
        <v>3</v>
      </c>
      <c r="D115" t="s">
        <v>86</v>
      </c>
      <c r="E115" s="3">
        <v>3</v>
      </c>
      <c r="F115" s="2">
        <v>0</v>
      </c>
      <c r="G115">
        <v>4</v>
      </c>
      <c r="H115">
        <v>8</v>
      </c>
      <c r="I115">
        <v>0</v>
      </c>
      <c r="J115">
        <f t="shared" si="11"/>
        <v>-0.125</v>
      </c>
      <c r="K115">
        <f t="shared" si="12"/>
        <v>-8.3333333333333263E-3</v>
      </c>
      <c r="L115">
        <f>E115-((E114+E116+E117+E118+E119+E120+E121)/7)</f>
        <v>0.14285714285714279</v>
      </c>
      <c r="M115" s="36">
        <f t="shared" si="21"/>
        <v>0.5128571428571429</v>
      </c>
      <c r="N115">
        <f t="shared" si="13"/>
        <v>0.625</v>
      </c>
      <c r="O115" s="5">
        <f t="shared" si="14"/>
        <v>0.27500000000000002</v>
      </c>
      <c r="P115" s="2">
        <v>7</v>
      </c>
      <c r="Q115" s="5">
        <f t="shared" si="15"/>
        <v>0.23333333333333334</v>
      </c>
      <c r="R115">
        <v>0</v>
      </c>
      <c r="S115" s="2">
        <v>0</v>
      </c>
      <c r="T115">
        <v>0</v>
      </c>
      <c r="U115" s="5">
        <f t="shared" si="16"/>
        <v>1</v>
      </c>
      <c r="V115" s="9">
        <v>0</v>
      </c>
      <c r="W115" s="19">
        <f t="shared" si="17"/>
        <v>2.3666666666666667</v>
      </c>
    </row>
    <row r="116" spans="1:23" x14ac:dyDescent="0.3">
      <c r="A116" s="1">
        <v>46101</v>
      </c>
      <c r="B116">
        <v>29</v>
      </c>
      <c r="C116" t="s">
        <v>2</v>
      </c>
      <c r="D116" t="s">
        <v>75</v>
      </c>
      <c r="E116" s="3">
        <v>2</v>
      </c>
      <c r="F116" s="2">
        <v>0</v>
      </c>
      <c r="G116">
        <v>3</v>
      </c>
      <c r="H116">
        <v>8</v>
      </c>
      <c r="I116">
        <v>0</v>
      </c>
      <c r="J116">
        <f t="shared" si="11"/>
        <v>-0.125</v>
      </c>
      <c r="K116">
        <f t="shared" si="12"/>
        <v>-8.3333333333333263E-3</v>
      </c>
      <c r="L116">
        <f>E116-((E114+E115+E117+E118+E119+E120+E121)/7)</f>
        <v>-1</v>
      </c>
      <c r="M116" s="36">
        <f t="shared" si="21"/>
        <v>0.41000000000000003</v>
      </c>
      <c r="N116">
        <f t="shared" si="13"/>
        <v>0.75</v>
      </c>
      <c r="O116" s="5">
        <f t="shared" si="14"/>
        <v>0.35000000000000003</v>
      </c>
      <c r="P116" s="2">
        <v>7</v>
      </c>
      <c r="Q116" s="5">
        <f t="shared" si="15"/>
        <v>0.23333333333333334</v>
      </c>
      <c r="R116">
        <v>0</v>
      </c>
      <c r="S116" s="2">
        <v>1</v>
      </c>
      <c r="T116">
        <v>0</v>
      </c>
      <c r="U116" s="5">
        <f t="shared" si="16"/>
        <v>0</v>
      </c>
      <c r="V116" s="9">
        <v>0</v>
      </c>
      <c r="W116" s="19">
        <f t="shared" si="17"/>
        <v>1.6041666666666665</v>
      </c>
    </row>
    <row r="117" spans="1:23" x14ac:dyDescent="0.3">
      <c r="A117" s="1">
        <v>46101</v>
      </c>
      <c r="B117">
        <v>29</v>
      </c>
      <c r="C117" t="s">
        <v>5</v>
      </c>
      <c r="D117" t="s">
        <v>24</v>
      </c>
      <c r="E117" s="3">
        <v>4</v>
      </c>
      <c r="F117" s="2">
        <v>0</v>
      </c>
      <c r="G117">
        <v>4</v>
      </c>
      <c r="H117">
        <v>8</v>
      </c>
      <c r="I117">
        <v>0</v>
      </c>
      <c r="J117">
        <f t="shared" si="11"/>
        <v>-0.125</v>
      </c>
      <c r="K117">
        <f t="shared" si="12"/>
        <v>-8.3333333333333263E-3</v>
      </c>
      <c r="L117">
        <f>E117-((E114+E115+E116+E118+E119+E120+E121)/7)</f>
        <v>1.2857142857142856</v>
      </c>
      <c r="M117" s="36">
        <f t="shared" si="21"/>
        <v>0.61571428571428566</v>
      </c>
      <c r="N117">
        <f t="shared" si="13"/>
        <v>0.625</v>
      </c>
      <c r="O117" s="5">
        <f t="shared" si="14"/>
        <v>0.27500000000000002</v>
      </c>
      <c r="P117" s="2">
        <v>7</v>
      </c>
      <c r="Q117" s="5">
        <f t="shared" si="15"/>
        <v>0.23333333333333334</v>
      </c>
      <c r="R117">
        <v>0</v>
      </c>
      <c r="S117" s="2">
        <v>0</v>
      </c>
      <c r="T117">
        <v>0</v>
      </c>
      <c r="U117" s="5">
        <f t="shared" si="16"/>
        <v>1</v>
      </c>
      <c r="V117" s="9">
        <v>0</v>
      </c>
      <c r="W117" s="19">
        <f t="shared" si="17"/>
        <v>2.3666666666666667</v>
      </c>
    </row>
    <row r="118" spans="1:23" x14ac:dyDescent="0.3">
      <c r="A118" s="1">
        <v>46101</v>
      </c>
      <c r="B118">
        <v>29</v>
      </c>
      <c r="C118" t="s">
        <v>49</v>
      </c>
      <c r="D118" t="s">
        <v>50</v>
      </c>
      <c r="E118" s="3">
        <v>2</v>
      </c>
      <c r="F118" s="2">
        <v>0</v>
      </c>
      <c r="G118">
        <v>4</v>
      </c>
      <c r="H118">
        <v>8</v>
      </c>
      <c r="I118">
        <v>0</v>
      </c>
      <c r="J118">
        <f t="shared" si="11"/>
        <v>-0.125</v>
      </c>
      <c r="K118">
        <f t="shared" si="12"/>
        <v>-8.3333333333333263E-3</v>
      </c>
      <c r="L118">
        <f>E118-((E114+E115+E116+E117+E119+E120+E121)/7)</f>
        <v>-1</v>
      </c>
      <c r="M118" s="36">
        <f t="shared" si="21"/>
        <v>0.41000000000000003</v>
      </c>
      <c r="N118">
        <f t="shared" si="13"/>
        <v>0.625</v>
      </c>
      <c r="O118" s="5">
        <f t="shared" si="14"/>
        <v>0.27500000000000002</v>
      </c>
      <c r="P118" s="2">
        <v>7</v>
      </c>
      <c r="Q118" s="5">
        <f t="shared" si="15"/>
        <v>0.23333333333333334</v>
      </c>
      <c r="R118">
        <v>0</v>
      </c>
      <c r="S118" s="2">
        <v>1</v>
      </c>
      <c r="T118">
        <v>0</v>
      </c>
      <c r="U118" s="5">
        <f t="shared" si="16"/>
        <v>0</v>
      </c>
      <c r="V118" s="9">
        <v>0</v>
      </c>
      <c r="W118" s="19">
        <f t="shared" si="17"/>
        <v>1.4916666666666667</v>
      </c>
    </row>
    <row r="119" spans="1:23" x14ac:dyDescent="0.3">
      <c r="A119" s="1">
        <v>46101</v>
      </c>
      <c r="B119">
        <v>29</v>
      </c>
      <c r="C119" t="s">
        <v>4</v>
      </c>
      <c r="D119" t="s">
        <v>80</v>
      </c>
      <c r="E119" s="3">
        <v>3</v>
      </c>
      <c r="F119" s="2">
        <v>0</v>
      </c>
      <c r="G119">
        <v>4</v>
      </c>
      <c r="H119">
        <v>8</v>
      </c>
      <c r="I119">
        <v>0</v>
      </c>
      <c r="J119">
        <f t="shared" si="11"/>
        <v>-0.125</v>
      </c>
      <c r="K119">
        <f t="shared" si="12"/>
        <v>-8.3333333333333263E-3</v>
      </c>
      <c r="L119">
        <f>E119-((E114+E115+E116+E117+E118+E120+E121)/7)</f>
        <v>0.14285714285714279</v>
      </c>
      <c r="M119" s="36">
        <f t="shared" si="21"/>
        <v>0.5128571428571429</v>
      </c>
      <c r="N119">
        <f t="shared" si="13"/>
        <v>0.625</v>
      </c>
      <c r="O119" s="5">
        <f t="shared" si="14"/>
        <v>0.27500000000000002</v>
      </c>
      <c r="P119" s="2">
        <v>7</v>
      </c>
      <c r="Q119" s="5">
        <f t="shared" si="15"/>
        <v>0.23333333333333334</v>
      </c>
      <c r="R119">
        <v>0</v>
      </c>
      <c r="S119" s="2">
        <v>0</v>
      </c>
      <c r="T119">
        <v>0</v>
      </c>
      <c r="U119" s="5">
        <f t="shared" si="16"/>
        <v>1</v>
      </c>
      <c r="V119" s="9">
        <v>0</v>
      </c>
      <c r="W119" s="19">
        <f t="shared" si="17"/>
        <v>2.3666666666666667</v>
      </c>
    </row>
    <row r="120" spans="1:23" x14ac:dyDescent="0.3">
      <c r="A120" s="1">
        <v>46101</v>
      </c>
      <c r="B120">
        <v>29</v>
      </c>
      <c r="C120" t="s">
        <v>73</v>
      </c>
      <c r="D120" t="s">
        <v>84</v>
      </c>
      <c r="E120" s="3">
        <v>3</v>
      </c>
      <c r="F120" s="2">
        <v>0</v>
      </c>
      <c r="G120">
        <v>4</v>
      </c>
      <c r="H120">
        <v>8</v>
      </c>
      <c r="I120">
        <v>0</v>
      </c>
      <c r="J120">
        <f t="shared" si="11"/>
        <v>-0.125</v>
      </c>
      <c r="K120">
        <f t="shared" si="12"/>
        <v>-8.3333333333333263E-3</v>
      </c>
      <c r="L120">
        <f>E120-((E114+E115+E116+E117+E118+E119+E121)/7)</f>
        <v>0.14285714285714279</v>
      </c>
      <c r="M120" s="36">
        <f t="shared" si="21"/>
        <v>0.5128571428571429</v>
      </c>
      <c r="N120">
        <f t="shared" si="13"/>
        <v>0.625</v>
      </c>
      <c r="O120" s="5">
        <f t="shared" si="14"/>
        <v>0.27500000000000002</v>
      </c>
      <c r="P120" s="2">
        <v>7</v>
      </c>
      <c r="Q120" s="5">
        <f t="shared" si="15"/>
        <v>0.23333333333333334</v>
      </c>
      <c r="R120">
        <v>1</v>
      </c>
      <c r="S120" s="2">
        <v>0</v>
      </c>
      <c r="T120">
        <v>0</v>
      </c>
      <c r="U120" s="5">
        <f t="shared" si="16"/>
        <v>1</v>
      </c>
      <c r="V120" s="9">
        <v>0</v>
      </c>
      <c r="W120" s="19">
        <f t="shared" si="17"/>
        <v>3.2416666666666667</v>
      </c>
    </row>
    <row r="121" spans="1:23" x14ac:dyDescent="0.3">
      <c r="A121" s="32">
        <v>46101</v>
      </c>
      <c r="B121" s="7">
        <v>29</v>
      </c>
      <c r="C121" s="7" t="s">
        <v>87</v>
      </c>
      <c r="D121" s="7" t="s">
        <v>85</v>
      </c>
      <c r="E121" s="18">
        <v>4</v>
      </c>
      <c r="F121" s="14">
        <v>0</v>
      </c>
      <c r="G121" s="7">
        <v>2</v>
      </c>
      <c r="H121" s="7">
        <v>8</v>
      </c>
      <c r="I121" s="7">
        <v>3</v>
      </c>
      <c r="J121" s="7">
        <f t="shared" si="11"/>
        <v>-0.125</v>
      </c>
      <c r="K121" s="7">
        <f t="shared" si="12"/>
        <v>0.59166666666666667</v>
      </c>
      <c r="L121" s="7">
        <f>E121-((E114+E115+E116+E117+E118+E119+E120)/7)</f>
        <v>1.2857142857142856</v>
      </c>
      <c r="M121" s="40">
        <f t="shared" si="21"/>
        <v>0.61571428571428566</v>
      </c>
      <c r="N121" s="7">
        <f t="shared" si="13"/>
        <v>1.203125</v>
      </c>
      <c r="O121" s="8">
        <f t="shared" si="14"/>
        <v>0.62187499999999996</v>
      </c>
      <c r="P121" s="14">
        <v>8</v>
      </c>
      <c r="Q121" s="8">
        <f t="shared" si="15"/>
        <v>0.26666666666666666</v>
      </c>
      <c r="R121" s="7">
        <v>1</v>
      </c>
      <c r="S121" s="14">
        <v>0</v>
      </c>
      <c r="T121" s="7">
        <v>0</v>
      </c>
      <c r="U121" s="8">
        <f t="shared" si="16"/>
        <v>1</v>
      </c>
      <c r="V121" s="10">
        <v>0</v>
      </c>
      <c r="W121" s="20">
        <f t="shared" si="17"/>
        <v>3.7911458333333337</v>
      </c>
    </row>
    <row r="122" spans="1:23" x14ac:dyDescent="0.3">
      <c r="A122" s="1">
        <v>46101</v>
      </c>
      <c r="B122">
        <v>30</v>
      </c>
      <c r="C122" t="s">
        <v>6</v>
      </c>
      <c r="D122" t="s">
        <v>71</v>
      </c>
      <c r="E122" s="3">
        <v>4</v>
      </c>
      <c r="F122" s="2">
        <v>1</v>
      </c>
      <c r="G122">
        <v>1</v>
      </c>
      <c r="H122">
        <v>5</v>
      </c>
      <c r="I122">
        <v>2</v>
      </c>
      <c r="J122">
        <f t="shared" si="11"/>
        <v>0.8</v>
      </c>
      <c r="K122">
        <f t="shared" si="12"/>
        <v>0.40666666666666662</v>
      </c>
      <c r="L122" s="25">
        <f>E122-((E123+E124+E125+E126)/4)</f>
        <v>0.5</v>
      </c>
      <c r="M122" s="47">
        <f t="shared" si="21"/>
        <v>0.54500000000000004</v>
      </c>
      <c r="N122">
        <f t="shared" si="13"/>
        <v>1.4</v>
      </c>
      <c r="O122" s="5">
        <f t="shared" si="14"/>
        <v>0.73999999999999988</v>
      </c>
      <c r="P122" s="2">
        <v>13</v>
      </c>
      <c r="Q122" s="5">
        <f t="shared" si="15"/>
        <v>0.58333333333333326</v>
      </c>
      <c r="R122">
        <v>1</v>
      </c>
      <c r="S122" s="2">
        <v>1</v>
      </c>
      <c r="T122">
        <v>0</v>
      </c>
      <c r="U122" s="5">
        <f t="shared" si="16"/>
        <v>0</v>
      </c>
      <c r="V122" s="9">
        <v>0</v>
      </c>
      <c r="W122" s="19">
        <f t="shared" si="17"/>
        <v>3.3704166666666664</v>
      </c>
    </row>
    <row r="123" spans="1:23" x14ac:dyDescent="0.3">
      <c r="A123" s="1">
        <v>46101</v>
      </c>
      <c r="B123">
        <v>30</v>
      </c>
      <c r="C123" t="s">
        <v>2</v>
      </c>
      <c r="D123" t="s">
        <v>37</v>
      </c>
      <c r="E123" s="3">
        <v>3</v>
      </c>
      <c r="F123" s="2">
        <v>0</v>
      </c>
      <c r="G123">
        <v>2</v>
      </c>
      <c r="H123">
        <v>5</v>
      </c>
      <c r="I123">
        <v>0</v>
      </c>
      <c r="J123">
        <f t="shared" si="11"/>
        <v>-0.2</v>
      </c>
      <c r="K123">
        <f t="shared" si="12"/>
        <v>6.6666666666666654E-3</v>
      </c>
      <c r="L123">
        <f>E123-((E122+E124+E125+E126)/4)</f>
        <v>-0.75</v>
      </c>
      <c r="M123" s="48">
        <f t="shared" si="21"/>
        <v>0.4325</v>
      </c>
      <c r="N123">
        <f t="shared" si="13"/>
        <v>0.8</v>
      </c>
      <c r="O123" s="5">
        <f t="shared" si="14"/>
        <v>0.38</v>
      </c>
      <c r="P123" s="2">
        <v>13</v>
      </c>
      <c r="Q123" s="5">
        <f t="shared" si="15"/>
        <v>0.43333333333333335</v>
      </c>
      <c r="R123">
        <v>0</v>
      </c>
      <c r="S123" s="2">
        <v>1</v>
      </c>
      <c r="T123">
        <v>1</v>
      </c>
      <c r="U123" s="5">
        <f t="shared" si="16"/>
        <v>1</v>
      </c>
      <c r="V123" s="9">
        <v>0</v>
      </c>
      <c r="W123" s="19">
        <f t="shared" si="17"/>
        <v>2.6991666666666667</v>
      </c>
    </row>
    <row r="124" spans="1:23" x14ac:dyDescent="0.3">
      <c r="A124" s="1">
        <v>46101</v>
      </c>
      <c r="B124">
        <v>30</v>
      </c>
      <c r="C124" t="s">
        <v>87</v>
      </c>
      <c r="D124" t="s">
        <v>85</v>
      </c>
      <c r="E124" s="3">
        <v>4</v>
      </c>
      <c r="F124" s="2">
        <v>0</v>
      </c>
      <c r="G124">
        <v>3</v>
      </c>
      <c r="H124">
        <v>5</v>
      </c>
      <c r="I124">
        <v>1</v>
      </c>
      <c r="J124">
        <f t="shared" si="11"/>
        <v>-0.2</v>
      </c>
      <c r="K124">
        <f t="shared" si="12"/>
        <v>0.20666666666666664</v>
      </c>
      <c r="L124">
        <f>E124-((E122+E123+E125+E126)/4)</f>
        <v>0.5</v>
      </c>
      <c r="M124" s="48">
        <f t="shared" si="21"/>
        <v>0.54500000000000004</v>
      </c>
      <c r="N124">
        <f t="shared" si="13"/>
        <v>0.72</v>
      </c>
      <c r="O124" s="5">
        <f t="shared" si="14"/>
        <v>0.33200000000000002</v>
      </c>
      <c r="P124" s="2">
        <v>12</v>
      </c>
      <c r="Q124" s="5">
        <f t="shared" si="15"/>
        <v>0.4</v>
      </c>
      <c r="R124">
        <v>1</v>
      </c>
      <c r="S124" s="2">
        <v>0</v>
      </c>
      <c r="T124">
        <v>0</v>
      </c>
      <c r="U124" s="5">
        <f t="shared" si="16"/>
        <v>1</v>
      </c>
      <c r="V124" s="9">
        <v>0</v>
      </c>
      <c r="W124" s="19">
        <f t="shared" si="17"/>
        <v>3.4730000000000008</v>
      </c>
    </row>
    <row r="125" spans="1:23" x14ac:dyDescent="0.3">
      <c r="A125" s="1">
        <v>46101</v>
      </c>
      <c r="B125">
        <v>30</v>
      </c>
      <c r="C125" t="s">
        <v>73</v>
      </c>
      <c r="D125" t="s">
        <v>84</v>
      </c>
      <c r="E125" s="3">
        <v>3</v>
      </c>
      <c r="F125" s="2">
        <v>0</v>
      </c>
      <c r="G125">
        <v>4</v>
      </c>
      <c r="H125">
        <v>5</v>
      </c>
      <c r="I125">
        <v>1</v>
      </c>
      <c r="J125">
        <f t="shared" si="11"/>
        <v>-0.2</v>
      </c>
      <c r="K125">
        <f t="shared" si="12"/>
        <v>0.20666666666666664</v>
      </c>
      <c r="L125">
        <f>E125-((E122+E123+E124+E126)/4)</f>
        <v>-0.75</v>
      </c>
      <c r="M125" s="48">
        <f t="shared" si="21"/>
        <v>0.4325</v>
      </c>
      <c r="N125">
        <f t="shared" si="13"/>
        <v>0.48</v>
      </c>
      <c r="O125" s="5">
        <f t="shared" si="14"/>
        <v>0.188</v>
      </c>
      <c r="P125" s="2">
        <v>9</v>
      </c>
      <c r="Q125" s="5">
        <f t="shared" si="15"/>
        <v>0.3</v>
      </c>
      <c r="R125">
        <v>1</v>
      </c>
      <c r="S125" s="2">
        <v>0</v>
      </c>
      <c r="T125">
        <v>0</v>
      </c>
      <c r="U125" s="5">
        <f t="shared" si="16"/>
        <v>1</v>
      </c>
      <c r="V125" s="9">
        <v>0</v>
      </c>
      <c r="W125" s="19">
        <f t="shared" si="17"/>
        <v>3.1694999999999993</v>
      </c>
    </row>
    <row r="126" spans="1:23" x14ac:dyDescent="0.3">
      <c r="A126" s="32">
        <v>46101</v>
      </c>
      <c r="B126" s="7">
        <v>30</v>
      </c>
      <c r="C126" s="7" t="s">
        <v>3</v>
      </c>
      <c r="D126" s="7" t="s">
        <v>83</v>
      </c>
      <c r="E126" s="18">
        <v>4</v>
      </c>
      <c r="F126" s="14">
        <v>0</v>
      </c>
      <c r="G126" s="7">
        <v>5</v>
      </c>
      <c r="H126" s="7">
        <v>5</v>
      </c>
      <c r="I126" s="7">
        <v>0</v>
      </c>
      <c r="J126" s="7">
        <f t="shared" si="11"/>
        <v>-0.2</v>
      </c>
      <c r="K126" s="7">
        <f t="shared" si="12"/>
        <v>6.6666666666666654E-3</v>
      </c>
      <c r="L126" s="7">
        <f>E126-((E122+E123+E124+E125)/4)</f>
        <v>0.5</v>
      </c>
      <c r="M126" s="40">
        <f t="shared" si="21"/>
        <v>0.54500000000000004</v>
      </c>
      <c r="N126" s="7">
        <f t="shared" si="13"/>
        <v>0.2</v>
      </c>
      <c r="O126" s="8">
        <f t="shared" si="14"/>
        <v>2.0000000000000011E-2</v>
      </c>
      <c r="P126" s="14">
        <v>8</v>
      </c>
      <c r="Q126" s="8">
        <f t="shared" si="15"/>
        <v>0.26666666666666666</v>
      </c>
      <c r="R126" s="7">
        <v>1</v>
      </c>
      <c r="S126" s="14">
        <v>0</v>
      </c>
      <c r="T126" s="7">
        <v>0</v>
      </c>
      <c r="U126" s="8">
        <f t="shared" si="16"/>
        <v>1</v>
      </c>
      <c r="V126" s="10">
        <v>0</v>
      </c>
      <c r="W126" s="20">
        <f t="shared" si="17"/>
        <v>2.8883333333333328</v>
      </c>
    </row>
  </sheetData>
  <autoFilter ref="A2:W74" xr:uid="{05F5DEB5-F299-443C-8A85-DC07618FF213}"/>
  <mergeCells count="3">
    <mergeCell ref="A1:E1"/>
    <mergeCell ref="P1:Q1"/>
    <mergeCell ref="S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CB1FE-D6B6-4641-9D1A-4D13516E174C}">
  <dimension ref="A1:X116"/>
  <sheetViews>
    <sheetView zoomScale="96" workbookViewId="0">
      <selection activeCell="D18" sqref="D18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19" customWidth="1"/>
    <col min="24" max="24" width="26.77734375" bestFit="1" customWidth="1"/>
  </cols>
  <sheetData>
    <row r="1" spans="1:24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60" t="s">
        <v>33</v>
      </c>
      <c r="X1" s="61"/>
    </row>
    <row r="2" spans="1:24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94</v>
      </c>
      <c r="X2" s="15" t="s">
        <v>33</v>
      </c>
    </row>
    <row r="3" spans="1:24" x14ac:dyDescent="0.3">
      <c r="A3" s="1">
        <v>46114</v>
      </c>
      <c r="B3">
        <v>1</v>
      </c>
      <c r="C3" t="s">
        <v>5</v>
      </c>
      <c r="D3" t="s">
        <v>11</v>
      </c>
      <c r="E3" s="3">
        <v>2</v>
      </c>
      <c r="F3">
        <v>1</v>
      </c>
      <c r="G3">
        <v>1</v>
      </c>
      <c r="H3">
        <v>5</v>
      </c>
      <c r="I3">
        <v>1</v>
      </c>
      <c r="J3">
        <f t="shared" ref="J3:J111" si="0">F3-(1/H3)</f>
        <v>0.8</v>
      </c>
      <c r="K3">
        <f t="shared" ref="K3:K111" si="1">((I3-((H3-1)/H3))-(-5/6))/((5-(5/6))-(-5/6))</f>
        <v>0.20666666666666664</v>
      </c>
      <c r="L3" s="25">
        <f>E3-((E4+E5+E6+E7)/4)</f>
        <v>-0.75</v>
      </c>
      <c r="M3" s="47">
        <f t="shared" ref="M3:M16" si="2">0.5 + (L3 * 0.09)</f>
        <v>0.4325</v>
      </c>
      <c r="N3">
        <f t="shared" ref="N3:N111" si="3">((H3-(G3-1))/H3)*(IF(I3&lt;&gt;0,(I3+H3)/H3,1))</f>
        <v>1.2</v>
      </c>
      <c r="O3" s="5">
        <f t="shared" ref="O3:O111" si="4">(N3-(1/6))/(10/6)</f>
        <v>0.61999999999999988</v>
      </c>
      <c r="P3">
        <v>12</v>
      </c>
      <c r="Q3" s="5">
        <f t="shared" ref="Q3:Q40" si="5">IF(F3=1,(((1-((P3-3)/15))*0.5)+0.5),((P3/18)*0.5))</f>
        <v>0.7</v>
      </c>
      <c r="R3">
        <v>0</v>
      </c>
      <c r="S3">
        <v>0</v>
      </c>
      <c r="T3">
        <v>0</v>
      </c>
      <c r="U3" s="5">
        <f t="shared" ref="U3:U111" si="6">IFERROR(T3/S3, 1)</f>
        <v>1</v>
      </c>
      <c r="V3" s="49">
        <v>0</v>
      </c>
      <c r="W3">
        <v>2</v>
      </c>
      <c r="X3" s="17">
        <f t="shared" ref="X3:X30" si="7">((O3*0.3)+(Q3*0.175)+(R3*0.175)+(U3*0.175)+((1-V3)*0.175))+W3</f>
        <v>2.6585000000000001</v>
      </c>
    </row>
    <row r="4" spans="1:24" x14ac:dyDescent="0.3">
      <c r="A4" s="1">
        <v>46114</v>
      </c>
      <c r="B4">
        <v>1</v>
      </c>
      <c r="C4" t="s">
        <v>6</v>
      </c>
      <c r="D4" t="s">
        <v>88</v>
      </c>
      <c r="E4" s="3">
        <v>2</v>
      </c>
      <c r="F4">
        <v>0</v>
      </c>
      <c r="G4">
        <v>2</v>
      </c>
      <c r="H4">
        <v>5</v>
      </c>
      <c r="I4">
        <v>1</v>
      </c>
      <c r="J4">
        <f t="shared" si="0"/>
        <v>-0.2</v>
      </c>
      <c r="K4">
        <f t="shared" si="1"/>
        <v>0.20666666666666664</v>
      </c>
      <c r="L4">
        <f>E4-((E3+E5+E6+E7)/4)</f>
        <v>-0.75</v>
      </c>
      <c r="M4" s="48">
        <f t="shared" si="2"/>
        <v>0.4325</v>
      </c>
      <c r="N4">
        <f t="shared" si="3"/>
        <v>0.96</v>
      </c>
      <c r="O4" s="5">
        <f t="shared" si="4"/>
        <v>0.47599999999999998</v>
      </c>
      <c r="P4">
        <v>12</v>
      </c>
      <c r="Q4" s="5">
        <f t="shared" si="5"/>
        <v>0.33333333333333331</v>
      </c>
      <c r="R4">
        <v>0</v>
      </c>
      <c r="S4">
        <v>2</v>
      </c>
      <c r="T4">
        <v>0</v>
      </c>
      <c r="U4" s="5">
        <f t="shared" si="6"/>
        <v>0</v>
      </c>
      <c r="V4" s="9">
        <v>0</v>
      </c>
      <c r="W4">
        <v>2</v>
      </c>
      <c r="X4" s="17">
        <f t="shared" si="7"/>
        <v>2.3761333333333332</v>
      </c>
    </row>
    <row r="5" spans="1:24" x14ac:dyDescent="0.3">
      <c r="A5" s="1">
        <v>46114</v>
      </c>
      <c r="B5">
        <v>1</v>
      </c>
      <c r="C5" t="s">
        <v>3</v>
      </c>
      <c r="D5" t="s">
        <v>86</v>
      </c>
      <c r="E5" s="3">
        <v>3</v>
      </c>
      <c r="F5">
        <v>0</v>
      </c>
      <c r="G5">
        <v>3</v>
      </c>
      <c r="H5">
        <v>5</v>
      </c>
      <c r="I5">
        <v>1</v>
      </c>
      <c r="J5">
        <f t="shared" si="0"/>
        <v>-0.2</v>
      </c>
      <c r="K5">
        <f t="shared" si="1"/>
        <v>0.20666666666666664</v>
      </c>
      <c r="L5">
        <f>E5-((E3+E4+E6+E7)/4)</f>
        <v>0.5</v>
      </c>
      <c r="M5" s="48">
        <f t="shared" si="2"/>
        <v>0.54500000000000004</v>
      </c>
      <c r="N5">
        <f t="shared" si="3"/>
        <v>0.72</v>
      </c>
      <c r="O5" s="5">
        <f t="shared" si="4"/>
        <v>0.33200000000000002</v>
      </c>
      <c r="P5">
        <v>11</v>
      </c>
      <c r="Q5" s="5">
        <f t="shared" si="5"/>
        <v>0.30555555555555558</v>
      </c>
      <c r="R5">
        <v>1</v>
      </c>
      <c r="S5">
        <v>0</v>
      </c>
      <c r="T5">
        <v>0</v>
      </c>
      <c r="U5" s="5">
        <f t="shared" si="6"/>
        <v>1</v>
      </c>
      <c r="V5" s="9">
        <v>0</v>
      </c>
      <c r="W5">
        <v>3</v>
      </c>
      <c r="X5" s="17">
        <f t="shared" si="7"/>
        <v>3.6780722222222222</v>
      </c>
    </row>
    <row r="6" spans="1:24" x14ac:dyDescent="0.3">
      <c r="A6" s="1">
        <v>46114</v>
      </c>
      <c r="B6">
        <v>1</v>
      </c>
      <c r="C6" t="s">
        <v>2</v>
      </c>
      <c r="D6" t="s">
        <v>36</v>
      </c>
      <c r="E6" s="3">
        <v>3</v>
      </c>
      <c r="F6">
        <v>0</v>
      </c>
      <c r="G6">
        <v>4</v>
      </c>
      <c r="H6">
        <v>5</v>
      </c>
      <c r="I6">
        <v>1</v>
      </c>
      <c r="J6">
        <f t="shared" si="0"/>
        <v>-0.2</v>
      </c>
      <c r="K6">
        <f t="shared" si="1"/>
        <v>0.20666666666666664</v>
      </c>
      <c r="L6">
        <f>E6-((E3+E4+E5+E7)/4)</f>
        <v>0.5</v>
      </c>
      <c r="M6" s="48">
        <f t="shared" si="2"/>
        <v>0.54500000000000004</v>
      </c>
      <c r="N6">
        <f t="shared" si="3"/>
        <v>0.48</v>
      </c>
      <c r="O6" s="5">
        <f t="shared" si="4"/>
        <v>0.188</v>
      </c>
      <c r="P6">
        <v>9</v>
      </c>
      <c r="Q6" s="5">
        <f t="shared" si="5"/>
        <v>0.25</v>
      </c>
      <c r="R6">
        <v>1</v>
      </c>
      <c r="S6">
        <v>1</v>
      </c>
      <c r="T6">
        <v>1</v>
      </c>
      <c r="U6" s="5">
        <f t="shared" si="6"/>
        <v>1</v>
      </c>
      <c r="V6" s="9">
        <v>0</v>
      </c>
      <c r="W6">
        <v>3</v>
      </c>
      <c r="X6" s="17">
        <f t="shared" si="7"/>
        <v>3.6251500000000001</v>
      </c>
    </row>
    <row r="7" spans="1:24" x14ac:dyDescent="0.3">
      <c r="A7" s="32">
        <v>46114</v>
      </c>
      <c r="B7" s="7">
        <v>1</v>
      </c>
      <c r="C7" s="7" t="s">
        <v>87</v>
      </c>
      <c r="D7" s="7" t="s">
        <v>85</v>
      </c>
      <c r="E7" s="18">
        <v>3</v>
      </c>
      <c r="F7" s="7">
        <v>0</v>
      </c>
      <c r="G7" s="7">
        <v>5</v>
      </c>
      <c r="H7" s="7">
        <v>5</v>
      </c>
      <c r="I7" s="7">
        <v>0</v>
      </c>
      <c r="J7" s="7">
        <f t="shared" si="0"/>
        <v>-0.2</v>
      </c>
      <c r="K7" s="7">
        <f t="shared" si="1"/>
        <v>6.6666666666666654E-3</v>
      </c>
      <c r="L7" s="7">
        <f>E7-((E3+E4+E5+E6)/4)</f>
        <v>0.5</v>
      </c>
      <c r="M7" s="40">
        <f t="shared" si="2"/>
        <v>0.54500000000000004</v>
      </c>
      <c r="N7" s="7">
        <f t="shared" si="3"/>
        <v>0.2</v>
      </c>
      <c r="O7" s="8">
        <f t="shared" si="4"/>
        <v>2.0000000000000011E-2</v>
      </c>
      <c r="P7" s="7">
        <v>7</v>
      </c>
      <c r="Q7" s="8">
        <f t="shared" si="5"/>
        <v>0.19444444444444445</v>
      </c>
      <c r="R7" s="7">
        <v>1</v>
      </c>
      <c r="S7" s="7">
        <v>0</v>
      </c>
      <c r="T7" s="7">
        <v>0</v>
      </c>
      <c r="U7" s="8">
        <f t="shared" si="6"/>
        <v>1</v>
      </c>
      <c r="V7" s="10">
        <v>0</v>
      </c>
      <c r="W7" s="14">
        <v>4</v>
      </c>
      <c r="X7" s="16">
        <f t="shared" si="7"/>
        <v>4.5650277777777779</v>
      </c>
    </row>
    <row r="8" spans="1:24" x14ac:dyDescent="0.3">
      <c r="A8" s="1">
        <v>46115</v>
      </c>
      <c r="B8">
        <v>2</v>
      </c>
      <c r="C8" t="s">
        <v>2</v>
      </c>
      <c r="D8" t="s">
        <v>76</v>
      </c>
      <c r="E8" s="3">
        <v>3</v>
      </c>
      <c r="F8">
        <v>1</v>
      </c>
      <c r="G8">
        <v>1</v>
      </c>
      <c r="H8">
        <v>6</v>
      </c>
      <c r="I8">
        <v>1</v>
      </c>
      <c r="J8">
        <f t="shared" si="0"/>
        <v>0.83333333333333337</v>
      </c>
      <c r="K8">
        <f t="shared" si="1"/>
        <v>0.2</v>
      </c>
      <c r="L8">
        <f>E8-((E9+E10+E11+E12+E13)/5)</f>
        <v>0.39999999999999991</v>
      </c>
      <c r="M8" s="48">
        <f t="shared" si="2"/>
        <v>0.53600000000000003</v>
      </c>
      <c r="N8">
        <f t="shared" si="3"/>
        <v>1.1666666666666667</v>
      </c>
      <c r="O8" s="5">
        <f t="shared" si="4"/>
        <v>0.6</v>
      </c>
      <c r="P8">
        <v>13</v>
      </c>
      <c r="Q8" s="5">
        <f t="shared" si="5"/>
        <v>0.66666666666666674</v>
      </c>
      <c r="R8">
        <v>1</v>
      </c>
      <c r="S8">
        <v>1</v>
      </c>
      <c r="T8">
        <v>0</v>
      </c>
      <c r="U8" s="5">
        <f t="shared" si="6"/>
        <v>0</v>
      </c>
      <c r="V8" s="9">
        <v>0</v>
      </c>
      <c r="W8" s="2">
        <v>3</v>
      </c>
      <c r="X8" s="17">
        <f t="shared" si="7"/>
        <v>3.6466666666666665</v>
      </c>
    </row>
    <row r="9" spans="1:24" x14ac:dyDescent="0.3">
      <c r="A9" s="1">
        <v>46115</v>
      </c>
      <c r="B9">
        <v>2</v>
      </c>
      <c r="C9" t="s">
        <v>6</v>
      </c>
      <c r="D9" t="s">
        <v>82</v>
      </c>
      <c r="E9" s="3">
        <v>2</v>
      </c>
      <c r="F9">
        <v>0</v>
      </c>
      <c r="G9">
        <v>2</v>
      </c>
      <c r="H9">
        <v>6</v>
      </c>
      <c r="I9">
        <v>4</v>
      </c>
      <c r="J9">
        <f t="shared" si="0"/>
        <v>-0.16666666666666666</v>
      </c>
      <c r="K9">
        <f t="shared" si="1"/>
        <v>0.8</v>
      </c>
      <c r="L9">
        <f>E9-((E8+E10+E11+E12+E13)/5)</f>
        <v>-0.79999999999999982</v>
      </c>
      <c r="M9" s="48">
        <f t="shared" si="2"/>
        <v>0.42800000000000005</v>
      </c>
      <c r="N9">
        <f t="shared" si="3"/>
        <v>1.3888888888888891</v>
      </c>
      <c r="O9" s="5">
        <f t="shared" si="4"/>
        <v>0.73333333333333339</v>
      </c>
      <c r="P9">
        <v>13</v>
      </c>
      <c r="Q9" s="5">
        <f t="shared" si="5"/>
        <v>0.3611111111111111</v>
      </c>
      <c r="R9">
        <v>1</v>
      </c>
      <c r="S9">
        <v>1</v>
      </c>
      <c r="T9">
        <v>0</v>
      </c>
      <c r="U9" s="5">
        <f t="shared" si="6"/>
        <v>0</v>
      </c>
      <c r="V9" s="9">
        <v>0</v>
      </c>
      <c r="W9" s="2">
        <v>2</v>
      </c>
      <c r="X9" s="17">
        <f t="shared" si="7"/>
        <v>2.6331944444444444</v>
      </c>
    </row>
    <row r="10" spans="1:24" x14ac:dyDescent="0.3">
      <c r="A10" s="1">
        <v>46115</v>
      </c>
      <c r="B10">
        <v>2</v>
      </c>
      <c r="C10" t="s">
        <v>4</v>
      </c>
      <c r="D10" t="s">
        <v>47</v>
      </c>
      <c r="E10" s="3">
        <v>3</v>
      </c>
      <c r="F10">
        <v>0</v>
      </c>
      <c r="G10">
        <v>3</v>
      </c>
      <c r="H10">
        <v>6</v>
      </c>
      <c r="I10">
        <v>0</v>
      </c>
      <c r="J10">
        <f t="shared" si="0"/>
        <v>-0.16666666666666666</v>
      </c>
      <c r="K10">
        <f t="shared" si="1"/>
        <v>0</v>
      </c>
      <c r="L10">
        <f>E10-((E8+E9+E11+E12+E13)/5)</f>
        <v>0.39999999999999991</v>
      </c>
      <c r="M10" s="48">
        <f t="shared" si="2"/>
        <v>0.53600000000000003</v>
      </c>
      <c r="N10">
        <f t="shared" si="3"/>
        <v>0.66666666666666663</v>
      </c>
      <c r="O10" s="5">
        <f t="shared" si="4"/>
        <v>0.3</v>
      </c>
      <c r="P10">
        <v>12</v>
      </c>
      <c r="Q10" s="5">
        <f t="shared" si="5"/>
        <v>0.33333333333333331</v>
      </c>
      <c r="R10">
        <v>0</v>
      </c>
      <c r="S10">
        <v>2</v>
      </c>
      <c r="T10">
        <v>1</v>
      </c>
      <c r="U10" s="5">
        <f t="shared" si="6"/>
        <v>0.5</v>
      </c>
      <c r="V10" s="9">
        <v>1</v>
      </c>
      <c r="W10" s="2">
        <v>3</v>
      </c>
      <c r="X10" s="17">
        <f t="shared" si="7"/>
        <v>3.2358333333333333</v>
      </c>
    </row>
    <row r="11" spans="1:24" x14ac:dyDescent="0.3">
      <c r="A11" s="1">
        <v>46115</v>
      </c>
      <c r="B11">
        <v>2</v>
      </c>
      <c r="C11" t="s">
        <v>73</v>
      </c>
      <c r="D11" t="s">
        <v>26</v>
      </c>
      <c r="E11" s="3">
        <v>2</v>
      </c>
      <c r="F11">
        <v>0</v>
      </c>
      <c r="G11">
        <v>3</v>
      </c>
      <c r="H11">
        <v>6</v>
      </c>
      <c r="I11">
        <v>0</v>
      </c>
      <c r="J11">
        <f t="shared" si="0"/>
        <v>-0.16666666666666666</v>
      </c>
      <c r="K11">
        <f t="shared" si="1"/>
        <v>0</v>
      </c>
      <c r="L11">
        <f>E11-((E8+E9+E10+E12+E13)/5)</f>
        <v>-0.79999999999999982</v>
      </c>
      <c r="M11" s="48">
        <f t="shared" si="2"/>
        <v>0.42800000000000005</v>
      </c>
      <c r="N11">
        <f t="shared" si="3"/>
        <v>0.66666666666666663</v>
      </c>
      <c r="O11" s="5">
        <f t="shared" si="4"/>
        <v>0.3</v>
      </c>
      <c r="P11">
        <v>12</v>
      </c>
      <c r="Q11" s="5">
        <f t="shared" si="5"/>
        <v>0.33333333333333331</v>
      </c>
      <c r="R11">
        <v>0</v>
      </c>
      <c r="S11">
        <v>0</v>
      </c>
      <c r="T11">
        <v>0</v>
      </c>
      <c r="U11" s="5">
        <f t="shared" si="6"/>
        <v>1</v>
      </c>
      <c r="V11" s="9">
        <v>1</v>
      </c>
      <c r="W11" s="2">
        <v>2</v>
      </c>
      <c r="X11" s="17">
        <f t="shared" si="7"/>
        <v>2.3233333333333333</v>
      </c>
    </row>
    <row r="12" spans="1:24" x14ac:dyDescent="0.3">
      <c r="A12" s="1">
        <v>46115</v>
      </c>
      <c r="B12">
        <v>2</v>
      </c>
      <c r="C12" t="s">
        <v>87</v>
      </c>
      <c r="D12" t="s">
        <v>85</v>
      </c>
      <c r="E12" s="3">
        <v>3</v>
      </c>
      <c r="F12">
        <v>0</v>
      </c>
      <c r="G12">
        <v>5</v>
      </c>
      <c r="H12">
        <v>6</v>
      </c>
      <c r="I12">
        <v>0</v>
      </c>
      <c r="J12">
        <f t="shared" si="0"/>
        <v>-0.16666666666666666</v>
      </c>
      <c r="K12">
        <f t="shared" si="1"/>
        <v>0</v>
      </c>
      <c r="L12">
        <f>E12-((E8+E9+E10+E11+E13)/5)</f>
        <v>0.39999999999999991</v>
      </c>
      <c r="M12" s="48">
        <f t="shared" si="2"/>
        <v>0.53600000000000003</v>
      </c>
      <c r="N12">
        <f t="shared" si="3"/>
        <v>0.33333333333333331</v>
      </c>
      <c r="O12" s="5">
        <f t="shared" si="4"/>
        <v>9.9999999999999992E-2</v>
      </c>
      <c r="P12">
        <v>11</v>
      </c>
      <c r="Q12" s="5">
        <f t="shared" si="5"/>
        <v>0.30555555555555558</v>
      </c>
      <c r="R12">
        <v>1</v>
      </c>
      <c r="S12">
        <v>0</v>
      </c>
      <c r="T12">
        <v>0</v>
      </c>
      <c r="U12" s="5">
        <f t="shared" si="6"/>
        <v>1</v>
      </c>
      <c r="V12" s="9">
        <v>0</v>
      </c>
      <c r="W12" s="2">
        <v>4</v>
      </c>
      <c r="X12" s="17">
        <f t="shared" si="7"/>
        <v>4.6084722222222219</v>
      </c>
    </row>
    <row r="13" spans="1:24" x14ac:dyDescent="0.3">
      <c r="A13" s="32">
        <v>46115</v>
      </c>
      <c r="B13" s="7">
        <v>2</v>
      </c>
      <c r="C13" s="7" t="s">
        <v>3</v>
      </c>
      <c r="D13" s="7" t="s">
        <v>42</v>
      </c>
      <c r="E13" s="18">
        <v>3</v>
      </c>
      <c r="F13" s="7">
        <v>0</v>
      </c>
      <c r="G13" s="7">
        <v>6</v>
      </c>
      <c r="H13" s="7">
        <v>6</v>
      </c>
      <c r="I13" s="7">
        <v>0</v>
      </c>
      <c r="J13" s="7">
        <f t="shared" si="0"/>
        <v>-0.16666666666666666</v>
      </c>
      <c r="K13" s="7">
        <f t="shared" si="1"/>
        <v>0</v>
      </c>
      <c r="L13" s="7">
        <f>E13-((E8+E9+E10+E11+E12)/5)</f>
        <v>0.39999999999999991</v>
      </c>
      <c r="M13" s="40">
        <f t="shared" si="2"/>
        <v>0.53600000000000003</v>
      </c>
      <c r="N13" s="7">
        <f t="shared" si="3"/>
        <v>0.16666666666666666</v>
      </c>
      <c r="O13" s="8">
        <f t="shared" si="4"/>
        <v>0</v>
      </c>
      <c r="P13" s="7">
        <v>11</v>
      </c>
      <c r="Q13" s="8">
        <f t="shared" si="5"/>
        <v>0.30555555555555558</v>
      </c>
      <c r="R13" s="7">
        <v>1</v>
      </c>
      <c r="S13" s="7">
        <v>0</v>
      </c>
      <c r="T13" s="7">
        <v>0</v>
      </c>
      <c r="U13" s="8">
        <f t="shared" si="6"/>
        <v>1</v>
      </c>
      <c r="V13" s="10">
        <v>0</v>
      </c>
      <c r="W13" s="14">
        <v>3</v>
      </c>
      <c r="X13" s="16">
        <f t="shared" si="7"/>
        <v>3.5784722222222225</v>
      </c>
    </row>
    <row r="14" spans="1:24" x14ac:dyDescent="0.3">
      <c r="A14" s="1">
        <v>46122</v>
      </c>
      <c r="B14">
        <v>3</v>
      </c>
      <c r="C14" t="s">
        <v>6</v>
      </c>
      <c r="D14" t="s">
        <v>23</v>
      </c>
      <c r="E14" s="3">
        <v>3</v>
      </c>
      <c r="F14">
        <v>1</v>
      </c>
      <c r="G14">
        <v>1</v>
      </c>
      <c r="H14">
        <v>3</v>
      </c>
      <c r="I14">
        <v>2</v>
      </c>
      <c r="J14">
        <f t="shared" si="0"/>
        <v>0.66666666666666674</v>
      </c>
      <c r="K14">
        <f t="shared" si="1"/>
        <v>0.4333333333333334</v>
      </c>
      <c r="L14" s="3">
        <f>E14-((E15+E16)/2)</f>
        <v>0.5</v>
      </c>
      <c r="M14" s="36">
        <f t="shared" si="2"/>
        <v>0.54500000000000004</v>
      </c>
      <c r="N14">
        <f t="shared" si="3"/>
        <v>1.6666666666666667</v>
      </c>
      <c r="O14" s="5">
        <f t="shared" si="4"/>
        <v>0.89999999999999991</v>
      </c>
      <c r="P14">
        <v>9</v>
      </c>
      <c r="Q14" s="5">
        <f t="shared" si="5"/>
        <v>0.8</v>
      </c>
      <c r="R14">
        <v>1</v>
      </c>
      <c r="S14">
        <v>1</v>
      </c>
      <c r="T14">
        <v>1</v>
      </c>
      <c r="U14" s="5">
        <f t="shared" si="6"/>
        <v>1</v>
      </c>
      <c r="V14" s="9">
        <v>0</v>
      </c>
      <c r="W14" s="2">
        <v>3</v>
      </c>
      <c r="X14" s="17">
        <f t="shared" si="7"/>
        <v>3.9350000000000001</v>
      </c>
    </row>
    <row r="15" spans="1:24" x14ac:dyDescent="0.3">
      <c r="A15" s="1">
        <v>46122</v>
      </c>
      <c r="B15">
        <v>3</v>
      </c>
      <c r="C15" t="s">
        <v>5</v>
      </c>
      <c r="D15" t="s">
        <v>24</v>
      </c>
      <c r="E15" s="3">
        <v>3</v>
      </c>
      <c r="F15">
        <v>0</v>
      </c>
      <c r="G15">
        <v>2</v>
      </c>
      <c r="H15">
        <v>3</v>
      </c>
      <c r="I15">
        <v>0</v>
      </c>
      <c r="J15">
        <f t="shared" si="0"/>
        <v>-0.33333333333333331</v>
      </c>
      <c r="K15">
        <f t="shared" si="1"/>
        <v>3.3333333333333347E-2</v>
      </c>
      <c r="L15">
        <f>E15-((E14+E16)/2)</f>
        <v>0.5</v>
      </c>
      <c r="M15" s="36">
        <f t="shared" si="2"/>
        <v>0.54500000000000004</v>
      </c>
      <c r="N15">
        <f t="shared" si="3"/>
        <v>0.66666666666666663</v>
      </c>
      <c r="O15" s="5">
        <f t="shared" si="4"/>
        <v>0.3</v>
      </c>
      <c r="P15">
        <v>9</v>
      </c>
      <c r="Q15" s="5">
        <f t="shared" si="5"/>
        <v>0.25</v>
      </c>
      <c r="R15">
        <v>1</v>
      </c>
      <c r="S15">
        <v>0</v>
      </c>
      <c r="T15">
        <v>0</v>
      </c>
      <c r="U15" s="5">
        <f t="shared" si="6"/>
        <v>1</v>
      </c>
      <c r="V15" s="9">
        <v>0</v>
      </c>
      <c r="W15" s="2">
        <v>4</v>
      </c>
      <c r="X15" s="17">
        <f t="shared" si="7"/>
        <v>4.6587499999999995</v>
      </c>
    </row>
    <row r="16" spans="1:24" x14ac:dyDescent="0.3">
      <c r="A16" s="32">
        <v>46122</v>
      </c>
      <c r="B16" s="7">
        <v>3</v>
      </c>
      <c r="C16" s="7" t="s">
        <v>2</v>
      </c>
      <c r="D16" s="7" t="s">
        <v>75</v>
      </c>
      <c r="E16" s="18">
        <v>2</v>
      </c>
      <c r="F16" s="7">
        <v>0</v>
      </c>
      <c r="G16" s="7">
        <v>3</v>
      </c>
      <c r="H16" s="7">
        <v>3</v>
      </c>
      <c r="I16" s="7">
        <v>0</v>
      </c>
      <c r="J16" s="7">
        <f t="shared" si="0"/>
        <v>-0.33333333333333331</v>
      </c>
      <c r="K16" s="7">
        <f t="shared" si="1"/>
        <v>3.3333333333333347E-2</v>
      </c>
      <c r="L16" s="7">
        <f>E16-((E14+E15)/2)</f>
        <v>-1</v>
      </c>
      <c r="M16" s="40">
        <f t="shared" si="2"/>
        <v>0.41000000000000003</v>
      </c>
      <c r="N16" s="7">
        <f t="shared" si="3"/>
        <v>0.33333333333333331</v>
      </c>
      <c r="O16" s="8">
        <f t="shared" si="4"/>
        <v>9.9999999999999992E-2</v>
      </c>
      <c r="P16" s="7">
        <v>8</v>
      </c>
      <c r="Q16" s="8">
        <f t="shared" si="5"/>
        <v>0.22222222222222221</v>
      </c>
      <c r="R16" s="7">
        <v>1</v>
      </c>
      <c r="S16" s="7">
        <v>0</v>
      </c>
      <c r="T16" s="7">
        <v>0</v>
      </c>
      <c r="U16" s="8">
        <f t="shared" si="6"/>
        <v>1</v>
      </c>
      <c r="V16" s="10">
        <v>0</v>
      </c>
      <c r="W16" s="14">
        <v>2</v>
      </c>
      <c r="X16" s="16">
        <f t="shared" si="7"/>
        <v>2.5938888888888889</v>
      </c>
    </row>
    <row r="17" spans="1:24" x14ac:dyDescent="0.3">
      <c r="A17" s="1">
        <v>46122</v>
      </c>
      <c r="B17">
        <v>4</v>
      </c>
      <c r="C17" t="s">
        <v>2</v>
      </c>
      <c r="D17" t="s">
        <v>26</v>
      </c>
      <c r="E17" s="3">
        <v>3</v>
      </c>
      <c r="F17">
        <v>1</v>
      </c>
      <c r="G17">
        <v>1</v>
      </c>
      <c r="H17">
        <v>3</v>
      </c>
      <c r="I17">
        <v>2</v>
      </c>
      <c r="J17">
        <f t="shared" si="0"/>
        <v>0.66666666666666674</v>
      </c>
      <c r="K17">
        <f t="shared" si="1"/>
        <v>0.4333333333333334</v>
      </c>
      <c r="L17" s="3">
        <f>E17-((E18+E19)/2)</f>
        <v>0.70000000000000018</v>
      </c>
      <c r="M17" s="36">
        <f t="shared" ref="M17:M31" si="8">0.5 + (L17 * 0.09)</f>
        <v>0.56300000000000006</v>
      </c>
      <c r="N17">
        <f t="shared" si="3"/>
        <v>1.6666666666666667</v>
      </c>
      <c r="O17" s="5">
        <f t="shared" si="4"/>
        <v>0.89999999999999991</v>
      </c>
      <c r="P17">
        <v>12</v>
      </c>
      <c r="Q17" s="5">
        <f t="shared" si="5"/>
        <v>0.7</v>
      </c>
      <c r="R17">
        <v>1</v>
      </c>
      <c r="S17">
        <v>0</v>
      </c>
      <c r="T17">
        <v>0</v>
      </c>
      <c r="U17" s="5">
        <f t="shared" si="6"/>
        <v>1</v>
      </c>
      <c r="V17" s="9">
        <v>0</v>
      </c>
      <c r="W17" s="2">
        <v>3</v>
      </c>
      <c r="X17" s="17">
        <f t="shared" si="7"/>
        <v>3.9175</v>
      </c>
    </row>
    <row r="18" spans="1:24" x14ac:dyDescent="0.3">
      <c r="A18" s="1">
        <v>46122</v>
      </c>
      <c r="B18">
        <v>4</v>
      </c>
      <c r="C18" t="s">
        <v>5</v>
      </c>
      <c r="D18" t="s">
        <v>11</v>
      </c>
      <c r="E18">
        <v>2.6</v>
      </c>
      <c r="F18">
        <v>0</v>
      </c>
      <c r="G18">
        <v>2</v>
      </c>
      <c r="H18">
        <v>3</v>
      </c>
      <c r="I18">
        <v>0</v>
      </c>
      <c r="J18">
        <f t="shared" si="0"/>
        <v>-0.33333333333333331</v>
      </c>
      <c r="K18">
        <f t="shared" si="1"/>
        <v>3.3333333333333347E-2</v>
      </c>
      <c r="L18">
        <f>E18-((E17+E19)/2)</f>
        <v>0.10000000000000009</v>
      </c>
      <c r="M18" s="36">
        <f t="shared" si="8"/>
        <v>0.50900000000000001</v>
      </c>
      <c r="N18">
        <f t="shared" si="3"/>
        <v>0.66666666666666663</v>
      </c>
      <c r="O18" s="5">
        <f t="shared" si="4"/>
        <v>0.3</v>
      </c>
      <c r="P18">
        <v>12</v>
      </c>
      <c r="Q18" s="5">
        <f t="shared" si="5"/>
        <v>0.33333333333333331</v>
      </c>
      <c r="R18">
        <v>0</v>
      </c>
      <c r="S18">
        <v>1</v>
      </c>
      <c r="T18">
        <v>0</v>
      </c>
      <c r="U18" s="5">
        <f t="shared" si="6"/>
        <v>0</v>
      </c>
      <c r="V18" s="9">
        <v>0</v>
      </c>
      <c r="W18" s="2">
        <v>2</v>
      </c>
      <c r="X18" s="17">
        <f t="shared" si="7"/>
        <v>2.3233333333333333</v>
      </c>
    </row>
    <row r="19" spans="1:24" x14ac:dyDescent="0.3">
      <c r="A19" s="32">
        <v>46122</v>
      </c>
      <c r="B19" s="7">
        <v>4</v>
      </c>
      <c r="C19" s="7" t="s">
        <v>6</v>
      </c>
      <c r="D19" s="7" t="s">
        <v>8</v>
      </c>
      <c r="E19" s="18">
        <v>2</v>
      </c>
      <c r="F19" s="7">
        <v>0</v>
      </c>
      <c r="G19" s="7">
        <v>3</v>
      </c>
      <c r="H19" s="7">
        <v>3</v>
      </c>
      <c r="I19" s="7">
        <v>0</v>
      </c>
      <c r="J19" s="7">
        <f t="shared" si="0"/>
        <v>-0.33333333333333331</v>
      </c>
      <c r="K19" s="7">
        <f t="shared" si="1"/>
        <v>3.3333333333333347E-2</v>
      </c>
      <c r="L19" s="7">
        <f>E19-((E17+E18)/2)</f>
        <v>-0.79999999999999982</v>
      </c>
      <c r="M19" s="40">
        <f t="shared" si="8"/>
        <v>0.42800000000000005</v>
      </c>
      <c r="N19" s="7">
        <f t="shared" si="3"/>
        <v>0.33333333333333331</v>
      </c>
      <c r="O19" s="8">
        <f t="shared" si="4"/>
        <v>9.9999999999999992E-2</v>
      </c>
      <c r="P19" s="7">
        <v>8</v>
      </c>
      <c r="Q19" s="8">
        <f t="shared" si="5"/>
        <v>0.22222222222222221</v>
      </c>
      <c r="R19" s="7">
        <v>1</v>
      </c>
      <c r="S19" s="7">
        <v>1</v>
      </c>
      <c r="T19" s="7">
        <v>0</v>
      </c>
      <c r="U19" s="8">
        <f t="shared" si="6"/>
        <v>0</v>
      </c>
      <c r="V19" s="10">
        <v>0</v>
      </c>
      <c r="W19" s="14">
        <v>3</v>
      </c>
      <c r="X19" s="16">
        <f t="shared" si="7"/>
        <v>3.4188888888888886</v>
      </c>
    </row>
    <row r="20" spans="1:24" x14ac:dyDescent="0.3">
      <c r="A20" s="1">
        <v>46129</v>
      </c>
      <c r="B20">
        <v>5</v>
      </c>
      <c r="C20" t="s">
        <v>6</v>
      </c>
      <c r="D20" t="s">
        <v>89</v>
      </c>
      <c r="E20" s="3">
        <v>2</v>
      </c>
      <c r="F20">
        <v>1</v>
      </c>
      <c r="G20">
        <v>1</v>
      </c>
      <c r="H20">
        <v>6</v>
      </c>
      <c r="I20">
        <v>4</v>
      </c>
      <c r="J20">
        <f t="shared" si="0"/>
        <v>0.83333333333333337</v>
      </c>
      <c r="K20">
        <f t="shared" si="1"/>
        <v>0.8</v>
      </c>
      <c r="L20">
        <f>E20-((E21+E22+E23+E24+E25)/5)</f>
        <v>-0.52</v>
      </c>
      <c r="M20" s="48">
        <f t="shared" si="8"/>
        <v>0.45319999999999999</v>
      </c>
      <c r="N20">
        <f t="shared" si="3"/>
        <v>1.6666666666666667</v>
      </c>
      <c r="O20" s="5">
        <f t="shared" si="4"/>
        <v>0.89999999999999991</v>
      </c>
      <c r="P20">
        <v>8</v>
      </c>
      <c r="Q20" s="5">
        <f t="shared" si="5"/>
        <v>0.83333333333333337</v>
      </c>
      <c r="R20">
        <v>1</v>
      </c>
      <c r="S20">
        <v>0</v>
      </c>
      <c r="T20">
        <v>0</v>
      </c>
      <c r="U20" s="5">
        <f t="shared" si="6"/>
        <v>1</v>
      </c>
      <c r="V20" s="9">
        <v>0</v>
      </c>
      <c r="W20" s="2">
        <v>2</v>
      </c>
      <c r="X20" s="17">
        <f t="shared" si="7"/>
        <v>2.9408333333333334</v>
      </c>
    </row>
    <row r="21" spans="1:24" x14ac:dyDescent="0.3">
      <c r="A21" s="1">
        <v>46129</v>
      </c>
      <c r="B21">
        <v>5</v>
      </c>
      <c r="C21" t="s">
        <v>5</v>
      </c>
      <c r="D21" t="s">
        <v>90</v>
      </c>
      <c r="E21" s="3">
        <v>2</v>
      </c>
      <c r="F21">
        <v>0</v>
      </c>
      <c r="G21">
        <v>2</v>
      </c>
      <c r="H21">
        <v>6</v>
      </c>
      <c r="I21">
        <v>0</v>
      </c>
      <c r="J21">
        <f t="shared" si="0"/>
        <v>-0.16666666666666666</v>
      </c>
      <c r="K21">
        <f t="shared" si="1"/>
        <v>0</v>
      </c>
      <c r="L21">
        <f>E21-((E20+E22+E23+E24+E25)/5)</f>
        <v>-0.52</v>
      </c>
      <c r="M21" s="48">
        <f t="shared" si="8"/>
        <v>0.45319999999999999</v>
      </c>
      <c r="N21">
        <f t="shared" si="3"/>
        <v>0.83333333333333337</v>
      </c>
      <c r="O21" s="5">
        <f t="shared" si="4"/>
        <v>0.4</v>
      </c>
      <c r="P21">
        <v>8</v>
      </c>
      <c r="Q21" s="5">
        <f t="shared" si="5"/>
        <v>0.22222222222222221</v>
      </c>
      <c r="R21">
        <v>1</v>
      </c>
      <c r="S21">
        <v>1</v>
      </c>
      <c r="T21">
        <v>0</v>
      </c>
      <c r="U21" s="5">
        <f t="shared" si="6"/>
        <v>0</v>
      </c>
      <c r="V21" s="9">
        <v>0</v>
      </c>
      <c r="W21" s="2">
        <v>2</v>
      </c>
      <c r="X21" s="17">
        <f t="shared" si="7"/>
        <v>2.5088888888888889</v>
      </c>
    </row>
    <row r="22" spans="1:24" x14ac:dyDescent="0.3">
      <c r="A22" s="1">
        <v>46129</v>
      </c>
      <c r="B22">
        <v>5</v>
      </c>
      <c r="C22" t="s">
        <v>87</v>
      </c>
      <c r="D22" t="s">
        <v>71</v>
      </c>
      <c r="E22" s="3">
        <v>3</v>
      </c>
      <c r="F22">
        <v>0</v>
      </c>
      <c r="G22">
        <v>2</v>
      </c>
      <c r="H22">
        <v>6</v>
      </c>
      <c r="I22">
        <v>0</v>
      </c>
      <c r="J22">
        <f t="shared" si="0"/>
        <v>-0.16666666666666666</v>
      </c>
      <c r="K22">
        <f t="shared" si="1"/>
        <v>0</v>
      </c>
      <c r="L22">
        <f>E22-((E20+E21+E23+E24+E25)/5)</f>
        <v>0.68000000000000016</v>
      </c>
      <c r="M22" s="48">
        <f t="shared" si="8"/>
        <v>0.56120000000000003</v>
      </c>
      <c r="N22">
        <f t="shared" si="3"/>
        <v>0.83333333333333337</v>
      </c>
      <c r="O22" s="5">
        <f t="shared" si="4"/>
        <v>0.4</v>
      </c>
      <c r="P22">
        <v>8</v>
      </c>
      <c r="Q22" s="5">
        <f t="shared" si="5"/>
        <v>0.22222222222222221</v>
      </c>
      <c r="R22">
        <v>0</v>
      </c>
      <c r="S22">
        <v>1</v>
      </c>
      <c r="T22">
        <v>0</v>
      </c>
      <c r="U22" s="5">
        <f t="shared" si="6"/>
        <v>0</v>
      </c>
      <c r="V22" s="9">
        <v>0</v>
      </c>
      <c r="W22" s="2">
        <v>4</v>
      </c>
      <c r="X22" s="17">
        <f t="shared" si="7"/>
        <v>4.3338888888888887</v>
      </c>
    </row>
    <row r="23" spans="1:24" x14ac:dyDescent="0.3">
      <c r="A23" s="1">
        <v>46129</v>
      </c>
      <c r="B23">
        <v>5</v>
      </c>
      <c r="C23" t="s">
        <v>4</v>
      </c>
      <c r="D23" t="s">
        <v>91</v>
      </c>
      <c r="E23" s="3">
        <v>2</v>
      </c>
      <c r="F23">
        <v>0</v>
      </c>
      <c r="G23">
        <v>2</v>
      </c>
      <c r="H23">
        <v>6</v>
      </c>
      <c r="I23">
        <v>0</v>
      </c>
      <c r="J23">
        <f t="shared" si="0"/>
        <v>-0.16666666666666666</v>
      </c>
      <c r="K23">
        <f t="shared" si="1"/>
        <v>0</v>
      </c>
      <c r="L23">
        <f>E23-((E20+E21+E22+E24+E25)/5)</f>
        <v>-0.52</v>
      </c>
      <c r="M23" s="48">
        <f t="shared" si="8"/>
        <v>0.45319999999999999</v>
      </c>
      <c r="N23">
        <f t="shared" si="3"/>
        <v>0.83333333333333337</v>
      </c>
      <c r="O23" s="5">
        <f t="shared" si="4"/>
        <v>0.4</v>
      </c>
      <c r="P23">
        <v>8</v>
      </c>
      <c r="Q23" s="5">
        <f t="shared" si="5"/>
        <v>0.22222222222222221</v>
      </c>
      <c r="R23">
        <v>0</v>
      </c>
      <c r="S23">
        <v>1</v>
      </c>
      <c r="T23">
        <v>0</v>
      </c>
      <c r="U23" s="5">
        <f t="shared" si="6"/>
        <v>0</v>
      </c>
      <c r="V23" s="9">
        <v>1</v>
      </c>
      <c r="W23" s="2">
        <v>2</v>
      </c>
      <c r="X23" s="17">
        <f t="shared" si="7"/>
        <v>2.1588888888888889</v>
      </c>
    </row>
    <row r="24" spans="1:24" x14ac:dyDescent="0.3">
      <c r="A24" s="1">
        <v>46129</v>
      </c>
      <c r="B24">
        <v>5</v>
      </c>
      <c r="C24" t="s">
        <v>2</v>
      </c>
      <c r="D24" t="s">
        <v>76</v>
      </c>
      <c r="E24" s="3">
        <v>3.6</v>
      </c>
      <c r="F24">
        <v>0</v>
      </c>
      <c r="G24">
        <v>5</v>
      </c>
      <c r="H24">
        <v>6</v>
      </c>
      <c r="I24">
        <v>0</v>
      </c>
      <c r="J24">
        <f t="shared" si="0"/>
        <v>-0.16666666666666666</v>
      </c>
      <c r="K24">
        <f t="shared" si="1"/>
        <v>0</v>
      </c>
      <c r="L24">
        <f>E24-((E20+E21+E22+E23+E25)/5)</f>
        <v>1.4</v>
      </c>
      <c r="M24" s="48">
        <f t="shared" si="8"/>
        <v>0.626</v>
      </c>
      <c r="N24">
        <f t="shared" si="3"/>
        <v>0.33333333333333331</v>
      </c>
      <c r="O24" s="5">
        <f t="shared" si="4"/>
        <v>9.9999999999999992E-2</v>
      </c>
      <c r="P24">
        <v>7</v>
      </c>
      <c r="Q24" s="5">
        <f t="shared" si="5"/>
        <v>0.19444444444444445</v>
      </c>
      <c r="R24">
        <v>1</v>
      </c>
      <c r="S24">
        <v>1</v>
      </c>
      <c r="T24">
        <v>0</v>
      </c>
      <c r="U24" s="5">
        <f t="shared" si="6"/>
        <v>0</v>
      </c>
      <c r="V24" s="9">
        <v>0</v>
      </c>
      <c r="W24" s="2">
        <v>3</v>
      </c>
      <c r="X24" s="17">
        <f t="shared" si="7"/>
        <v>3.4140277777777777</v>
      </c>
    </row>
    <row r="25" spans="1:24" x14ac:dyDescent="0.3">
      <c r="A25" s="32">
        <v>46129</v>
      </c>
      <c r="B25" s="7">
        <v>5</v>
      </c>
      <c r="C25" s="7" t="s">
        <v>49</v>
      </c>
      <c r="D25" s="7" t="s">
        <v>50</v>
      </c>
      <c r="E25" s="18">
        <v>2</v>
      </c>
      <c r="F25" s="7">
        <v>0</v>
      </c>
      <c r="G25" s="7">
        <v>6</v>
      </c>
      <c r="H25" s="7">
        <v>6</v>
      </c>
      <c r="I25" s="7">
        <v>0</v>
      </c>
      <c r="J25" s="7">
        <f t="shared" si="0"/>
        <v>-0.16666666666666666</v>
      </c>
      <c r="K25" s="7">
        <f t="shared" si="1"/>
        <v>0</v>
      </c>
      <c r="L25" s="7">
        <f>E25-((E20+E21+E22+E23+E24)/5)</f>
        <v>-0.52</v>
      </c>
      <c r="M25" s="40">
        <f t="shared" si="8"/>
        <v>0.45319999999999999</v>
      </c>
      <c r="N25" s="7">
        <f t="shared" si="3"/>
        <v>0.16666666666666666</v>
      </c>
      <c r="O25" s="8">
        <f t="shared" si="4"/>
        <v>0</v>
      </c>
      <c r="P25" s="7">
        <v>5</v>
      </c>
      <c r="Q25" s="8">
        <f t="shared" si="5"/>
        <v>0.1388888888888889</v>
      </c>
      <c r="R25" s="7">
        <v>0</v>
      </c>
      <c r="S25" s="7">
        <v>0</v>
      </c>
      <c r="T25" s="7">
        <v>0</v>
      </c>
      <c r="U25" s="8">
        <f t="shared" si="6"/>
        <v>1</v>
      </c>
      <c r="V25" s="10">
        <v>0</v>
      </c>
      <c r="W25" s="14">
        <v>2</v>
      </c>
      <c r="X25" s="16">
        <f t="shared" si="7"/>
        <v>2.3743055555555554</v>
      </c>
    </row>
    <row r="26" spans="1:24" x14ac:dyDescent="0.3">
      <c r="A26" s="1">
        <v>46129</v>
      </c>
      <c r="B26">
        <v>6</v>
      </c>
      <c r="C26" t="s">
        <v>6</v>
      </c>
      <c r="D26" t="s">
        <v>71</v>
      </c>
      <c r="E26" s="3">
        <v>3</v>
      </c>
      <c r="F26">
        <v>1</v>
      </c>
      <c r="G26">
        <v>1</v>
      </c>
      <c r="H26">
        <v>5</v>
      </c>
      <c r="I26">
        <v>3</v>
      </c>
      <c r="J26">
        <f t="shared" si="0"/>
        <v>0.8</v>
      </c>
      <c r="K26">
        <f t="shared" si="1"/>
        <v>0.60666666666666669</v>
      </c>
      <c r="L26" s="25">
        <f>E26-((E27+E28+E29+E30)/4)</f>
        <v>0.625</v>
      </c>
      <c r="M26" s="47">
        <f t="shared" si="8"/>
        <v>0.55625000000000002</v>
      </c>
      <c r="N26">
        <f t="shared" si="3"/>
        <v>1.6</v>
      </c>
      <c r="O26" s="5">
        <f t="shared" si="4"/>
        <v>0.86</v>
      </c>
      <c r="P26">
        <v>11</v>
      </c>
      <c r="Q26" s="5">
        <f t="shared" si="5"/>
        <v>0.73333333333333339</v>
      </c>
      <c r="R26">
        <v>1</v>
      </c>
      <c r="S26">
        <v>1</v>
      </c>
      <c r="T26">
        <v>1</v>
      </c>
      <c r="U26" s="5">
        <f t="shared" si="6"/>
        <v>1</v>
      </c>
      <c r="V26" s="9">
        <v>0</v>
      </c>
      <c r="W26" s="2">
        <v>4</v>
      </c>
      <c r="X26" s="17">
        <f t="shared" si="7"/>
        <v>4.9113333333333333</v>
      </c>
    </row>
    <row r="27" spans="1:24" x14ac:dyDescent="0.3">
      <c r="A27" s="1">
        <v>46129</v>
      </c>
      <c r="B27">
        <v>6</v>
      </c>
      <c r="C27" t="s">
        <v>2</v>
      </c>
      <c r="D27" t="s">
        <v>37</v>
      </c>
      <c r="E27" s="3">
        <v>3</v>
      </c>
      <c r="F27">
        <v>0</v>
      </c>
      <c r="G27">
        <v>2</v>
      </c>
      <c r="H27">
        <v>5</v>
      </c>
      <c r="I27">
        <v>0</v>
      </c>
      <c r="J27">
        <f t="shared" si="0"/>
        <v>-0.2</v>
      </c>
      <c r="K27">
        <f t="shared" si="1"/>
        <v>6.6666666666666654E-3</v>
      </c>
      <c r="L27">
        <f>E27-((E26+E28+E29+E30)/4)</f>
        <v>0.625</v>
      </c>
      <c r="M27" s="48">
        <f t="shared" si="8"/>
        <v>0.55625000000000002</v>
      </c>
      <c r="N27">
        <f t="shared" si="3"/>
        <v>0.8</v>
      </c>
      <c r="O27" s="5">
        <f t="shared" si="4"/>
        <v>0.38</v>
      </c>
      <c r="P27">
        <v>11</v>
      </c>
      <c r="Q27" s="5">
        <f t="shared" si="5"/>
        <v>0.30555555555555558</v>
      </c>
      <c r="R27">
        <v>0</v>
      </c>
      <c r="S27">
        <v>2</v>
      </c>
      <c r="T27">
        <v>1</v>
      </c>
      <c r="U27" s="5">
        <f t="shared" si="6"/>
        <v>0.5</v>
      </c>
      <c r="V27" s="9">
        <v>1</v>
      </c>
      <c r="W27" s="2">
        <v>3</v>
      </c>
      <c r="X27" s="17">
        <f t="shared" si="7"/>
        <v>3.2549722222222224</v>
      </c>
    </row>
    <row r="28" spans="1:24" x14ac:dyDescent="0.3">
      <c r="A28" s="1">
        <v>46129</v>
      </c>
      <c r="B28">
        <v>6</v>
      </c>
      <c r="C28" t="s">
        <v>5</v>
      </c>
      <c r="D28" t="s">
        <v>90</v>
      </c>
      <c r="E28" s="3">
        <v>2.5</v>
      </c>
      <c r="F28">
        <v>0</v>
      </c>
      <c r="G28">
        <v>2</v>
      </c>
      <c r="H28">
        <v>5</v>
      </c>
      <c r="I28">
        <v>0</v>
      </c>
      <c r="J28">
        <f t="shared" si="0"/>
        <v>-0.2</v>
      </c>
      <c r="K28">
        <f t="shared" si="1"/>
        <v>6.6666666666666654E-3</v>
      </c>
      <c r="L28">
        <f>E28-((E26+E27+E29+E30)/4)</f>
        <v>0</v>
      </c>
      <c r="M28" s="48">
        <f t="shared" si="8"/>
        <v>0.5</v>
      </c>
      <c r="N28">
        <f t="shared" si="3"/>
        <v>0.8</v>
      </c>
      <c r="O28" s="5">
        <f t="shared" si="4"/>
        <v>0.38</v>
      </c>
      <c r="P28">
        <v>11</v>
      </c>
      <c r="Q28" s="5">
        <f t="shared" si="5"/>
        <v>0.30555555555555558</v>
      </c>
      <c r="R28">
        <v>1</v>
      </c>
      <c r="S28">
        <v>1</v>
      </c>
      <c r="T28">
        <v>1</v>
      </c>
      <c r="U28" s="5">
        <f t="shared" si="6"/>
        <v>1</v>
      </c>
      <c r="V28" s="9">
        <v>0</v>
      </c>
      <c r="W28" s="2">
        <v>2</v>
      </c>
      <c r="X28" s="17">
        <f t="shared" si="7"/>
        <v>2.6924722222222224</v>
      </c>
    </row>
    <row r="29" spans="1:24" x14ac:dyDescent="0.3">
      <c r="A29" s="1">
        <v>46129</v>
      </c>
      <c r="B29">
        <v>6</v>
      </c>
      <c r="C29" t="s">
        <v>4</v>
      </c>
      <c r="D29" t="s">
        <v>92</v>
      </c>
      <c r="E29" s="3">
        <v>2</v>
      </c>
      <c r="F29">
        <v>0</v>
      </c>
      <c r="G29">
        <v>4</v>
      </c>
      <c r="H29">
        <v>5</v>
      </c>
      <c r="I29">
        <v>0</v>
      </c>
      <c r="J29">
        <f t="shared" si="0"/>
        <v>-0.2</v>
      </c>
      <c r="K29">
        <f t="shared" si="1"/>
        <v>6.6666666666666654E-3</v>
      </c>
      <c r="L29">
        <f>E29-((E26+E27+E28+E30)/4)</f>
        <v>-0.625</v>
      </c>
      <c r="M29" s="48">
        <f t="shared" si="8"/>
        <v>0.44374999999999998</v>
      </c>
      <c r="N29">
        <f t="shared" si="3"/>
        <v>0.4</v>
      </c>
      <c r="O29" s="5">
        <f t="shared" si="4"/>
        <v>0.14000000000000001</v>
      </c>
      <c r="P29">
        <v>9</v>
      </c>
      <c r="Q29" s="5">
        <f t="shared" si="5"/>
        <v>0.25</v>
      </c>
      <c r="R29">
        <v>1</v>
      </c>
      <c r="S29">
        <v>1</v>
      </c>
      <c r="T29">
        <v>0</v>
      </c>
      <c r="U29" s="5">
        <f t="shared" si="6"/>
        <v>0</v>
      </c>
      <c r="V29" s="9">
        <v>0</v>
      </c>
      <c r="W29" s="2">
        <v>2</v>
      </c>
      <c r="X29" s="17">
        <f t="shared" si="7"/>
        <v>2.4357500000000001</v>
      </c>
    </row>
    <row r="30" spans="1:24" x14ac:dyDescent="0.3">
      <c r="A30" s="32">
        <v>46129</v>
      </c>
      <c r="B30" s="7">
        <v>6</v>
      </c>
      <c r="C30" s="7" t="s">
        <v>87</v>
      </c>
      <c r="D30" s="7" t="s">
        <v>93</v>
      </c>
      <c r="E30" s="18">
        <v>2</v>
      </c>
      <c r="F30" s="7">
        <v>0</v>
      </c>
      <c r="G30" s="7">
        <v>5</v>
      </c>
      <c r="H30" s="7">
        <v>5</v>
      </c>
      <c r="I30" s="7">
        <v>0</v>
      </c>
      <c r="J30" s="7">
        <f t="shared" si="0"/>
        <v>-0.2</v>
      </c>
      <c r="K30" s="7">
        <f t="shared" si="1"/>
        <v>6.6666666666666654E-3</v>
      </c>
      <c r="L30" s="7">
        <f>E30-((E26+E27+E28+E29)/4)</f>
        <v>-0.625</v>
      </c>
      <c r="M30" s="40">
        <f t="shared" si="8"/>
        <v>0.44374999999999998</v>
      </c>
      <c r="N30" s="7">
        <f t="shared" si="3"/>
        <v>0.2</v>
      </c>
      <c r="O30" s="8">
        <f t="shared" si="4"/>
        <v>2.0000000000000011E-2</v>
      </c>
      <c r="P30" s="7">
        <v>9</v>
      </c>
      <c r="Q30" s="8">
        <f t="shared" si="5"/>
        <v>0.25</v>
      </c>
      <c r="R30" s="7">
        <v>0</v>
      </c>
      <c r="S30" s="7">
        <v>2</v>
      </c>
      <c r="T30" s="7">
        <v>0</v>
      </c>
      <c r="U30" s="8">
        <f t="shared" si="6"/>
        <v>0</v>
      </c>
      <c r="V30" s="10">
        <v>0</v>
      </c>
      <c r="W30" s="14">
        <v>2</v>
      </c>
      <c r="X30" s="16">
        <f t="shared" si="7"/>
        <v>2.2247500000000002</v>
      </c>
    </row>
    <row r="31" spans="1:24" x14ac:dyDescent="0.3">
      <c r="A31" s="1">
        <v>46134</v>
      </c>
      <c r="B31">
        <v>7</v>
      </c>
      <c r="C31" t="s">
        <v>3</v>
      </c>
      <c r="D31" t="s">
        <v>86</v>
      </c>
      <c r="E31">
        <v>3.7</v>
      </c>
      <c r="F31">
        <v>1</v>
      </c>
      <c r="G31">
        <v>1</v>
      </c>
      <c r="H31">
        <v>4</v>
      </c>
      <c r="I31">
        <v>3</v>
      </c>
      <c r="J31">
        <f t="shared" si="0"/>
        <v>0.75</v>
      </c>
      <c r="K31">
        <f t="shared" si="1"/>
        <v>0.6166666666666667</v>
      </c>
      <c r="L31">
        <f>E31-((E32+E33+E34)/3)</f>
        <v>1.1000000000000001</v>
      </c>
      <c r="M31" s="36">
        <f t="shared" si="8"/>
        <v>0.59899999999999998</v>
      </c>
      <c r="N31">
        <f t="shared" si="3"/>
        <v>1.75</v>
      </c>
      <c r="O31" s="5">
        <f t="shared" si="4"/>
        <v>0.95</v>
      </c>
      <c r="P31">
        <v>9</v>
      </c>
      <c r="Q31" s="5">
        <f t="shared" si="5"/>
        <v>0.8</v>
      </c>
      <c r="R31">
        <v>1</v>
      </c>
      <c r="S31">
        <v>0</v>
      </c>
      <c r="T31">
        <v>0</v>
      </c>
      <c r="U31" s="5">
        <f t="shared" si="6"/>
        <v>1</v>
      </c>
      <c r="V31" s="9">
        <v>0</v>
      </c>
      <c r="W31" s="2">
        <v>3</v>
      </c>
      <c r="X31" s="17">
        <f>((O31*0.3)+(Q31*0.175)+(R31*0.175)+(U31*0.175)+((1-V31)*0.175))+W31</f>
        <v>3.95</v>
      </c>
    </row>
    <row r="32" spans="1:24" x14ac:dyDescent="0.3">
      <c r="A32" s="1">
        <v>46134</v>
      </c>
      <c r="B32">
        <v>7</v>
      </c>
      <c r="C32" t="s">
        <v>4</v>
      </c>
      <c r="D32" t="s">
        <v>91</v>
      </c>
      <c r="E32" s="3">
        <v>2.2000000000000002</v>
      </c>
      <c r="F32">
        <v>0</v>
      </c>
      <c r="G32">
        <v>2</v>
      </c>
      <c r="H32">
        <v>4</v>
      </c>
      <c r="I32">
        <v>0</v>
      </c>
      <c r="J32">
        <f t="shared" si="0"/>
        <v>-0.25</v>
      </c>
      <c r="K32">
        <f t="shared" si="1"/>
        <v>1.6666666666666673E-2</v>
      </c>
      <c r="L32">
        <f>E32-((E31+E33+E34)/3)</f>
        <v>-0.89999999999999991</v>
      </c>
      <c r="M32" s="36">
        <f t="shared" ref="M32:M48" si="9">0.5 + (L32 * 0.09)</f>
        <v>0.41900000000000004</v>
      </c>
      <c r="N32">
        <f t="shared" si="3"/>
        <v>0.75</v>
      </c>
      <c r="O32" s="5">
        <f t="shared" si="4"/>
        <v>0.35000000000000003</v>
      </c>
      <c r="P32">
        <v>9</v>
      </c>
      <c r="Q32" s="5">
        <f t="shared" si="5"/>
        <v>0.25</v>
      </c>
      <c r="R32">
        <v>1</v>
      </c>
      <c r="S32">
        <v>0</v>
      </c>
      <c r="T32">
        <v>0</v>
      </c>
      <c r="U32" s="5">
        <f t="shared" si="6"/>
        <v>1</v>
      </c>
      <c r="V32" s="9">
        <v>0</v>
      </c>
      <c r="W32" s="2">
        <v>2</v>
      </c>
      <c r="X32" s="17">
        <f t="shared" ref="X32:X111" si="10">((O32*0.3)+(Q32*0.175)+(R32*0.175)+(U32*0.175)+((1-V32)*0.175))+W32</f>
        <v>2.6737500000000001</v>
      </c>
    </row>
    <row r="33" spans="1:24" x14ac:dyDescent="0.3">
      <c r="A33" s="1">
        <v>46134</v>
      </c>
      <c r="B33">
        <v>7</v>
      </c>
      <c r="C33" t="s">
        <v>2</v>
      </c>
      <c r="D33" t="s">
        <v>76</v>
      </c>
      <c r="E33" s="3">
        <v>3.4</v>
      </c>
      <c r="F33">
        <v>0</v>
      </c>
      <c r="G33">
        <v>2</v>
      </c>
      <c r="H33">
        <v>4</v>
      </c>
      <c r="I33">
        <v>0</v>
      </c>
      <c r="J33">
        <f t="shared" si="0"/>
        <v>-0.25</v>
      </c>
      <c r="K33">
        <f t="shared" si="1"/>
        <v>1.6666666666666673E-2</v>
      </c>
      <c r="L33">
        <f>E33-((E31+E32+E34)/3)</f>
        <v>0.69999999999999929</v>
      </c>
      <c r="M33" s="36">
        <f t="shared" si="9"/>
        <v>0.56299999999999994</v>
      </c>
      <c r="N33">
        <f t="shared" si="3"/>
        <v>0.75</v>
      </c>
      <c r="O33" s="5">
        <f t="shared" si="4"/>
        <v>0.35000000000000003</v>
      </c>
      <c r="P33">
        <v>9</v>
      </c>
      <c r="Q33" s="5">
        <f t="shared" si="5"/>
        <v>0.25</v>
      </c>
      <c r="R33">
        <v>1</v>
      </c>
      <c r="S33">
        <v>3</v>
      </c>
      <c r="T33">
        <v>2</v>
      </c>
      <c r="U33" s="5">
        <f t="shared" si="6"/>
        <v>0.66666666666666663</v>
      </c>
      <c r="V33" s="9">
        <v>0</v>
      </c>
      <c r="W33" s="2">
        <v>3</v>
      </c>
      <c r="X33" s="17">
        <f t="shared" si="10"/>
        <v>3.6154166666666665</v>
      </c>
    </row>
    <row r="34" spans="1:24" x14ac:dyDescent="0.3">
      <c r="A34" s="32">
        <v>46134</v>
      </c>
      <c r="B34" s="7">
        <v>7</v>
      </c>
      <c r="C34" s="7" t="s">
        <v>87</v>
      </c>
      <c r="D34" s="7" t="s">
        <v>93</v>
      </c>
      <c r="E34" s="18">
        <v>2.2000000000000002</v>
      </c>
      <c r="F34" s="7">
        <v>0</v>
      </c>
      <c r="G34" s="7">
        <v>4</v>
      </c>
      <c r="H34" s="7">
        <v>4</v>
      </c>
      <c r="I34" s="7">
        <v>0</v>
      </c>
      <c r="J34" s="7">
        <f t="shared" si="0"/>
        <v>-0.25</v>
      </c>
      <c r="K34" s="7">
        <f t="shared" si="1"/>
        <v>1.6666666666666673E-2</v>
      </c>
      <c r="L34" s="7">
        <f>E34-((E31+E32+E33)/3)</f>
        <v>-0.89999999999999991</v>
      </c>
      <c r="M34" s="40">
        <f t="shared" si="9"/>
        <v>0.41900000000000004</v>
      </c>
      <c r="N34" s="7">
        <f t="shared" si="3"/>
        <v>0.25</v>
      </c>
      <c r="O34" s="8">
        <f t="shared" si="4"/>
        <v>0.05</v>
      </c>
      <c r="P34" s="7">
        <v>8</v>
      </c>
      <c r="Q34" s="8">
        <f t="shared" si="5"/>
        <v>0.22222222222222221</v>
      </c>
      <c r="R34" s="7">
        <v>0</v>
      </c>
      <c r="S34" s="7">
        <v>1</v>
      </c>
      <c r="T34" s="7">
        <v>0</v>
      </c>
      <c r="U34" s="8">
        <f t="shared" si="6"/>
        <v>0</v>
      </c>
      <c r="V34" s="10">
        <v>0</v>
      </c>
      <c r="W34" s="14">
        <v>2</v>
      </c>
      <c r="X34" s="16">
        <f t="shared" si="10"/>
        <v>2.2288888888888887</v>
      </c>
    </row>
    <row r="35" spans="1:24" x14ac:dyDescent="0.3">
      <c r="A35" s="1">
        <v>46143</v>
      </c>
      <c r="B35">
        <v>8</v>
      </c>
      <c r="C35" t="s">
        <v>2</v>
      </c>
      <c r="D35" t="s">
        <v>97</v>
      </c>
      <c r="E35" s="3">
        <v>2</v>
      </c>
      <c r="F35">
        <v>1</v>
      </c>
      <c r="G35">
        <v>1</v>
      </c>
      <c r="H35">
        <v>6</v>
      </c>
      <c r="I35">
        <v>3</v>
      </c>
      <c r="J35">
        <f t="shared" si="0"/>
        <v>0.83333333333333337</v>
      </c>
      <c r="K35">
        <f t="shared" si="1"/>
        <v>0.6</v>
      </c>
      <c r="L35">
        <f>E35-((E36+E37+E38+E39+E40)/5)</f>
        <v>-0.52000000000000046</v>
      </c>
      <c r="M35" s="48">
        <f t="shared" si="9"/>
        <v>0.45319999999999994</v>
      </c>
      <c r="N35">
        <f t="shared" si="3"/>
        <v>1.5</v>
      </c>
      <c r="O35" s="5">
        <f t="shared" si="4"/>
        <v>0.79999999999999993</v>
      </c>
      <c r="P35">
        <v>14</v>
      </c>
      <c r="Q35" s="5">
        <f t="shared" si="5"/>
        <v>0.6333333333333333</v>
      </c>
      <c r="R35">
        <v>1</v>
      </c>
      <c r="S35">
        <v>1</v>
      </c>
      <c r="T35">
        <v>0</v>
      </c>
      <c r="U35" s="5">
        <f t="shared" si="6"/>
        <v>0</v>
      </c>
      <c r="V35" s="9">
        <v>0</v>
      </c>
      <c r="W35" s="2">
        <v>2</v>
      </c>
      <c r="X35" s="17">
        <f t="shared" si="10"/>
        <v>2.7008333333333332</v>
      </c>
    </row>
    <row r="36" spans="1:24" x14ac:dyDescent="0.3">
      <c r="A36" s="1">
        <v>46143</v>
      </c>
      <c r="B36">
        <v>8</v>
      </c>
      <c r="C36" t="s">
        <v>6</v>
      </c>
      <c r="D36" t="s">
        <v>98</v>
      </c>
      <c r="E36" s="3">
        <v>2</v>
      </c>
      <c r="F36">
        <v>0</v>
      </c>
      <c r="G36">
        <v>2</v>
      </c>
      <c r="H36">
        <v>6</v>
      </c>
      <c r="I36">
        <v>1</v>
      </c>
      <c r="J36">
        <f t="shared" si="0"/>
        <v>-0.16666666666666666</v>
      </c>
      <c r="K36">
        <f t="shared" si="1"/>
        <v>0.2</v>
      </c>
      <c r="L36">
        <f>E36-((E35+E37+E38+E39+E40)/5)</f>
        <v>-0.52000000000000046</v>
      </c>
      <c r="M36" s="48">
        <f t="shared" si="9"/>
        <v>0.45319999999999994</v>
      </c>
      <c r="N36">
        <f t="shared" si="3"/>
        <v>0.97222222222222232</v>
      </c>
      <c r="O36" s="5">
        <f t="shared" si="4"/>
        <v>0.48333333333333339</v>
      </c>
      <c r="P36">
        <v>14</v>
      </c>
      <c r="Q36" s="5">
        <f t="shared" si="5"/>
        <v>0.3888888888888889</v>
      </c>
      <c r="R36">
        <v>1</v>
      </c>
      <c r="S36">
        <v>0</v>
      </c>
      <c r="T36">
        <v>0</v>
      </c>
      <c r="U36" s="5">
        <f t="shared" si="6"/>
        <v>1</v>
      </c>
      <c r="V36" s="9">
        <v>0</v>
      </c>
      <c r="W36" s="2">
        <v>2</v>
      </c>
      <c r="X36" s="17">
        <f t="shared" si="10"/>
        <v>2.7380555555555555</v>
      </c>
    </row>
    <row r="37" spans="1:24" x14ac:dyDescent="0.3">
      <c r="A37" s="1">
        <v>46143</v>
      </c>
      <c r="B37">
        <v>8</v>
      </c>
      <c r="C37" t="s">
        <v>4</v>
      </c>
      <c r="D37" t="s">
        <v>92</v>
      </c>
      <c r="E37" s="3">
        <v>2.4</v>
      </c>
      <c r="F37">
        <v>0</v>
      </c>
      <c r="G37">
        <v>3</v>
      </c>
      <c r="H37">
        <v>6</v>
      </c>
      <c r="I37">
        <v>1</v>
      </c>
      <c r="J37">
        <f t="shared" si="0"/>
        <v>-0.16666666666666666</v>
      </c>
      <c r="K37">
        <f t="shared" si="1"/>
        <v>0.2</v>
      </c>
      <c r="L37">
        <f>E37-((E35+E36+E38+E39+E40)/5)</f>
        <v>-4.0000000000000036E-2</v>
      </c>
      <c r="M37" s="48">
        <f t="shared" si="9"/>
        <v>0.49640000000000001</v>
      </c>
      <c r="N37">
        <f t="shared" si="3"/>
        <v>0.77777777777777779</v>
      </c>
      <c r="O37" s="5">
        <f t="shared" si="4"/>
        <v>0.3666666666666667</v>
      </c>
      <c r="P37">
        <v>14</v>
      </c>
      <c r="Q37" s="5">
        <f t="shared" si="5"/>
        <v>0.3888888888888889</v>
      </c>
      <c r="R37">
        <v>1</v>
      </c>
      <c r="S37">
        <v>0</v>
      </c>
      <c r="T37">
        <v>0</v>
      </c>
      <c r="U37" s="5">
        <f t="shared" si="6"/>
        <v>1</v>
      </c>
      <c r="V37" s="9">
        <v>0</v>
      </c>
      <c r="W37" s="2">
        <v>2</v>
      </c>
      <c r="X37" s="17">
        <f t="shared" si="10"/>
        <v>2.7030555555555553</v>
      </c>
    </row>
    <row r="38" spans="1:24" x14ac:dyDescent="0.3">
      <c r="A38" s="1">
        <v>46143</v>
      </c>
      <c r="B38">
        <v>8</v>
      </c>
      <c r="C38" t="s">
        <v>3</v>
      </c>
      <c r="D38" t="s">
        <v>83</v>
      </c>
      <c r="E38" s="3">
        <v>3</v>
      </c>
      <c r="F38">
        <v>0</v>
      </c>
      <c r="G38">
        <v>4</v>
      </c>
      <c r="H38">
        <v>6</v>
      </c>
      <c r="I38">
        <v>0</v>
      </c>
      <c r="J38">
        <f t="shared" si="0"/>
        <v>-0.16666666666666666</v>
      </c>
      <c r="K38">
        <f t="shared" si="1"/>
        <v>0</v>
      </c>
      <c r="L38">
        <f>E38-((E35+E36+E37+E39+E40)/5)</f>
        <v>0.67999999999999972</v>
      </c>
      <c r="M38" s="48">
        <f t="shared" si="9"/>
        <v>0.56119999999999992</v>
      </c>
      <c r="N38">
        <f t="shared" si="3"/>
        <v>0.5</v>
      </c>
      <c r="O38" s="5">
        <f t="shared" si="4"/>
        <v>0.2</v>
      </c>
      <c r="P38">
        <v>11</v>
      </c>
      <c r="Q38" s="5">
        <f t="shared" si="5"/>
        <v>0.30555555555555558</v>
      </c>
      <c r="R38">
        <v>0</v>
      </c>
      <c r="S38">
        <v>0</v>
      </c>
      <c r="T38">
        <v>0</v>
      </c>
      <c r="U38" s="5">
        <f t="shared" si="6"/>
        <v>1</v>
      </c>
      <c r="V38" s="9">
        <v>1</v>
      </c>
      <c r="W38" s="2">
        <v>3</v>
      </c>
      <c r="X38" s="17">
        <f t="shared" si="10"/>
        <v>3.2884722222222225</v>
      </c>
    </row>
    <row r="39" spans="1:24" x14ac:dyDescent="0.3">
      <c r="A39" s="1">
        <v>46143</v>
      </c>
      <c r="B39">
        <v>8</v>
      </c>
      <c r="C39" t="s">
        <v>87</v>
      </c>
      <c r="D39" t="s">
        <v>93</v>
      </c>
      <c r="E39" s="3">
        <v>2.2000000000000002</v>
      </c>
      <c r="F39">
        <v>0</v>
      </c>
      <c r="G39">
        <v>5</v>
      </c>
      <c r="H39">
        <v>6</v>
      </c>
      <c r="I39">
        <v>0</v>
      </c>
      <c r="J39">
        <f t="shared" si="0"/>
        <v>-0.16666666666666666</v>
      </c>
      <c r="K39">
        <f t="shared" si="1"/>
        <v>0</v>
      </c>
      <c r="L39">
        <f>E39-((E35+E36+E37+E38+E40)/5)</f>
        <v>-0.2799999999999998</v>
      </c>
      <c r="M39" s="48">
        <f t="shared" si="9"/>
        <v>0.4748</v>
      </c>
      <c r="N39">
        <f t="shared" si="3"/>
        <v>0.33333333333333331</v>
      </c>
      <c r="O39" s="5">
        <f t="shared" si="4"/>
        <v>9.9999999999999992E-2</v>
      </c>
      <c r="P39">
        <v>9</v>
      </c>
      <c r="Q39" s="5">
        <f t="shared" si="5"/>
        <v>0.25</v>
      </c>
      <c r="R39">
        <v>0</v>
      </c>
      <c r="S39">
        <v>1</v>
      </c>
      <c r="T39">
        <v>0</v>
      </c>
      <c r="U39" s="5">
        <f t="shared" si="6"/>
        <v>0</v>
      </c>
      <c r="V39" s="9">
        <v>0</v>
      </c>
      <c r="W39" s="2">
        <v>2</v>
      </c>
      <c r="X39" s="17">
        <f t="shared" si="10"/>
        <v>2.2487499999999998</v>
      </c>
    </row>
    <row r="40" spans="1:24" x14ac:dyDescent="0.3">
      <c r="A40" s="32">
        <v>46143</v>
      </c>
      <c r="B40" s="7">
        <v>8</v>
      </c>
      <c r="C40" s="7" t="s">
        <v>73</v>
      </c>
      <c r="D40" s="7" t="s">
        <v>84</v>
      </c>
      <c r="E40" s="18">
        <v>3</v>
      </c>
      <c r="F40" s="7">
        <v>0</v>
      </c>
      <c r="G40" s="7">
        <v>6</v>
      </c>
      <c r="H40" s="7">
        <v>6</v>
      </c>
      <c r="I40" s="7">
        <v>0</v>
      </c>
      <c r="J40" s="7">
        <f t="shared" si="0"/>
        <v>-0.16666666666666666</v>
      </c>
      <c r="K40" s="7">
        <f t="shared" si="1"/>
        <v>0</v>
      </c>
      <c r="L40" s="7">
        <f>E40-((E35+E36+E37+E38+E39)/5)</f>
        <v>0.67999999999999972</v>
      </c>
      <c r="M40" s="40">
        <f t="shared" si="9"/>
        <v>0.56119999999999992</v>
      </c>
      <c r="N40" s="7">
        <f t="shared" si="3"/>
        <v>0.16666666666666666</v>
      </c>
      <c r="O40" s="8">
        <f t="shared" si="4"/>
        <v>0</v>
      </c>
      <c r="P40" s="7">
        <v>9</v>
      </c>
      <c r="Q40" s="8">
        <f t="shared" si="5"/>
        <v>0.25</v>
      </c>
      <c r="R40" s="7">
        <v>1</v>
      </c>
      <c r="S40" s="7">
        <v>1</v>
      </c>
      <c r="T40" s="7">
        <v>1</v>
      </c>
      <c r="U40" s="8">
        <f t="shared" si="6"/>
        <v>1</v>
      </c>
      <c r="V40" s="10">
        <v>0</v>
      </c>
      <c r="W40" s="14">
        <v>3</v>
      </c>
      <c r="X40" s="16">
        <f t="shared" si="10"/>
        <v>3.5687500000000001</v>
      </c>
    </row>
    <row r="41" spans="1:24" x14ac:dyDescent="0.3">
      <c r="A41" s="1">
        <v>46157</v>
      </c>
      <c r="B41">
        <v>9</v>
      </c>
      <c r="C41" t="s">
        <v>3</v>
      </c>
      <c r="D41" t="s">
        <v>42</v>
      </c>
      <c r="E41" s="3">
        <v>3.6</v>
      </c>
      <c r="F41">
        <v>1</v>
      </c>
      <c r="G41">
        <v>1</v>
      </c>
      <c r="H41">
        <v>5</v>
      </c>
      <c r="I41">
        <v>3</v>
      </c>
      <c r="J41">
        <f t="shared" si="0"/>
        <v>0.8</v>
      </c>
      <c r="K41">
        <f t="shared" si="1"/>
        <v>0.60666666666666669</v>
      </c>
      <c r="L41" s="25">
        <f>E41-((E42+E43+E44+E45)/4)</f>
        <v>0.47500000000000009</v>
      </c>
      <c r="M41" s="47">
        <f t="shared" si="9"/>
        <v>0.54274999999999995</v>
      </c>
      <c r="N41">
        <f t="shared" si="3"/>
        <v>1.6</v>
      </c>
      <c r="O41" s="5">
        <f t="shared" si="4"/>
        <v>0.86</v>
      </c>
      <c r="P41">
        <v>18</v>
      </c>
      <c r="Q41" s="5">
        <f>IF(F41=1,(((1-((P41-3)/15))*0.5)+0.5),((P41/18)*0.5))</f>
        <v>0.5</v>
      </c>
      <c r="R41">
        <v>1</v>
      </c>
      <c r="S41">
        <v>2</v>
      </c>
      <c r="T41">
        <v>2</v>
      </c>
      <c r="U41" s="5">
        <f t="shared" si="6"/>
        <v>1</v>
      </c>
      <c r="V41" s="9">
        <v>0</v>
      </c>
      <c r="W41" s="2">
        <v>3</v>
      </c>
      <c r="X41" s="17">
        <f t="shared" si="10"/>
        <v>3.8704999999999998</v>
      </c>
    </row>
    <row r="42" spans="1:24" x14ac:dyDescent="0.3">
      <c r="A42" s="1">
        <v>46157</v>
      </c>
      <c r="B42">
        <v>9</v>
      </c>
      <c r="C42" t="s">
        <v>5</v>
      </c>
      <c r="D42" t="s">
        <v>90</v>
      </c>
      <c r="E42" s="3">
        <v>2.7</v>
      </c>
      <c r="F42">
        <v>0</v>
      </c>
      <c r="G42">
        <v>2</v>
      </c>
      <c r="H42">
        <v>5</v>
      </c>
      <c r="I42">
        <v>0</v>
      </c>
      <c r="J42">
        <f t="shared" si="0"/>
        <v>-0.2</v>
      </c>
      <c r="K42">
        <f t="shared" si="1"/>
        <v>6.6666666666666654E-3</v>
      </c>
      <c r="L42">
        <f>E42-((E41+E43+E44+E45)/4)</f>
        <v>-0.64999999999999991</v>
      </c>
      <c r="M42" s="48">
        <f t="shared" si="9"/>
        <v>0.4415</v>
      </c>
      <c r="N42">
        <f t="shared" si="3"/>
        <v>0.8</v>
      </c>
      <c r="O42" s="5">
        <f t="shared" si="4"/>
        <v>0.38</v>
      </c>
      <c r="P42">
        <v>18</v>
      </c>
      <c r="Q42" s="5">
        <f t="shared" ref="Q42:Q111" si="11">IF(F42=1,(((1-((P42-3)/15))*0.5)+0.5),((P42/18)*0.5))</f>
        <v>0.5</v>
      </c>
      <c r="R42">
        <v>0</v>
      </c>
      <c r="S42">
        <v>3</v>
      </c>
      <c r="T42">
        <v>2</v>
      </c>
      <c r="U42" s="5">
        <f t="shared" si="6"/>
        <v>0.66666666666666663</v>
      </c>
      <c r="V42" s="9">
        <v>0</v>
      </c>
      <c r="W42" s="2">
        <v>2</v>
      </c>
      <c r="X42" s="17">
        <f t="shared" si="10"/>
        <v>2.4931666666666668</v>
      </c>
    </row>
    <row r="43" spans="1:24" x14ac:dyDescent="0.3">
      <c r="A43" s="1">
        <v>46157</v>
      </c>
      <c r="B43">
        <v>9</v>
      </c>
      <c r="C43" t="s">
        <v>2</v>
      </c>
      <c r="D43" t="s">
        <v>37</v>
      </c>
      <c r="E43" s="3">
        <v>3.3</v>
      </c>
      <c r="F43">
        <v>0</v>
      </c>
      <c r="G43">
        <v>3</v>
      </c>
      <c r="H43">
        <v>5</v>
      </c>
      <c r="I43">
        <v>0</v>
      </c>
      <c r="J43">
        <f t="shared" si="0"/>
        <v>-0.2</v>
      </c>
      <c r="K43">
        <f t="shared" si="1"/>
        <v>6.6666666666666654E-3</v>
      </c>
      <c r="L43">
        <f>E43-((E41+E42+E44+E45)/4)</f>
        <v>9.9999999999999645E-2</v>
      </c>
      <c r="M43" s="48">
        <f t="shared" si="9"/>
        <v>0.50900000000000001</v>
      </c>
      <c r="N43">
        <f t="shared" si="3"/>
        <v>0.6</v>
      </c>
      <c r="O43" s="5">
        <f t="shared" si="4"/>
        <v>0.26</v>
      </c>
      <c r="P43">
        <v>14</v>
      </c>
      <c r="Q43" s="5">
        <f t="shared" si="11"/>
        <v>0.3888888888888889</v>
      </c>
      <c r="R43">
        <v>1</v>
      </c>
      <c r="S43">
        <v>2</v>
      </c>
      <c r="T43">
        <v>1</v>
      </c>
      <c r="U43" s="5">
        <f t="shared" si="6"/>
        <v>0.5</v>
      </c>
      <c r="V43" s="9">
        <v>0</v>
      </c>
      <c r="W43" s="2">
        <v>3</v>
      </c>
      <c r="X43" s="17">
        <f t="shared" si="10"/>
        <v>3.5835555555555558</v>
      </c>
    </row>
    <row r="44" spans="1:24" x14ac:dyDescent="0.3">
      <c r="A44" s="1">
        <v>46157</v>
      </c>
      <c r="B44">
        <v>9</v>
      </c>
      <c r="C44" t="s">
        <v>6</v>
      </c>
      <c r="D44" t="s">
        <v>89</v>
      </c>
      <c r="E44" s="3">
        <v>2.9</v>
      </c>
      <c r="F44">
        <v>0</v>
      </c>
      <c r="G44">
        <v>4</v>
      </c>
      <c r="H44">
        <v>5</v>
      </c>
      <c r="I44">
        <v>1</v>
      </c>
      <c r="J44">
        <f t="shared" si="0"/>
        <v>-0.2</v>
      </c>
      <c r="K44">
        <f t="shared" si="1"/>
        <v>0.20666666666666664</v>
      </c>
      <c r="L44">
        <f>E44-((E41+E42+E43+E45)/4)</f>
        <v>-0.40000000000000036</v>
      </c>
      <c r="M44" s="48">
        <f t="shared" si="9"/>
        <v>0.46399999999999997</v>
      </c>
      <c r="N44">
        <f t="shared" si="3"/>
        <v>0.48</v>
      </c>
      <c r="O44" s="5">
        <f t="shared" si="4"/>
        <v>0.188</v>
      </c>
      <c r="P44">
        <v>11</v>
      </c>
      <c r="Q44" s="5">
        <f t="shared" si="11"/>
        <v>0.30555555555555558</v>
      </c>
      <c r="R44">
        <v>1</v>
      </c>
      <c r="S44">
        <v>0</v>
      </c>
      <c r="T44">
        <v>0</v>
      </c>
      <c r="U44" s="5">
        <f t="shared" si="6"/>
        <v>1</v>
      </c>
      <c r="V44" s="9">
        <v>0</v>
      </c>
      <c r="W44" s="2">
        <v>2</v>
      </c>
      <c r="X44" s="17">
        <f t="shared" si="10"/>
        <v>2.6348722222222221</v>
      </c>
    </row>
    <row r="45" spans="1:24" x14ac:dyDescent="0.3">
      <c r="A45" s="32">
        <v>46157</v>
      </c>
      <c r="B45" s="7">
        <v>9</v>
      </c>
      <c r="C45" s="7" t="s">
        <v>73</v>
      </c>
      <c r="D45" s="7" t="s">
        <v>84</v>
      </c>
      <c r="E45" s="18">
        <v>3.6</v>
      </c>
      <c r="F45" s="7">
        <v>0</v>
      </c>
      <c r="G45" s="7">
        <v>5</v>
      </c>
      <c r="H45" s="7">
        <v>5</v>
      </c>
      <c r="I45" s="7">
        <v>0</v>
      </c>
      <c r="J45" s="7">
        <f t="shared" si="0"/>
        <v>-0.2</v>
      </c>
      <c r="K45" s="7">
        <f t="shared" si="1"/>
        <v>6.6666666666666654E-3</v>
      </c>
      <c r="L45" s="7">
        <f>E45-((E41+E42+E43+E44)/4)</f>
        <v>0.47499999999999964</v>
      </c>
      <c r="M45" s="40">
        <f t="shared" si="9"/>
        <v>0.54274999999999995</v>
      </c>
      <c r="N45" s="7">
        <f t="shared" si="3"/>
        <v>0.2</v>
      </c>
      <c r="O45" s="8">
        <f t="shared" si="4"/>
        <v>2.0000000000000011E-2</v>
      </c>
      <c r="P45" s="7">
        <v>11</v>
      </c>
      <c r="Q45" s="8">
        <f t="shared" si="11"/>
        <v>0.30555555555555558</v>
      </c>
      <c r="R45" s="7">
        <v>0</v>
      </c>
      <c r="S45" s="7">
        <v>3</v>
      </c>
      <c r="T45" s="7">
        <v>1</v>
      </c>
      <c r="U45" s="8">
        <f t="shared" si="6"/>
        <v>0.33333333333333331</v>
      </c>
      <c r="V45" s="10">
        <v>0</v>
      </c>
      <c r="W45" s="14">
        <v>3</v>
      </c>
      <c r="X45" s="16">
        <f t="shared" si="10"/>
        <v>3.2928055555555558</v>
      </c>
    </row>
    <row r="46" spans="1:24" x14ac:dyDescent="0.3">
      <c r="A46" s="1">
        <v>46157</v>
      </c>
      <c r="B46">
        <v>10</v>
      </c>
      <c r="C46" t="s">
        <v>6</v>
      </c>
      <c r="D46" t="s">
        <v>100</v>
      </c>
      <c r="E46" s="3">
        <v>2</v>
      </c>
      <c r="F46">
        <v>1</v>
      </c>
      <c r="G46">
        <v>1</v>
      </c>
      <c r="H46">
        <v>3</v>
      </c>
      <c r="I46">
        <v>2</v>
      </c>
      <c r="J46">
        <f t="shared" si="0"/>
        <v>0.66666666666666674</v>
      </c>
      <c r="K46">
        <f t="shared" si="1"/>
        <v>0.4333333333333334</v>
      </c>
      <c r="L46" s="3">
        <f>E46-((E47+E48)/2)</f>
        <v>-1.4500000000000002</v>
      </c>
      <c r="M46" s="36">
        <f t="shared" si="9"/>
        <v>0.3695</v>
      </c>
      <c r="N46">
        <f t="shared" si="3"/>
        <v>1.6666666666666667</v>
      </c>
      <c r="O46" s="5">
        <f t="shared" si="4"/>
        <v>0.89999999999999991</v>
      </c>
      <c r="P46">
        <v>10</v>
      </c>
      <c r="Q46" s="5">
        <f t="shared" si="11"/>
        <v>0.76666666666666661</v>
      </c>
      <c r="R46">
        <v>1</v>
      </c>
      <c r="S46">
        <v>1</v>
      </c>
      <c r="T46">
        <v>1</v>
      </c>
      <c r="U46" s="5">
        <f t="shared" si="6"/>
        <v>1</v>
      </c>
      <c r="V46" s="9">
        <v>0</v>
      </c>
      <c r="W46" s="2">
        <v>2</v>
      </c>
      <c r="X46" s="17">
        <f t="shared" si="10"/>
        <v>2.9291666666666667</v>
      </c>
    </row>
    <row r="47" spans="1:24" x14ac:dyDescent="0.3">
      <c r="A47" s="1">
        <v>46157</v>
      </c>
      <c r="B47">
        <v>10</v>
      </c>
      <c r="C47" t="s">
        <v>2</v>
      </c>
      <c r="D47" t="s">
        <v>36</v>
      </c>
      <c r="E47" s="3">
        <v>3.6</v>
      </c>
      <c r="F47">
        <v>0</v>
      </c>
      <c r="G47">
        <v>2</v>
      </c>
      <c r="H47">
        <v>3</v>
      </c>
      <c r="I47">
        <v>0</v>
      </c>
      <c r="J47">
        <f t="shared" si="0"/>
        <v>-0.33333333333333331</v>
      </c>
      <c r="K47">
        <f t="shared" si="1"/>
        <v>3.3333333333333347E-2</v>
      </c>
      <c r="L47">
        <f>E47-((E46+E48)/2)</f>
        <v>0.95000000000000018</v>
      </c>
      <c r="M47" s="36">
        <f t="shared" si="9"/>
        <v>0.58550000000000002</v>
      </c>
      <c r="N47">
        <f t="shared" si="3"/>
        <v>0.66666666666666663</v>
      </c>
      <c r="O47" s="5">
        <f t="shared" si="4"/>
        <v>0.3</v>
      </c>
      <c r="P47">
        <v>10</v>
      </c>
      <c r="Q47" s="5">
        <f t="shared" si="11"/>
        <v>0.27777777777777779</v>
      </c>
      <c r="R47">
        <v>0</v>
      </c>
      <c r="S47">
        <v>0</v>
      </c>
      <c r="T47">
        <v>1</v>
      </c>
      <c r="U47" s="5">
        <f t="shared" si="6"/>
        <v>1</v>
      </c>
      <c r="V47" s="9">
        <v>0</v>
      </c>
      <c r="W47" s="2">
        <v>3</v>
      </c>
      <c r="X47" s="17">
        <f t="shared" si="10"/>
        <v>3.4886111111111111</v>
      </c>
    </row>
    <row r="48" spans="1:24" x14ac:dyDescent="0.3">
      <c r="A48" s="32">
        <v>46157</v>
      </c>
      <c r="B48" s="7">
        <v>10</v>
      </c>
      <c r="C48" s="7" t="s">
        <v>73</v>
      </c>
      <c r="D48" s="7" t="s">
        <v>84</v>
      </c>
      <c r="E48" s="18">
        <v>3.3</v>
      </c>
      <c r="F48" s="7">
        <v>0</v>
      </c>
      <c r="G48" s="7">
        <v>3</v>
      </c>
      <c r="H48" s="7">
        <v>3</v>
      </c>
      <c r="I48" s="7">
        <v>0</v>
      </c>
      <c r="J48" s="7">
        <f t="shared" si="0"/>
        <v>-0.33333333333333331</v>
      </c>
      <c r="K48" s="7">
        <f t="shared" si="1"/>
        <v>3.3333333333333347E-2</v>
      </c>
      <c r="L48" s="7">
        <f>E48-((E46+E47)/2)</f>
        <v>0.5</v>
      </c>
      <c r="M48" s="40">
        <f t="shared" si="9"/>
        <v>0.54500000000000004</v>
      </c>
      <c r="N48" s="7">
        <f t="shared" si="3"/>
        <v>0.33333333333333331</v>
      </c>
      <c r="O48" s="8">
        <f t="shared" si="4"/>
        <v>9.9999999999999992E-2</v>
      </c>
      <c r="P48" s="7">
        <v>7</v>
      </c>
      <c r="Q48" s="8">
        <f t="shared" si="11"/>
        <v>0.19444444444444445</v>
      </c>
      <c r="R48" s="7">
        <v>1</v>
      </c>
      <c r="S48" s="7">
        <v>0</v>
      </c>
      <c r="T48" s="7">
        <v>1</v>
      </c>
      <c r="U48" s="8">
        <f t="shared" si="6"/>
        <v>1</v>
      </c>
      <c r="V48" s="10">
        <v>0</v>
      </c>
      <c r="W48" s="14">
        <v>3</v>
      </c>
      <c r="X48" s="16">
        <f t="shared" si="10"/>
        <v>3.5890277777777779</v>
      </c>
    </row>
    <row r="49" spans="1:24" x14ac:dyDescent="0.3">
      <c r="A49" s="1">
        <v>46161</v>
      </c>
      <c r="B49">
        <v>11</v>
      </c>
      <c r="C49" t="s">
        <v>2</v>
      </c>
      <c r="D49" t="s">
        <v>97</v>
      </c>
      <c r="E49" s="3">
        <v>2.7</v>
      </c>
      <c r="F49">
        <v>1</v>
      </c>
      <c r="G49">
        <v>1</v>
      </c>
      <c r="H49">
        <v>3</v>
      </c>
      <c r="I49">
        <v>2</v>
      </c>
      <c r="J49">
        <f t="shared" si="0"/>
        <v>0.66666666666666674</v>
      </c>
      <c r="K49">
        <f t="shared" si="1"/>
        <v>0.4333333333333334</v>
      </c>
      <c r="L49" s="3">
        <f>E49-((E50+E51)/2)</f>
        <v>-9.9999999999999645E-2</v>
      </c>
      <c r="M49" s="36">
        <f t="shared" ref="M49:M66" si="12">0.5 + (L49 * 0.09)</f>
        <v>0.49100000000000005</v>
      </c>
      <c r="N49">
        <f t="shared" si="3"/>
        <v>1.6666666666666667</v>
      </c>
      <c r="O49" s="5">
        <f t="shared" si="4"/>
        <v>0.89999999999999991</v>
      </c>
      <c r="P49">
        <v>11</v>
      </c>
      <c r="Q49" s="5">
        <f t="shared" si="11"/>
        <v>0.73333333333333339</v>
      </c>
      <c r="R49">
        <v>1</v>
      </c>
      <c r="S49">
        <v>0</v>
      </c>
      <c r="T49">
        <v>0</v>
      </c>
      <c r="U49" s="5">
        <f t="shared" si="6"/>
        <v>1</v>
      </c>
      <c r="V49" s="9">
        <v>0</v>
      </c>
      <c r="W49" s="2">
        <v>2</v>
      </c>
      <c r="X49" s="17">
        <f t="shared" si="10"/>
        <v>2.9233333333333333</v>
      </c>
    </row>
    <row r="50" spans="1:24" x14ac:dyDescent="0.3">
      <c r="A50" s="1">
        <v>46161</v>
      </c>
      <c r="B50">
        <v>11</v>
      </c>
      <c r="C50" t="s">
        <v>73</v>
      </c>
      <c r="D50" t="s">
        <v>84</v>
      </c>
      <c r="E50" s="3">
        <v>3.6</v>
      </c>
      <c r="F50">
        <v>0</v>
      </c>
      <c r="G50">
        <v>2</v>
      </c>
      <c r="H50">
        <v>3</v>
      </c>
      <c r="I50">
        <v>0</v>
      </c>
      <c r="J50">
        <f t="shared" si="0"/>
        <v>-0.33333333333333331</v>
      </c>
      <c r="K50">
        <f t="shared" si="1"/>
        <v>3.3333333333333347E-2</v>
      </c>
      <c r="L50">
        <f>E50-((E49+E51)/2)</f>
        <v>1.25</v>
      </c>
      <c r="M50" s="36">
        <f t="shared" si="12"/>
        <v>0.61250000000000004</v>
      </c>
      <c r="N50">
        <f t="shared" si="3"/>
        <v>0.66666666666666663</v>
      </c>
      <c r="O50" s="5">
        <f t="shared" si="4"/>
        <v>0.3</v>
      </c>
      <c r="P50">
        <v>11</v>
      </c>
      <c r="Q50" s="5">
        <f t="shared" si="11"/>
        <v>0.30555555555555558</v>
      </c>
      <c r="R50">
        <v>0</v>
      </c>
      <c r="S50">
        <v>0</v>
      </c>
      <c r="T50">
        <v>0</v>
      </c>
      <c r="U50" s="5">
        <f t="shared" si="6"/>
        <v>1</v>
      </c>
      <c r="V50" s="9">
        <v>0</v>
      </c>
      <c r="W50" s="2">
        <v>3</v>
      </c>
      <c r="X50" s="17">
        <f t="shared" si="10"/>
        <v>3.4934722222222221</v>
      </c>
    </row>
    <row r="51" spans="1:24" x14ac:dyDescent="0.3">
      <c r="A51" s="32">
        <v>46161</v>
      </c>
      <c r="B51" s="7">
        <v>11</v>
      </c>
      <c r="C51" s="7" t="s">
        <v>3</v>
      </c>
      <c r="D51" s="7" t="s">
        <v>101</v>
      </c>
      <c r="E51" s="18">
        <v>2</v>
      </c>
      <c r="F51" s="7">
        <v>0</v>
      </c>
      <c r="G51" s="7">
        <v>3</v>
      </c>
      <c r="H51" s="7">
        <v>3</v>
      </c>
      <c r="I51" s="7">
        <v>0</v>
      </c>
      <c r="J51" s="7">
        <f t="shared" si="0"/>
        <v>-0.33333333333333331</v>
      </c>
      <c r="K51" s="7">
        <f t="shared" si="1"/>
        <v>3.3333333333333347E-2</v>
      </c>
      <c r="L51" s="7">
        <f>E51-((E49+E50)/2)</f>
        <v>-1.1500000000000004</v>
      </c>
      <c r="M51" s="40">
        <f t="shared" si="12"/>
        <v>0.39649999999999996</v>
      </c>
      <c r="N51" s="7">
        <f t="shared" si="3"/>
        <v>0.33333333333333331</v>
      </c>
      <c r="O51" s="8">
        <f t="shared" si="4"/>
        <v>9.9999999999999992E-2</v>
      </c>
      <c r="P51" s="7">
        <v>10</v>
      </c>
      <c r="Q51" s="8">
        <f t="shared" si="11"/>
        <v>0.27777777777777779</v>
      </c>
      <c r="R51" s="7">
        <v>1</v>
      </c>
      <c r="S51" s="7">
        <v>0</v>
      </c>
      <c r="T51" s="7">
        <v>0</v>
      </c>
      <c r="U51" s="8">
        <f t="shared" si="6"/>
        <v>1</v>
      </c>
      <c r="V51" s="10">
        <v>0</v>
      </c>
      <c r="W51" s="14">
        <v>2</v>
      </c>
      <c r="X51" s="16">
        <f t="shared" si="10"/>
        <v>2.6036111111111113</v>
      </c>
    </row>
    <row r="52" spans="1:24" x14ac:dyDescent="0.3">
      <c r="A52" s="1">
        <v>46162</v>
      </c>
      <c r="B52">
        <v>12</v>
      </c>
      <c r="C52" t="s">
        <v>87</v>
      </c>
      <c r="D52" t="s">
        <v>85</v>
      </c>
      <c r="E52" s="3">
        <v>3.6</v>
      </c>
      <c r="F52">
        <v>1</v>
      </c>
      <c r="G52">
        <v>1</v>
      </c>
      <c r="H52">
        <v>4</v>
      </c>
      <c r="I52">
        <v>2</v>
      </c>
      <c r="J52">
        <f t="shared" si="0"/>
        <v>0.75</v>
      </c>
      <c r="K52">
        <f t="shared" si="1"/>
        <v>0.41666666666666669</v>
      </c>
      <c r="L52">
        <f>E52-((E53+E54+E55)/3)</f>
        <v>0</v>
      </c>
      <c r="M52" s="36">
        <f t="shared" si="12"/>
        <v>0.5</v>
      </c>
      <c r="N52">
        <f t="shared" si="3"/>
        <v>1.5</v>
      </c>
      <c r="O52" s="5">
        <f t="shared" si="4"/>
        <v>0.79999999999999993</v>
      </c>
      <c r="P52">
        <v>11</v>
      </c>
      <c r="Q52" s="5">
        <f t="shared" si="11"/>
        <v>0.73333333333333339</v>
      </c>
      <c r="R52">
        <v>1</v>
      </c>
      <c r="S52">
        <v>0</v>
      </c>
      <c r="T52">
        <v>0</v>
      </c>
      <c r="U52" s="5">
        <f t="shared" si="6"/>
        <v>1</v>
      </c>
      <c r="V52" s="9">
        <v>0</v>
      </c>
      <c r="W52" s="2">
        <v>3</v>
      </c>
      <c r="X52" s="17">
        <f t="shared" si="10"/>
        <v>3.8933333333333335</v>
      </c>
    </row>
    <row r="53" spans="1:24" x14ac:dyDescent="0.3">
      <c r="A53" s="1">
        <v>46162</v>
      </c>
      <c r="B53">
        <v>12</v>
      </c>
      <c r="C53" t="s">
        <v>4</v>
      </c>
      <c r="D53" t="s">
        <v>80</v>
      </c>
      <c r="E53" s="3">
        <v>3</v>
      </c>
      <c r="F53">
        <v>0</v>
      </c>
      <c r="G53">
        <v>2</v>
      </c>
      <c r="H53">
        <v>4</v>
      </c>
      <c r="I53">
        <v>0</v>
      </c>
      <c r="J53">
        <f t="shared" si="0"/>
        <v>-0.25</v>
      </c>
      <c r="K53">
        <f t="shared" si="1"/>
        <v>1.6666666666666673E-2</v>
      </c>
      <c r="L53">
        <f>E53-((E52+E54+E55)/3)</f>
        <v>-0.80000000000000027</v>
      </c>
      <c r="M53" s="36">
        <f t="shared" si="12"/>
        <v>0.42799999999999999</v>
      </c>
      <c r="N53">
        <f t="shared" si="3"/>
        <v>0.75</v>
      </c>
      <c r="O53" s="5">
        <f t="shared" si="4"/>
        <v>0.35000000000000003</v>
      </c>
      <c r="P53">
        <v>11</v>
      </c>
      <c r="Q53" s="5">
        <f t="shared" si="11"/>
        <v>0.30555555555555558</v>
      </c>
      <c r="R53">
        <v>0</v>
      </c>
      <c r="S53">
        <v>1</v>
      </c>
      <c r="T53">
        <v>0</v>
      </c>
      <c r="U53" s="5">
        <f t="shared" si="6"/>
        <v>0</v>
      </c>
      <c r="V53" s="9">
        <v>0</v>
      </c>
      <c r="W53" s="2">
        <v>3</v>
      </c>
      <c r="X53" s="17">
        <f t="shared" si="10"/>
        <v>3.3334722222222224</v>
      </c>
    </row>
    <row r="54" spans="1:24" x14ac:dyDescent="0.3">
      <c r="A54" s="1">
        <v>46162</v>
      </c>
      <c r="B54">
        <v>12</v>
      </c>
      <c r="C54" t="s">
        <v>2</v>
      </c>
      <c r="D54" t="s">
        <v>26</v>
      </c>
      <c r="E54" s="3">
        <v>3.9</v>
      </c>
      <c r="F54">
        <v>0</v>
      </c>
      <c r="G54">
        <v>3</v>
      </c>
      <c r="H54">
        <v>4</v>
      </c>
      <c r="I54">
        <v>1</v>
      </c>
      <c r="J54">
        <f t="shared" si="0"/>
        <v>-0.25</v>
      </c>
      <c r="K54">
        <f t="shared" si="1"/>
        <v>0.2166666666666667</v>
      </c>
      <c r="L54">
        <f>E54-((E52+E53+E55)/3)</f>
        <v>0.39999999999999991</v>
      </c>
      <c r="M54" s="36">
        <f t="shared" si="12"/>
        <v>0.53600000000000003</v>
      </c>
      <c r="N54">
        <f t="shared" si="3"/>
        <v>0.625</v>
      </c>
      <c r="O54" s="5">
        <f t="shared" si="4"/>
        <v>0.27500000000000002</v>
      </c>
      <c r="P54">
        <v>11</v>
      </c>
      <c r="Q54" s="5">
        <f t="shared" si="11"/>
        <v>0.30555555555555558</v>
      </c>
      <c r="R54">
        <v>1</v>
      </c>
      <c r="S54">
        <v>0</v>
      </c>
      <c r="T54">
        <v>0</v>
      </c>
      <c r="U54" s="5">
        <f t="shared" si="6"/>
        <v>1</v>
      </c>
      <c r="V54" s="9">
        <v>0</v>
      </c>
      <c r="W54" s="2">
        <v>3</v>
      </c>
      <c r="X54" s="17">
        <f t="shared" si="10"/>
        <v>3.6609722222222221</v>
      </c>
    </row>
    <row r="55" spans="1:24" x14ac:dyDescent="0.3">
      <c r="A55" s="32">
        <v>46162</v>
      </c>
      <c r="B55" s="7">
        <v>12</v>
      </c>
      <c r="C55" s="7" t="s">
        <v>3</v>
      </c>
      <c r="D55" s="7" t="s">
        <v>86</v>
      </c>
      <c r="E55" s="18">
        <v>3.9</v>
      </c>
      <c r="F55" s="7">
        <v>0</v>
      </c>
      <c r="G55" s="7">
        <v>4</v>
      </c>
      <c r="H55" s="7">
        <v>4</v>
      </c>
      <c r="I55" s="7">
        <v>0</v>
      </c>
      <c r="J55" s="7">
        <f t="shared" si="0"/>
        <v>-0.25</v>
      </c>
      <c r="K55" s="7">
        <f t="shared" si="1"/>
        <v>1.6666666666666673E-2</v>
      </c>
      <c r="L55" s="7">
        <f>E55-((E52+E53+E54)/3)</f>
        <v>0.39999999999999991</v>
      </c>
      <c r="M55" s="40">
        <f t="shared" si="12"/>
        <v>0.53600000000000003</v>
      </c>
      <c r="N55" s="7">
        <f t="shared" si="3"/>
        <v>0.25</v>
      </c>
      <c r="O55" s="8">
        <f t="shared" si="4"/>
        <v>0.05</v>
      </c>
      <c r="P55" s="7">
        <v>11</v>
      </c>
      <c r="Q55" s="8">
        <f t="shared" si="11"/>
        <v>0.30555555555555558</v>
      </c>
      <c r="R55" s="7">
        <v>1</v>
      </c>
      <c r="S55" s="7">
        <v>0</v>
      </c>
      <c r="T55" s="7">
        <v>0</v>
      </c>
      <c r="U55" s="8">
        <f t="shared" si="6"/>
        <v>1</v>
      </c>
      <c r="V55" s="10">
        <v>0</v>
      </c>
      <c r="W55" s="14">
        <v>3</v>
      </c>
      <c r="X55" s="16">
        <f t="shared" si="10"/>
        <v>3.5934722222222222</v>
      </c>
    </row>
    <row r="56" spans="1:24" x14ac:dyDescent="0.3">
      <c r="A56" s="1">
        <v>46164</v>
      </c>
      <c r="B56">
        <v>13</v>
      </c>
      <c r="C56" t="s">
        <v>4</v>
      </c>
      <c r="D56" t="s">
        <v>91</v>
      </c>
      <c r="E56" s="3">
        <v>3</v>
      </c>
      <c r="F56">
        <v>1</v>
      </c>
      <c r="G56">
        <v>1</v>
      </c>
      <c r="H56">
        <v>5</v>
      </c>
      <c r="I56">
        <v>3</v>
      </c>
      <c r="J56">
        <f t="shared" si="0"/>
        <v>0.8</v>
      </c>
      <c r="K56">
        <f t="shared" si="1"/>
        <v>0.60666666666666669</v>
      </c>
      <c r="L56" s="25">
        <f>E56-((E57+E58+E59+E60)/4)</f>
        <v>-2.4999999999999911E-2</v>
      </c>
      <c r="M56" s="47">
        <f t="shared" si="12"/>
        <v>0.49775000000000003</v>
      </c>
      <c r="N56">
        <f t="shared" si="3"/>
        <v>1.6</v>
      </c>
      <c r="O56" s="5">
        <f t="shared" si="4"/>
        <v>0.86</v>
      </c>
      <c r="P56">
        <v>17</v>
      </c>
      <c r="Q56" s="5">
        <f t="shared" si="11"/>
        <v>0.53333333333333333</v>
      </c>
      <c r="R56">
        <v>1</v>
      </c>
      <c r="S56">
        <v>3</v>
      </c>
      <c r="T56">
        <v>2</v>
      </c>
      <c r="U56" s="5">
        <f t="shared" si="6"/>
        <v>0.66666666666666663</v>
      </c>
      <c r="V56" s="9">
        <v>0</v>
      </c>
      <c r="W56" s="2">
        <v>3</v>
      </c>
      <c r="X56" s="17">
        <f t="shared" si="10"/>
        <v>3.8180000000000001</v>
      </c>
    </row>
    <row r="57" spans="1:24" x14ac:dyDescent="0.3">
      <c r="A57" s="1">
        <v>46164</v>
      </c>
      <c r="B57">
        <v>13</v>
      </c>
      <c r="C57" t="s">
        <v>6</v>
      </c>
      <c r="D57" t="s">
        <v>103</v>
      </c>
      <c r="E57" s="3">
        <v>3</v>
      </c>
      <c r="F57">
        <v>0</v>
      </c>
      <c r="G57">
        <v>2</v>
      </c>
      <c r="H57">
        <v>5</v>
      </c>
      <c r="I57">
        <v>0</v>
      </c>
      <c r="J57">
        <f t="shared" si="0"/>
        <v>-0.2</v>
      </c>
      <c r="K57">
        <f t="shared" si="1"/>
        <v>6.6666666666666654E-3</v>
      </c>
      <c r="L57">
        <f>E57-((E56+E58+E59+E60)/4)</f>
        <v>-2.4999999999999911E-2</v>
      </c>
      <c r="M57" s="48">
        <f t="shared" si="12"/>
        <v>0.49775000000000003</v>
      </c>
      <c r="N57">
        <f t="shared" si="3"/>
        <v>0.8</v>
      </c>
      <c r="O57" s="5">
        <f t="shared" si="4"/>
        <v>0.38</v>
      </c>
      <c r="P57">
        <v>17</v>
      </c>
      <c r="Q57" s="5">
        <f t="shared" si="11"/>
        <v>0.47222222222222221</v>
      </c>
      <c r="R57">
        <v>0</v>
      </c>
      <c r="S57">
        <v>3</v>
      </c>
      <c r="T57">
        <v>2</v>
      </c>
      <c r="U57" s="5">
        <f t="shared" si="6"/>
        <v>0.66666666666666663</v>
      </c>
      <c r="V57" s="9">
        <v>0</v>
      </c>
      <c r="W57" s="2">
        <v>3</v>
      </c>
      <c r="X57" s="17">
        <f t="shared" si="10"/>
        <v>3.4883055555555553</v>
      </c>
    </row>
    <row r="58" spans="1:24" x14ac:dyDescent="0.3">
      <c r="A58" s="1">
        <v>46164</v>
      </c>
      <c r="B58">
        <v>13</v>
      </c>
      <c r="C58" t="s">
        <v>5</v>
      </c>
      <c r="D58" t="s">
        <v>90</v>
      </c>
      <c r="E58" s="3">
        <v>2.5</v>
      </c>
      <c r="F58">
        <v>0</v>
      </c>
      <c r="G58">
        <v>3</v>
      </c>
      <c r="H58">
        <v>5</v>
      </c>
      <c r="I58">
        <v>1</v>
      </c>
      <c r="J58">
        <f t="shared" si="0"/>
        <v>-0.2</v>
      </c>
      <c r="K58">
        <f t="shared" si="1"/>
        <v>0.20666666666666664</v>
      </c>
      <c r="L58">
        <f>E58-((E56+E57+E59+E60)/4)</f>
        <v>-0.64999999999999991</v>
      </c>
      <c r="M58" s="48">
        <f t="shared" si="12"/>
        <v>0.4415</v>
      </c>
      <c r="N58">
        <f t="shared" si="3"/>
        <v>0.72</v>
      </c>
      <c r="O58" s="5">
        <f t="shared" si="4"/>
        <v>0.33200000000000002</v>
      </c>
      <c r="P58">
        <v>16</v>
      </c>
      <c r="Q58" s="5">
        <f t="shared" si="11"/>
        <v>0.44444444444444442</v>
      </c>
      <c r="R58">
        <v>0</v>
      </c>
      <c r="S58">
        <v>3</v>
      </c>
      <c r="T58">
        <v>2</v>
      </c>
      <c r="U58" s="5">
        <f t="shared" si="6"/>
        <v>0.66666666666666663</v>
      </c>
      <c r="V58" s="9">
        <v>0</v>
      </c>
      <c r="W58" s="2">
        <v>2</v>
      </c>
      <c r="X58" s="17">
        <f t="shared" si="10"/>
        <v>2.4690444444444446</v>
      </c>
    </row>
    <row r="59" spans="1:24" x14ac:dyDescent="0.3">
      <c r="A59" s="1">
        <v>46164</v>
      </c>
      <c r="B59">
        <v>13</v>
      </c>
      <c r="C59" t="s">
        <v>2</v>
      </c>
      <c r="D59" t="s">
        <v>37</v>
      </c>
      <c r="E59" s="3">
        <v>3.6</v>
      </c>
      <c r="F59">
        <v>0</v>
      </c>
      <c r="G59">
        <v>4</v>
      </c>
      <c r="H59">
        <v>5</v>
      </c>
      <c r="I59">
        <v>0</v>
      </c>
      <c r="J59">
        <f t="shared" si="0"/>
        <v>-0.2</v>
      </c>
      <c r="K59">
        <f t="shared" si="1"/>
        <v>6.6666666666666654E-3</v>
      </c>
      <c r="L59">
        <f>E59-((E56+E57+E58+E60)/4)</f>
        <v>0.72500000000000009</v>
      </c>
      <c r="M59" s="48">
        <f t="shared" si="12"/>
        <v>0.56525000000000003</v>
      </c>
      <c r="N59">
        <f t="shared" si="3"/>
        <v>0.4</v>
      </c>
      <c r="O59" s="5">
        <f t="shared" si="4"/>
        <v>0.14000000000000001</v>
      </c>
      <c r="P59">
        <v>14</v>
      </c>
      <c r="Q59" s="5">
        <f t="shared" si="11"/>
        <v>0.3888888888888889</v>
      </c>
      <c r="R59">
        <v>0</v>
      </c>
      <c r="S59">
        <v>2</v>
      </c>
      <c r="T59">
        <v>1</v>
      </c>
      <c r="U59" s="5">
        <f t="shared" si="6"/>
        <v>0.5</v>
      </c>
      <c r="V59" s="9">
        <v>0</v>
      </c>
      <c r="W59" s="2">
        <v>3</v>
      </c>
      <c r="X59" s="17">
        <f t="shared" si="10"/>
        <v>3.3725555555555555</v>
      </c>
    </row>
    <row r="60" spans="1:24" x14ac:dyDescent="0.3">
      <c r="A60" s="32">
        <v>46164</v>
      </c>
      <c r="B60" s="7">
        <v>13</v>
      </c>
      <c r="C60" s="7" t="s">
        <v>87</v>
      </c>
      <c r="D60" s="7" t="s">
        <v>93</v>
      </c>
      <c r="E60" s="18">
        <v>3</v>
      </c>
      <c r="F60" s="7">
        <v>0</v>
      </c>
      <c r="G60" s="7">
        <v>5</v>
      </c>
      <c r="H60" s="7">
        <v>5</v>
      </c>
      <c r="I60" s="7">
        <v>0</v>
      </c>
      <c r="J60" s="7">
        <f t="shared" si="0"/>
        <v>-0.2</v>
      </c>
      <c r="K60" s="7">
        <f t="shared" si="1"/>
        <v>6.6666666666666654E-3</v>
      </c>
      <c r="L60" s="7">
        <f>E60-((E56+E57+E58+E59)/4)</f>
        <v>-2.4999999999999911E-2</v>
      </c>
      <c r="M60" s="40">
        <f t="shared" si="12"/>
        <v>0.49775000000000003</v>
      </c>
      <c r="N60" s="7">
        <f t="shared" si="3"/>
        <v>0.2</v>
      </c>
      <c r="O60" s="8">
        <f t="shared" si="4"/>
        <v>2.0000000000000011E-2</v>
      </c>
      <c r="P60" s="7">
        <v>13</v>
      </c>
      <c r="Q60" s="8">
        <f t="shared" si="11"/>
        <v>0.3611111111111111</v>
      </c>
      <c r="R60" s="7">
        <v>0</v>
      </c>
      <c r="S60" s="7">
        <v>1</v>
      </c>
      <c r="T60" s="7">
        <v>0</v>
      </c>
      <c r="U60" s="8">
        <f t="shared" si="6"/>
        <v>0</v>
      </c>
      <c r="V60" s="10">
        <v>0</v>
      </c>
      <c r="W60" s="14">
        <v>3</v>
      </c>
      <c r="X60" s="16">
        <f t="shared" si="10"/>
        <v>3.2441944444444446</v>
      </c>
    </row>
    <row r="61" spans="1:24" x14ac:dyDescent="0.3">
      <c r="A61" s="1">
        <v>46171</v>
      </c>
      <c r="B61">
        <v>14</v>
      </c>
      <c r="C61" t="s">
        <v>2</v>
      </c>
      <c r="D61" t="s">
        <v>52</v>
      </c>
      <c r="E61" s="3">
        <v>3</v>
      </c>
      <c r="F61">
        <v>1</v>
      </c>
      <c r="G61">
        <v>1</v>
      </c>
      <c r="H61">
        <v>6</v>
      </c>
      <c r="I61">
        <v>3</v>
      </c>
      <c r="J61">
        <f t="shared" si="0"/>
        <v>0.83333333333333337</v>
      </c>
      <c r="K61">
        <f t="shared" si="1"/>
        <v>0.6</v>
      </c>
      <c r="L61">
        <f>E61-((E62+E63+E64+E65+E66)/5)</f>
        <v>0.21999999999999975</v>
      </c>
      <c r="M61" s="48">
        <f t="shared" si="12"/>
        <v>0.51979999999999993</v>
      </c>
      <c r="N61">
        <f t="shared" si="3"/>
        <v>1.5</v>
      </c>
      <c r="O61" s="5">
        <f t="shared" si="4"/>
        <v>0.79999999999999993</v>
      </c>
      <c r="P61">
        <v>10</v>
      </c>
      <c r="Q61" s="5">
        <f t="shared" si="11"/>
        <v>0.76666666666666661</v>
      </c>
      <c r="R61">
        <v>1</v>
      </c>
      <c r="S61">
        <v>0</v>
      </c>
      <c r="T61">
        <v>0</v>
      </c>
      <c r="U61" s="5">
        <f t="shared" si="6"/>
        <v>1</v>
      </c>
      <c r="V61" s="9">
        <v>0</v>
      </c>
      <c r="W61" s="2">
        <v>3</v>
      </c>
      <c r="X61" s="17">
        <f t="shared" si="10"/>
        <v>3.8991666666666669</v>
      </c>
    </row>
    <row r="62" spans="1:24" x14ac:dyDescent="0.3">
      <c r="A62" s="1">
        <v>46171</v>
      </c>
      <c r="B62">
        <v>14</v>
      </c>
      <c r="C62" t="s">
        <v>3</v>
      </c>
      <c r="D62" t="s">
        <v>44</v>
      </c>
      <c r="E62" s="3">
        <v>3</v>
      </c>
      <c r="F62">
        <v>0</v>
      </c>
      <c r="G62">
        <v>2</v>
      </c>
      <c r="H62">
        <v>6</v>
      </c>
      <c r="I62">
        <v>1</v>
      </c>
      <c r="J62">
        <f t="shared" si="0"/>
        <v>-0.16666666666666666</v>
      </c>
      <c r="K62">
        <f t="shared" si="1"/>
        <v>0.2</v>
      </c>
      <c r="L62">
        <f>E62-((E61+E63+E64+E65+E66)/5)</f>
        <v>0.21999999999999975</v>
      </c>
      <c r="M62" s="48">
        <f t="shared" si="12"/>
        <v>0.51979999999999993</v>
      </c>
      <c r="N62">
        <f t="shared" si="3"/>
        <v>0.97222222222222232</v>
      </c>
      <c r="O62" s="5">
        <f t="shared" si="4"/>
        <v>0.48333333333333339</v>
      </c>
      <c r="P62">
        <v>10</v>
      </c>
      <c r="Q62" s="5">
        <f t="shared" si="11"/>
        <v>0.27777777777777779</v>
      </c>
      <c r="R62">
        <v>0</v>
      </c>
      <c r="S62">
        <v>0</v>
      </c>
      <c r="T62">
        <v>0</v>
      </c>
      <c r="U62" s="5">
        <f t="shared" si="6"/>
        <v>1</v>
      </c>
      <c r="V62" s="9">
        <v>0</v>
      </c>
      <c r="W62" s="2">
        <v>3</v>
      </c>
      <c r="X62" s="17">
        <f t="shared" si="10"/>
        <v>3.5436111111111108</v>
      </c>
    </row>
    <row r="63" spans="1:24" x14ac:dyDescent="0.3">
      <c r="A63" s="1">
        <v>46171</v>
      </c>
      <c r="B63">
        <v>14</v>
      </c>
      <c r="C63" t="s">
        <v>6</v>
      </c>
      <c r="D63" t="s">
        <v>103</v>
      </c>
      <c r="E63" s="3">
        <v>3.5</v>
      </c>
      <c r="F63">
        <v>0</v>
      </c>
      <c r="G63">
        <v>3</v>
      </c>
      <c r="H63">
        <v>6</v>
      </c>
      <c r="I63">
        <v>1</v>
      </c>
      <c r="J63">
        <f t="shared" si="0"/>
        <v>-0.16666666666666666</v>
      </c>
      <c r="K63">
        <f t="shared" si="1"/>
        <v>0.2</v>
      </c>
      <c r="L63">
        <f>E63-((E61+E62+E64+E65+E66)/5)</f>
        <v>0.81999999999999984</v>
      </c>
      <c r="M63" s="48">
        <f t="shared" si="12"/>
        <v>0.57379999999999998</v>
      </c>
      <c r="N63">
        <f t="shared" si="3"/>
        <v>0.77777777777777779</v>
      </c>
      <c r="O63" s="5">
        <f t="shared" si="4"/>
        <v>0.3666666666666667</v>
      </c>
      <c r="P63">
        <v>10</v>
      </c>
      <c r="Q63" s="5">
        <f t="shared" si="11"/>
        <v>0.27777777777777779</v>
      </c>
      <c r="R63">
        <v>1</v>
      </c>
      <c r="S63">
        <v>0</v>
      </c>
      <c r="T63">
        <v>0</v>
      </c>
      <c r="U63" s="5">
        <f t="shared" si="6"/>
        <v>1</v>
      </c>
      <c r="V63" s="9">
        <v>0</v>
      </c>
      <c r="W63" s="2">
        <v>3</v>
      </c>
      <c r="X63" s="17">
        <f t="shared" si="10"/>
        <v>3.6836111111111114</v>
      </c>
    </row>
    <row r="64" spans="1:24" x14ac:dyDescent="0.3">
      <c r="A64" s="1">
        <v>46171</v>
      </c>
      <c r="B64">
        <v>14</v>
      </c>
      <c r="C64" t="s">
        <v>87</v>
      </c>
      <c r="D64" t="s">
        <v>85</v>
      </c>
      <c r="E64" s="3">
        <v>3.9</v>
      </c>
      <c r="F64">
        <v>0</v>
      </c>
      <c r="G64">
        <v>4</v>
      </c>
      <c r="H64">
        <v>6</v>
      </c>
      <c r="I64">
        <v>0</v>
      </c>
      <c r="J64">
        <f t="shared" si="0"/>
        <v>-0.16666666666666666</v>
      </c>
      <c r="K64">
        <f t="shared" si="1"/>
        <v>0</v>
      </c>
      <c r="L64">
        <f>E64-((E61+E62+E63+E65+E66)/5)</f>
        <v>1.2999999999999998</v>
      </c>
      <c r="M64" s="48">
        <f t="shared" si="12"/>
        <v>0.61699999999999999</v>
      </c>
      <c r="N64">
        <f t="shared" si="3"/>
        <v>0.5</v>
      </c>
      <c r="O64" s="5">
        <f t="shared" si="4"/>
        <v>0.2</v>
      </c>
      <c r="P64">
        <v>9</v>
      </c>
      <c r="Q64" s="5">
        <f t="shared" si="11"/>
        <v>0.25</v>
      </c>
      <c r="R64">
        <v>1</v>
      </c>
      <c r="S64">
        <v>0</v>
      </c>
      <c r="T64">
        <v>0</v>
      </c>
      <c r="U64" s="5">
        <f t="shared" si="6"/>
        <v>1</v>
      </c>
      <c r="V64" s="9">
        <v>0</v>
      </c>
      <c r="W64" s="2">
        <v>3</v>
      </c>
      <c r="X64" s="17">
        <f t="shared" si="10"/>
        <v>3.6287500000000001</v>
      </c>
    </row>
    <row r="65" spans="1:24" x14ac:dyDescent="0.3">
      <c r="A65" s="1">
        <v>46171</v>
      </c>
      <c r="B65">
        <v>14</v>
      </c>
      <c r="C65" t="s">
        <v>5</v>
      </c>
      <c r="D65" t="s">
        <v>90</v>
      </c>
      <c r="E65" s="3">
        <v>2.5</v>
      </c>
      <c r="F65">
        <v>0</v>
      </c>
      <c r="G65">
        <v>5</v>
      </c>
      <c r="H65">
        <v>6</v>
      </c>
      <c r="I65">
        <v>0</v>
      </c>
      <c r="J65">
        <f t="shared" si="0"/>
        <v>-0.16666666666666666</v>
      </c>
      <c r="K65">
        <f t="shared" si="1"/>
        <v>0</v>
      </c>
      <c r="L65">
        <f>E65-((E61+E62+E63+E64+E66)/5)</f>
        <v>-0.37999999999999989</v>
      </c>
      <c r="M65" s="48">
        <f t="shared" si="12"/>
        <v>0.46579999999999999</v>
      </c>
      <c r="N65">
        <f t="shared" si="3"/>
        <v>0.33333333333333331</v>
      </c>
      <c r="O65" s="5">
        <f t="shared" si="4"/>
        <v>9.9999999999999992E-2</v>
      </c>
      <c r="P65">
        <v>9</v>
      </c>
      <c r="Q65" s="5">
        <f t="shared" si="11"/>
        <v>0.25</v>
      </c>
      <c r="R65">
        <v>0</v>
      </c>
      <c r="S65">
        <v>1</v>
      </c>
      <c r="T65">
        <v>0</v>
      </c>
      <c r="U65" s="5">
        <f t="shared" si="6"/>
        <v>0</v>
      </c>
      <c r="V65" s="9">
        <v>0</v>
      </c>
      <c r="W65" s="2">
        <v>2</v>
      </c>
      <c r="X65" s="17">
        <f t="shared" si="10"/>
        <v>2.2487499999999998</v>
      </c>
    </row>
    <row r="66" spans="1:24" x14ac:dyDescent="0.3">
      <c r="A66" s="32">
        <v>46171</v>
      </c>
      <c r="B66" s="7">
        <v>14</v>
      </c>
      <c r="C66" s="7" t="s">
        <v>73</v>
      </c>
      <c r="D66" s="7" t="s">
        <v>104</v>
      </c>
      <c r="E66" s="18">
        <v>1</v>
      </c>
      <c r="F66" s="7">
        <v>0</v>
      </c>
      <c r="G66" s="7">
        <v>6</v>
      </c>
      <c r="H66" s="7">
        <v>6</v>
      </c>
      <c r="I66" s="7">
        <v>0</v>
      </c>
      <c r="J66" s="7">
        <f t="shared" si="0"/>
        <v>-0.16666666666666666</v>
      </c>
      <c r="K66" s="7">
        <f t="shared" si="1"/>
        <v>0</v>
      </c>
      <c r="L66" s="7">
        <f>E66-((E61+E62+E63+E64+E65)/5)</f>
        <v>-2.1800000000000002</v>
      </c>
      <c r="M66" s="40">
        <f t="shared" si="12"/>
        <v>0.30379999999999996</v>
      </c>
      <c r="N66" s="7">
        <f t="shared" si="3"/>
        <v>0.16666666666666666</v>
      </c>
      <c r="O66" s="8">
        <f t="shared" si="4"/>
        <v>0</v>
      </c>
      <c r="P66" s="7">
        <v>8</v>
      </c>
      <c r="Q66" s="8">
        <f t="shared" si="11"/>
        <v>0.22222222222222221</v>
      </c>
      <c r="R66" s="7">
        <v>0</v>
      </c>
      <c r="S66" s="7">
        <v>1</v>
      </c>
      <c r="T66" s="7">
        <v>0</v>
      </c>
      <c r="U66" s="8">
        <f t="shared" si="6"/>
        <v>0</v>
      </c>
      <c r="V66" s="10">
        <v>1</v>
      </c>
      <c r="W66" s="14">
        <v>1</v>
      </c>
      <c r="X66" s="16">
        <f t="shared" si="10"/>
        <v>1.038888888888889</v>
      </c>
    </row>
    <row r="67" spans="1:24" x14ac:dyDescent="0.3">
      <c r="A67" s="1">
        <v>46171</v>
      </c>
      <c r="B67">
        <v>15</v>
      </c>
      <c r="C67" t="s">
        <v>6</v>
      </c>
      <c r="D67" t="s">
        <v>100</v>
      </c>
      <c r="E67" s="3">
        <v>2.9</v>
      </c>
      <c r="F67">
        <v>1</v>
      </c>
      <c r="G67">
        <v>1</v>
      </c>
      <c r="H67">
        <v>5</v>
      </c>
      <c r="I67">
        <v>3</v>
      </c>
      <c r="J67">
        <f t="shared" si="0"/>
        <v>0.8</v>
      </c>
      <c r="K67">
        <f t="shared" si="1"/>
        <v>0.60666666666666669</v>
      </c>
      <c r="L67" s="25">
        <f>E67-((E68+E69+E70+E71)/4)</f>
        <v>-4.9999999999999822E-2</v>
      </c>
      <c r="M67" s="47">
        <f t="shared" ref="M67:M71" si="13">0.5 + (L67 * 0.09)</f>
        <v>0.4955</v>
      </c>
      <c r="N67">
        <f t="shared" si="3"/>
        <v>1.6</v>
      </c>
      <c r="O67" s="5">
        <f t="shared" si="4"/>
        <v>0.86</v>
      </c>
      <c r="P67">
        <v>12</v>
      </c>
      <c r="Q67" s="5">
        <f t="shared" si="11"/>
        <v>0.7</v>
      </c>
      <c r="R67">
        <v>1</v>
      </c>
      <c r="S67">
        <v>2</v>
      </c>
      <c r="T67">
        <v>2</v>
      </c>
      <c r="U67" s="5">
        <f t="shared" si="6"/>
        <v>1</v>
      </c>
      <c r="V67" s="9">
        <v>0</v>
      </c>
      <c r="W67" s="2">
        <v>2</v>
      </c>
      <c r="X67" s="17">
        <f t="shared" si="10"/>
        <v>2.9055</v>
      </c>
    </row>
    <row r="68" spans="1:24" x14ac:dyDescent="0.3">
      <c r="A68" s="1">
        <v>46171</v>
      </c>
      <c r="B68">
        <v>15</v>
      </c>
      <c r="C68" t="s">
        <v>5</v>
      </c>
      <c r="D68" t="s">
        <v>11</v>
      </c>
      <c r="E68" s="3">
        <v>2.2999999999999998</v>
      </c>
      <c r="F68">
        <v>0</v>
      </c>
      <c r="G68">
        <v>2</v>
      </c>
      <c r="H68">
        <v>5</v>
      </c>
      <c r="I68">
        <v>0</v>
      </c>
      <c r="J68">
        <f t="shared" si="0"/>
        <v>-0.2</v>
      </c>
      <c r="K68">
        <f t="shared" si="1"/>
        <v>6.6666666666666654E-3</v>
      </c>
      <c r="L68">
        <f>E68-((E67+E69+E70+E71)/4)</f>
        <v>-0.79999999999999982</v>
      </c>
      <c r="M68" s="48">
        <f t="shared" si="13"/>
        <v>0.42800000000000005</v>
      </c>
      <c r="N68">
        <f t="shared" si="3"/>
        <v>0.8</v>
      </c>
      <c r="O68" s="5">
        <f t="shared" si="4"/>
        <v>0.38</v>
      </c>
      <c r="P68">
        <v>12</v>
      </c>
      <c r="Q68" s="5">
        <f t="shared" si="11"/>
        <v>0.33333333333333331</v>
      </c>
      <c r="R68">
        <v>1</v>
      </c>
      <c r="S68">
        <v>2</v>
      </c>
      <c r="T68">
        <v>2</v>
      </c>
      <c r="U68" s="5">
        <f t="shared" si="6"/>
        <v>1</v>
      </c>
      <c r="V68" s="9">
        <v>0</v>
      </c>
      <c r="W68" s="2">
        <v>2</v>
      </c>
      <c r="X68" s="17">
        <f t="shared" si="10"/>
        <v>2.6973333333333334</v>
      </c>
    </row>
    <row r="69" spans="1:24" x14ac:dyDescent="0.3">
      <c r="A69" s="1">
        <v>46171</v>
      </c>
      <c r="B69">
        <v>15</v>
      </c>
      <c r="C69" t="s">
        <v>73</v>
      </c>
      <c r="D69" t="s">
        <v>26</v>
      </c>
      <c r="E69" s="3">
        <v>2.2999999999999998</v>
      </c>
      <c r="F69">
        <v>0</v>
      </c>
      <c r="G69">
        <v>3</v>
      </c>
      <c r="H69">
        <v>5</v>
      </c>
      <c r="I69">
        <v>1</v>
      </c>
      <c r="J69">
        <f t="shared" si="0"/>
        <v>-0.2</v>
      </c>
      <c r="K69">
        <f t="shared" si="1"/>
        <v>0.20666666666666664</v>
      </c>
      <c r="L69">
        <f>E69-((E67+E68+E70+E71)/4)</f>
        <v>-0.79999999999999982</v>
      </c>
      <c r="M69" s="48">
        <f t="shared" si="13"/>
        <v>0.42800000000000005</v>
      </c>
      <c r="N69">
        <f t="shared" si="3"/>
        <v>0.72</v>
      </c>
      <c r="O69" s="5">
        <f t="shared" si="4"/>
        <v>0.33200000000000002</v>
      </c>
      <c r="P69">
        <v>11</v>
      </c>
      <c r="Q69" s="5">
        <f t="shared" si="11"/>
        <v>0.30555555555555558</v>
      </c>
      <c r="R69">
        <v>1</v>
      </c>
      <c r="S69">
        <v>1</v>
      </c>
      <c r="T69">
        <v>1</v>
      </c>
      <c r="U69" s="5">
        <f t="shared" si="6"/>
        <v>1</v>
      </c>
      <c r="V69" s="9">
        <v>0</v>
      </c>
      <c r="W69" s="2">
        <v>2</v>
      </c>
      <c r="X69" s="17">
        <f t="shared" si="10"/>
        <v>2.6780722222222222</v>
      </c>
    </row>
    <row r="70" spans="1:24" x14ac:dyDescent="0.3">
      <c r="A70" s="1">
        <v>46171</v>
      </c>
      <c r="B70">
        <v>15</v>
      </c>
      <c r="C70" t="s">
        <v>3</v>
      </c>
      <c r="D70" t="s">
        <v>86</v>
      </c>
      <c r="E70" s="3">
        <v>3.6</v>
      </c>
      <c r="F70">
        <v>0</v>
      </c>
      <c r="G70">
        <v>4</v>
      </c>
      <c r="H70">
        <v>5</v>
      </c>
      <c r="I70">
        <v>0</v>
      </c>
      <c r="J70">
        <f t="shared" si="0"/>
        <v>-0.2</v>
      </c>
      <c r="K70">
        <f t="shared" si="1"/>
        <v>6.6666666666666654E-3</v>
      </c>
      <c r="L70">
        <f>E70-((E67+E68+E69+E71)/4)</f>
        <v>0.82500000000000018</v>
      </c>
      <c r="M70" s="48">
        <f t="shared" si="13"/>
        <v>0.57425000000000004</v>
      </c>
      <c r="N70">
        <f t="shared" si="3"/>
        <v>0.4</v>
      </c>
      <c r="O70" s="5">
        <f t="shared" si="4"/>
        <v>0.14000000000000001</v>
      </c>
      <c r="P70">
        <v>10</v>
      </c>
      <c r="Q70" s="5">
        <f t="shared" si="11"/>
        <v>0.27777777777777779</v>
      </c>
      <c r="R70">
        <v>1</v>
      </c>
      <c r="S70">
        <v>0</v>
      </c>
      <c r="T70">
        <v>0</v>
      </c>
      <c r="U70" s="5">
        <f t="shared" si="6"/>
        <v>1</v>
      </c>
      <c r="V70" s="9">
        <v>0</v>
      </c>
      <c r="W70" s="2">
        <v>3</v>
      </c>
      <c r="X70" s="17">
        <f t="shared" si="10"/>
        <v>3.6156111111111109</v>
      </c>
    </row>
    <row r="71" spans="1:24" x14ac:dyDescent="0.3">
      <c r="A71" s="32">
        <v>46171</v>
      </c>
      <c r="B71" s="7">
        <v>15</v>
      </c>
      <c r="C71" s="7" t="s">
        <v>2</v>
      </c>
      <c r="D71" s="7" t="s">
        <v>76</v>
      </c>
      <c r="E71" s="18">
        <v>3.6</v>
      </c>
      <c r="F71" s="7">
        <v>0</v>
      </c>
      <c r="G71" s="7">
        <v>5</v>
      </c>
      <c r="H71" s="7">
        <v>5</v>
      </c>
      <c r="I71" s="7">
        <v>0</v>
      </c>
      <c r="J71" s="7">
        <f t="shared" si="0"/>
        <v>-0.2</v>
      </c>
      <c r="K71" s="7">
        <f t="shared" si="1"/>
        <v>6.6666666666666654E-3</v>
      </c>
      <c r="L71" s="7">
        <f>E71-((E67+E68+E69+E70)/4)</f>
        <v>0.82500000000000018</v>
      </c>
      <c r="M71" s="40">
        <f t="shared" si="13"/>
        <v>0.57425000000000004</v>
      </c>
      <c r="N71" s="7">
        <f t="shared" si="3"/>
        <v>0.2</v>
      </c>
      <c r="O71" s="8">
        <f t="shared" si="4"/>
        <v>2.0000000000000011E-2</v>
      </c>
      <c r="P71" s="7">
        <v>9</v>
      </c>
      <c r="Q71" s="8">
        <f t="shared" si="11"/>
        <v>0.25</v>
      </c>
      <c r="R71" s="7">
        <v>1</v>
      </c>
      <c r="S71" s="7">
        <v>3</v>
      </c>
      <c r="T71" s="7">
        <v>2</v>
      </c>
      <c r="U71" s="8">
        <f t="shared" si="6"/>
        <v>0.66666666666666663</v>
      </c>
      <c r="V71" s="10">
        <v>0</v>
      </c>
      <c r="W71" s="14">
        <v>3</v>
      </c>
      <c r="X71" s="16">
        <f t="shared" si="10"/>
        <v>3.5164166666666667</v>
      </c>
    </row>
    <row r="72" spans="1:24" x14ac:dyDescent="0.3">
      <c r="A72" s="1">
        <v>46178</v>
      </c>
      <c r="B72">
        <v>16</v>
      </c>
      <c r="C72" t="s">
        <v>2</v>
      </c>
      <c r="D72" t="s">
        <v>52</v>
      </c>
      <c r="E72" s="3">
        <v>3.9</v>
      </c>
      <c r="F72">
        <v>1</v>
      </c>
      <c r="G72">
        <v>1</v>
      </c>
      <c r="H72">
        <v>5</v>
      </c>
      <c r="I72">
        <v>1</v>
      </c>
      <c r="J72">
        <f t="shared" si="0"/>
        <v>0.8</v>
      </c>
      <c r="K72">
        <f t="shared" si="1"/>
        <v>0.20666666666666664</v>
      </c>
      <c r="L72" s="25">
        <f>E72-((E73+E74+E75+E76)/4)</f>
        <v>1</v>
      </c>
      <c r="M72" s="47">
        <f t="shared" ref="M72:M85" si="14">0.5 + (L72 * 0.09)</f>
        <v>0.59</v>
      </c>
      <c r="N72">
        <f t="shared" si="3"/>
        <v>1.2</v>
      </c>
      <c r="O72" s="5">
        <f t="shared" si="4"/>
        <v>0.61999999999999988</v>
      </c>
      <c r="P72">
        <v>10</v>
      </c>
      <c r="Q72" s="5">
        <f t="shared" si="11"/>
        <v>0.76666666666666661</v>
      </c>
      <c r="R72">
        <v>1</v>
      </c>
      <c r="S72">
        <v>1</v>
      </c>
      <c r="T72">
        <v>0</v>
      </c>
      <c r="U72" s="5">
        <f t="shared" si="6"/>
        <v>0</v>
      </c>
      <c r="V72" s="9">
        <v>0</v>
      </c>
      <c r="W72" s="2">
        <v>3</v>
      </c>
      <c r="X72" s="17">
        <f t="shared" si="10"/>
        <v>3.6701666666666668</v>
      </c>
    </row>
    <row r="73" spans="1:24" x14ac:dyDescent="0.3">
      <c r="A73" s="1">
        <v>46178</v>
      </c>
      <c r="B73">
        <v>16</v>
      </c>
      <c r="C73" t="s">
        <v>49</v>
      </c>
      <c r="D73" t="s">
        <v>50</v>
      </c>
      <c r="E73" s="3">
        <v>2.4</v>
      </c>
      <c r="F73">
        <v>0</v>
      </c>
      <c r="G73">
        <v>2</v>
      </c>
      <c r="H73">
        <v>5</v>
      </c>
      <c r="I73">
        <v>2</v>
      </c>
      <c r="J73">
        <f t="shared" si="0"/>
        <v>-0.2</v>
      </c>
      <c r="K73">
        <f t="shared" si="1"/>
        <v>0.40666666666666662</v>
      </c>
      <c r="L73">
        <f>E73-((E72+E74+E75+E76)/4)</f>
        <v>-0.875</v>
      </c>
      <c r="M73" s="48">
        <f t="shared" si="14"/>
        <v>0.42125000000000001</v>
      </c>
      <c r="N73">
        <f t="shared" si="3"/>
        <v>1.1199999999999999</v>
      </c>
      <c r="O73" s="5">
        <f t="shared" si="4"/>
        <v>0.57199999999999995</v>
      </c>
      <c r="P73">
        <v>10</v>
      </c>
      <c r="Q73" s="5">
        <f t="shared" si="11"/>
        <v>0.27777777777777779</v>
      </c>
      <c r="R73">
        <v>1</v>
      </c>
      <c r="S73">
        <v>0</v>
      </c>
      <c r="T73">
        <v>0</v>
      </c>
      <c r="U73" s="5">
        <f t="shared" si="6"/>
        <v>1</v>
      </c>
      <c r="V73" s="9">
        <v>0</v>
      </c>
      <c r="W73" s="2">
        <v>2</v>
      </c>
      <c r="X73" s="17">
        <f t="shared" si="10"/>
        <v>2.7452111111111108</v>
      </c>
    </row>
    <row r="74" spans="1:24" x14ac:dyDescent="0.3">
      <c r="A74" s="1">
        <v>46178</v>
      </c>
      <c r="B74">
        <v>16</v>
      </c>
      <c r="C74" t="s">
        <v>3</v>
      </c>
      <c r="D74" t="s">
        <v>86</v>
      </c>
      <c r="E74" s="3">
        <v>3.6</v>
      </c>
      <c r="F74">
        <v>0</v>
      </c>
      <c r="G74">
        <v>3</v>
      </c>
      <c r="H74">
        <v>5</v>
      </c>
      <c r="I74">
        <v>1</v>
      </c>
      <c r="J74">
        <f t="shared" si="0"/>
        <v>-0.2</v>
      </c>
      <c r="K74">
        <f t="shared" si="1"/>
        <v>0.20666666666666664</v>
      </c>
      <c r="L74">
        <f>E74-((E72+E73+E75+E76)/4)</f>
        <v>0.625</v>
      </c>
      <c r="M74" s="48">
        <f t="shared" si="14"/>
        <v>0.55625000000000002</v>
      </c>
      <c r="N74">
        <f t="shared" si="3"/>
        <v>0.72</v>
      </c>
      <c r="O74" s="5">
        <f t="shared" si="4"/>
        <v>0.33200000000000002</v>
      </c>
      <c r="P74">
        <v>9</v>
      </c>
      <c r="Q74" s="5">
        <f t="shared" si="11"/>
        <v>0.25</v>
      </c>
      <c r="R74">
        <v>1</v>
      </c>
      <c r="S74">
        <v>0</v>
      </c>
      <c r="T74">
        <v>0</v>
      </c>
      <c r="U74" s="5">
        <f t="shared" si="6"/>
        <v>1</v>
      </c>
      <c r="V74" s="9">
        <v>0</v>
      </c>
      <c r="W74" s="2">
        <v>3</v>
      </c>
      <c r="X74" s="17">
        <f t="shared" si="10"/>
        <v>3.6683500000000002</v>
      </c>
    </row>
    <row r="75" spans="1:24" x14ac:dyDescent="0.3">
      <c r="A75" s="1">
        <v>46178</v>
      </c>
      <c r="B75">
        <v>16</v>
      </c>
      <c r="C75" t="s">
        <v>6</v>
      </c>
      <c r="D75" t="s">
        <v>89</v>
      </c>
      <c r="E75" s="3">
        <v>2.6</v>
      </c>
      <c r="F75">
        <v>0</v>
      </c>
      <c r="G75">
        <v>4</v>
      </c>
      <c r="H75">
        <v>5</v>
      </c>
      <c r="I75">
        <v>0</v>
      </c>
      <c r="J75">
        <f t="shared" si="0"/>
        <v>-0.2</v>
      </c>
      <c r="K75">
        <f t="shared" si="1"/>
        <v>6.6666666666666654E-3</v>
      </c>
      <c r="L75">
        <f>E75-((E72+E73+E74+E76)/4)</f>
        <v>-0.625</v>
      </c>
      <c r="M75" s="48">
        <f t="shared" si="14"/>
        <v>0.44374999999999998</v>
      </c>
      <c r="N75">
        <f t="shared" si="3"/>
        <v>0.4</v>
      </c>
      <c r="O75" s="5">
        <f t="shared" si="4"/>
        <v>0.14000000000000001</v>
      </c>
      <c r="P75">
        <v>9</v>
      </c>
      <c r="Q75" s="5">
        <f t="shared" si="11"/>
        <v>0.25</v>
      </c>
      <c r="R75">
        <v>0</v>
      </c>
      <c r="S75">
        <v>1</v>
      </c>
      <c r="T75">
        <v>0</v>
      </c>
      <c r="U75" s="5">
        <f t="shared" si="6"/>
        <v>0</v>
      </c>
      <c r="V75" s="9">
        <v>0</v>
      </c>
      <c r="W75" s="2">
        <v>2</v>
      </c>
      <c r="X75" s="17">
        <f t="shared" si="10"/>
        <v>2.2607499999999998</v>
      </c>
    </row>
    <row r="76" spans="1:24" x14ac:dyDescent="0.3">
      <c r="A76" s="32">
        <v>46178</v>
      </c>
      <c r="B76" s="7">
        <v>16</v>
      </c>
      <c r="C76" s="7" t="s">
        <v>87</v>
      </c>
      <c r="D76" s="7" t="s">
        <v>105</v>
      </c>
      <c r="E76" s="18">
        <v>3</v>
      </c>
      <c r="F76" s="7">
        <v>0</v>
      </c>
      <c r="G76" s="7">
        <v>5</v>
      </c>
      <c r="H76" s="7">
        <v>5</v>
      </c>
      <c r="I76" s="7">
        <v>0</v>
      </c>
      <c r="J76" s="7">
        <f t="shared" si="0"/>
        <v>-0.2</v>
      </c>
      <c r="K76" s="7">
        <f t="shared" si="1"/>
        <v>6.6666666666666654E-3</v>
      </c>
      <c r="L76" s="7">
        <f>E76-((E72+E73+E74+E75)/4)</f>
        <v>-0.125</v>
      </c>
      <c r="M76" s="40">
        <f t="shared" si="14"/>
        <v>0.48875000000000002</v>
      </c>
      <c r="N76" s="7">
        <f t="shared" si="3"/>
        <v>0.2</v>
      </c>
      <c r="O76" s="8">
        <f t="shared" si="4"/>
        <v>2.0000000000000011E-2</v>
      </c>
      <c r="P76" s="7">
        <v>7</v>
      </c>
      <c r="Q76" s="8">
        <f t="shared" si="11"/>
        <v>0.19444444444444445</v>
      </c>
      <c r="R76" s="7">
        <v>0</v>
      </c>
      <c r="S76" s="7">
        <v>0</v>
      </c>
      <c r="T76" s="7">
        <v>0</v>
      </c>
      <c r="U76" s="8">
        <f t="shared" si="6"/>
        <v>1</v>
      </c>
      <c r="V76" s="10">
        <v>0</v>
      </c>
      <c r="W76" s="14">
        <v>3</v>
      </c>
      <c r="X76" s="16">
        <f t="shared" si="10"/>
        <v>3.3900277777777776</v>
      </c>
    </row>
    <row r="77" spans="1:24" x14ac:dyDescent="0.3">
      <c r="A77" s="1">
        <v>46178</v>
      </c>
      <c r="B77">
        <v>17</v>
      </c>
      <c r="C77" t="s">
        <v>6</v>
      </c>
      <c r="D77" t="s">
        <v>46</v>
      </c>
      <c r="E77" s="3">
        <v>3</v>
      </c>
      <c r="F77">
        <v>1</v>
      </c>
      <c r="G77">
        <v>1</v>
      </c>
      <c r="H77">
        <v>6</v>
      </c>
      <c r="I77">
        <v>3</v>
      </c>
      <c r="J77">
        <f t="shared" si="0"/>
        <v>0.83333333333333337</v>
      </c>
      <c r="K77">
        <f t="shared" si="1"/>
        <v>0.6</v>
      </c>
      <c r="L77">
        <f>E77-((E78+E79+E80+E81+E82)/5)</f>
        <v>0.10000000000000009</v>
      </c>
      <c r="M77" s="48">
        <f t="shared" si="14"/>
        <v>0.50900000000000001</v>
      </c>
      <c r="N77">
        <f t="shared" si="3"/>
        <v>1.5</v>
      </c>
      <c r="O77" s="5">
        <f t="shared" si="4"/>
        <v>0.79999999999999993</v>
      </c>
      <c r="P77">
        <v>10</v>
      </c>
      <c r="Q77" s="5">
        <f t="shared" si="11"/>
        <v>0.76666666666666661</v>
      </c>
      <c r="R77">
        <v>1</v>
      </c>
      <c r="S77">
        <v>3</v>
      </c>
      <c r="T77">
        <v>1</v>
      </c>
      <c r="U77" s="5">
        <f t="shared" si="6"/>
        <v>0.33333333333333331</v>
      </c>
      <c r="V77" s="9">
        <v>0</v>
      </c>
      <c r="W77" s="2">
        <v>3</v>
      </c>
      <c r="X77" s="17">
        <f t="shared" si="10"/>
        <v>3.7824999999999998</v>
      </c>
    </row>
    <row r="78" spans="1:24" x14ac:dyDescent="0.3">
      <c r="A78" s="1">
        <v>46178</v>
      </c>
      <c r="B78">
        <v>17</v>
      </c>
      <c r="C78" t="s">
        <v>2</v>
      </c>
      <c r="D78" t="s">
        <v>97</v>
      </c>
      <c r="E78" s="3">
        <v>2.9</v>
      </c>
      <c r="F78">
        <v>0</v>
      </c>
      <c r="G78">
        <v>2</v>
      </c>
      <c r="H78">
        <v>6</v>
      </c>
      <c r="I78">
        <v>0</v>
      </c>
      <c r="J78">
        <f t="shared" si="0"/>
        <v>-0.16666666666666666</v>
      </c>
      <c r="K78">
        <f t="shared" si="1"/>
        <v>0</v>
      </c>
      <c r="L78">
        <f>E78-((E77+E79+E80+E81+E82)/5)</f>
        <v>-1.9999999999999574E-2</v>
      </c>
      <c r="M78" s="48">
        <f t="shared" si="14"/>
        <v>0.49820000000000003</v>
      </c>
      <c r="N78">
        <f t="shared" si="3"/>
        <v>0.83333333333333337</v>
      </c>
      <c r="O78" s="5">
        <f t="shared" si="4"/>
        <v>0.4</v>
      </c>
      <c r="P78">
        <v>10</v>
      </c>
      <c r="Q78" s="5">
        <f t="shared" si="11"/>
        <v>0.27777777777777779</v>
      </c>
      <c r="R78">
        <v>0</v>
      </c>
      <c r="S78">
        <v>3</v>
      </c>
      <c r="T78">
        <v>1</v>
      </c>
      <c r="U78" s="5">
        <f t="shared" si="6"/>
        <v>0.33333333333333331</v>
      </c>
      <c r="V78" s="9">
        <v>0</v>
      </c>
      <c r="W78" s="2">
        <v>2</v>
      </c>
      <c r="X78" s="17">
        <f t="shared" si="10"/>
        <v>2.4019444444444442</v>
      </c>
    </row>
    <row r="79" spans="1:24" x14ac:dyDescent="0.3">
      <c r="A79" s="1">
        <v>46178</v>
      </c>
      <c r="B79">
        <v>17</v>
      </c>
      <c r="C79" t="s">
        <v>87</v>
      </c>
      <c r="D79" t="s">
        <v>85</v>
      </c>
      <c r="E79" s="3">
        <v>3.6</v>
      </c>
      <c r="F79">
        <v>0</v>
      </c>
      <c r="G79">
        <v>2</v>
      </c>
      <c r="H79">
        <v>6</v>
      </c>
      <c r="I79">
        <v>0</v>
      </c>
      <c r="J79">
        <f t="shared" si="0"/>
        <v>-0.16666666666666666</v>
      </c>
      <c r="K79">
        <f t="shared" si="1"/>
        <v>0</v>
      </c>
      <c r="L79">
        <f>E79-((E77+E78+E80+E81+E82)/5)</f>
        <v>0.82000000000000028</v>
      </c>
      <c r="M79" s="48">
        <f t="shared" si="14"/>
        <v>0.57379999999999998</v>
      </c>
      <c r="N79">
        <f t="shared" si="3"/>
        <v>0.83333333333333337</v>
      </c>
      <c r="O79" s="5">
        <f t="shared" si="4"/>
        <v>0.4</v>
      </c>
      <c r="P79">
        <v>10</v>
      </c>
      <c r="Q79" s="5">
        <f t="shared" si="11"/>
        <v>0.27777777777777779</v>
      </c>
      <c r="R79">
        <v>1</v>
      </c>
      <c r="S79">
        <v>5</v>
      </c>
      <c r="T79">
        <v>1</v>
      </c>
      <c r="U79" s="5">
        <f t="shared" si="6"/>
        <v>0.2</v>
      </c>
      <c r="V79" s="9">
        <v>0</v>
      </c>
      <c r="W79" s="2">
        <v>3</v>
      </c>
      <c r="X79" s="17">
        <f t="shared" si="10"/>
        <v>3.5536111111111111</v>
      </c>
    </row>
    <row r="80" spans="1:24" x14ac:dyDescent="0.3">
      <c r="A80" s="1">
        <v>46178</v>
      </c>
      <c r="B80">
        <v>17</v>
      </c>
      <c r="C80" t="s">
        <v>3</v>
      </c>
      <c r="D80" t="s">
        <v>83</v>
      </c>
      <c r="E80" s="3">
        <v>3.3</v>
      </c>
      <c r="F80">
        <v>0</v>
      </c>
      <c r="G80">
        <v>2</v>
      </c>
      <c r="H80">
        <v>6</v>
      </c>
      <c r="I80">
        <v>0</v>
      </c>
      <c r="J80">
        <f t="shared" si="0"/>
        <v>-0.16666666666666666</v>
      </c>
      <c r="K80">
        <f t="shared" si="1"/>
        <v>0</v>
      </c>
      <c r="L80">
        <f>E80-((E77+E78+E79+E81+E82)/5)</f>
        <v>0.45999999999999996</v>
      </c>
      <c r="M80" s="48">
        <f t="shared" si="14"/>
        <v>0.54139999999999999</v>
      </c>
      <c r="N80">
        <f t="shared" si="3"/>
        <v>0.83333333333333337</v>
      </c>
      <c r="O80" s="5">
        <f t="shared" si="4"/>
        <v>0.4</v>
      </c>
      <c r="P80">
        <v>10</v>
      </c>
      <c r="Q80" s="5">
        <f t="shared" si="11"/>
        <v>0.27777777777777779</v>
      </c>
      <c r="R80">
        <v>0</v>
      </c>
      <c r="S80">
        <v>4</v>
      </c>
      <c r="T80">
        <v>1</v>
      </c>
      <c r="U80" s="5">
        <f t="shared" si="6"/>
        <v>0.25</v>
      </c>
      <c r="V80" s="9">
        <v>0</v>
      </c>
      <c r="W80" s="2">
        <v>3</v>
      </c>
      <c r="X80" s="17">
        <f t="shared" si="10"/>
        <v>3.3873611111111113</v>
      </c>
    </row>
    <row r="81" spans="1:24" x14ac:dyDescent="0.3">
      <c r="A81" s="1">
        <v>46178</v>
      </c>
      <c r="B81">
        <v>17</v>
      </c>
      <c r="C81" t="s">
        <v>5</v>
      </c>
      <c r="D81" t="s">
        <v>11</v>
      </c>
      <c r="E81" s="3">
        <v>2.7</v>
      </c>
      <c r="F81">
        <v>0</v>
      </c>
      <c r="G81">
        <v>5</v>
      </c>
      <c r="H81">
        <v>6</v>
      </c>
      <c r="I81">
        <v>0</v>
      </c>
      <c r="J81">
        <f t="shared" si="0"/>
        <v>-0.16666666666666666</v>
      </c>
      <c r="K81">
        <f t="shared" si="1"/>
        <v>0</v>
      </c>
      <c r="L81">
        <f>E81-((E77+E78+E79+E80+E82)/5)</f>
        <v>-0.25999999999999979</v>
      </c>
      <c r="M81" s="48">
        <f t="shared" si="14"/>
        <v>0.47660000000000002</v>
      </c>
      <c r="N81">
        <f t="shared" si="3"/>
        <v>0.33333333333333331</v>
      </c>
      <c r="O81" s="5">
        <f t="shared" si="4"/>
        <v>9.9999999999999992E-2</v>
      </c>
      <c r="P81">
        <v>10</v>
      </c>
      <c r="Q81" s="5">
        <f t="shared" si="11"/>
        <v>0.27777777777777779</v>
      </c>
      <c r="R81">
        <v>0</v>
      </c>
      <c r="S81">
        <v>3</v>
      </c>
      <c r="T81">
        <v>2</v>
      </c>
      <c r="U81" s="5">
        <f t="shared" si="6"/>
        <v>0.66666666666666663</v>
      </c>
      <c r="V81" s="9">
        <v>0</v>
      </c>
      <c r="W81" s="2">
        <v>2</v>
      </c>
      <c r="X81" s="17">
        <f t="shared" si="10"/>
        <v>2.3702777777777779</v>
      </c>
    </row>
    <row r="82" spans="1:24" x14ac:dyDescent="0.3">
      <c r="A82" s="32">
        <v>46178</v>
      </c>
      <c r="B82" s="7">
        <v>17</v>
      </c>
      <c r="C82" s="7" t="s">
        <v>49</v>
      </c>
      <c r="D82" s="7" t="s">
        <v>106</v>
      </c>
      <c r="E82" s="18">
        <v>2</v>
      </c>
      <c r="F82" s="7">
        <v>0</v>
      </c>
      <c r="G82" s="7">
        <v>6</v>
      </c>
      <c r="H82" s="7">
        <v>6</v>
      </c>
      <c r="I82" s="7">
        <v>0</v>
      </c>
      <c r="J82" s="7">
        <f t="shared" si="0"/>
        <v>-0.16666666666666666</v>
      </c>
      <c r="K82" s="7">
        <f t="shared" si="1"/>
        <v>0</v>
      </c>
      <c r="L82" s="7">
        <f>E82-((E77+E78+E79+E80+E81)/5)</f>
        <v>-1.1000000000000001</v>
      </c>
      <c r="M82" s="40">
        <f t="shared" si="14"/>
        <v>0.40100000000000002</v>
      </c>
      <c r="N82" s="7">
        <f t="shared" si="3"/>
        <v>0.16666666666666666</v>
      </c>
      <c r="O82" s="8">
        <f t="shared" si="4"/>
        <v>0</v>
      </c>
      <c r="P82" s="7">
        <v>9</v>
      </c>
      <c r="Q82" s="8">
        <f t="shared" si="11"/>
        <v>0.25</v>
      </c>
      <c r="R82" s="7">
        <v>0</v>
      </c>
      <c r="S82" s="7">
        <v>1</v>
      </c>
      <c r="T82" s="7">
        <v>0</v>
      </c>
      <c r="U82" s="8">
        <f t="shared" si="6"/>
        <v>0</v>
      </c>
      <c r="V82" s="10">
        <v>0</v>
      </c>
      <c r="W82" s="14">
        <v>2</v>
      </c>
      <c r="X82" s="16">
        <f t="shared" si="10"/>
        <v>2.21875</v>
      </c>
    </row>
    <row r="83" spans="1:24" x14ac:dyDescent="0.3">
      <c r="A83" s="1">
        <v>46183</v>
      </c>
      <c r="B83">
        <v>18</v>
      </c>
      <c r="C83" t="s">
        <v>3</v>
      </c>
      <c r="D83" t="s">
        <v>42</v>
      </c>
      <c r="E83" s="3">
        <v>3.9</v>
      </c>
      <c r="F83">
        <v>1</v>
      </c>
      <c r="G83">
        <v>1</v>
      </c>
      <c r="H83">
        <v>3</v>
      </c>
      <c r="I83">
        <v>1</v>
      </c>
      <c r="J83">
        <f t="shared" si="0"/>
        <v>0.66666666666666674</v>
      </c>
      <c r="K83">
        <f t="shared" si="1"/>
        <v>0.23333333333333334</v>
      </c>
      <c r="L83" s="3">
        <f>E83-((E84+E85)/2)</f>
        <v>0.44999999999999973</v>
      </c>
      <c r="M83" s="36">
        <f t="shared" si="14"/>
        <v>0.54049999999999998</v>
      </c>
      <c r="N83">
        <f t="shared" si="3"/>
        <v>1.3333333333333333</v>
      </c>
      <c r="O83" s="5">
        <f t="shared" si="4"/>
        <v>0.69999999999999984</v>
      </c>
      <c r="P83">
        <v>13</v>
      </c>
      <c r="Q83" s="5">
        <f t="shared" si="11"/>
        <v>0.66666666666666674</v>
      </c>
      <c r="R83">
        <v>1</v>
      </c>
      <c r="S83">
        <v>0</v>
      </c>
      <c r="T83">
        <v>0</v>
      </c>
      <c r="U83" s="5">
        <f t="shared" si="6"/>
        <v>1</v>
      </c>
      <c r="V83" s="9">
        <v>0</v>
      </c>
      <c r="W83" s="2">
        <v>3</v>
      </c>
      <c r="X83" s="17">
        <f t="shared" si="10"/>
        <v>3.8516666666666666</v>
      </c>
    </row>
    <row r="84" spans="1:24" x14ac:dyDescent="0.3">
      <c r="A84" s="1">
        <v>46183</v>
      </c>
      <c r="B84">
        <v>18</v>
      </c>
      <c r="C84" t="s">
        <v>2</v>
      </c>
      <c r="D84" t="s">
        <v>52</v>
      </c>
      <c r="E84" s="3">
        <v>3.7</v>
      </c>
      <c r="F84">
        <v>0</v>
      </c>
      <c r="G84">
        <v>2</v>
      </c>
      <c r="H84">
        <v>3</v>
      </c>
      <c r="I84">
        <v>1</v>
      </c>
      <c r="J84">
        <f t="shared" si="0"/>
        <v>-0.33333333333333331</v>
      </c>
      <c r="K84">
        <f t="shared" si="1"/>
        <v>0.23333333333333334</v>
      </c>
      <c r="L84">
        <f>E84-((E83+E85)/2)</f>
        <v>0.15000000000000036</v>
      </c>
      <c r="M84" s="36">
        <f t="shared" si="14"/>
        <v>0.51350000000000007</v>
      </c>
      <c r="N84">
        <f t="shared" si="3"/>
        <v>0.88888888888888884</v>
      </c>
      <c r="O84" s="5">
        <f t="shared" si="4"/>
        <v>0.43333333333333329</v>
      </c>
      <c r="P84">
        <v>13</v>
      </c>
      <c r="Q84" s="5">
        <f t="shared" si="11"/>
        <v>0.3611111111111111</v>
      </c>
      <c r="R84">
        <v>1</v>
      </c>
      <c r="S84">
        <v>1</v>
      </c>
      <c r="T84">
        <v>1</v>
      </c>
      <c r="U84" s="5">
        <f t="shared" si="6"/>
        <v>1</v>
      </c>
      <c r="V84" s="9">
        <v>0</v>
      </c>
      <c r="W84" s="2">
        <v>3</v>
      </c>
      <c r="X84" s="17">
        <f t="shared" si="10"/>
        <v>3.7181944444444444</v>
      </c>
    </row>
    <row r="85" spans="1:24" x14ac:dyDescent="0.3">
      <c r="A85" s="32">
        <v>46183</v>
      </c>
      <c r="B85" s="7">
        <v>18</v>
      </c>
      <c r="C85" s="7" t="s">
        <v>4</v>
      </c>
      <c r="D85" s="7" t="s">
        <v>47</v>
      </c>
      <c r="E85" s="18">
        <v>3.2</v>
      </c>
      <c r="F85" s="7">
        <v>0</v>
      </c>
      <c r="G85" s="7">
        <v>3</v>
      </c>
      <c r="H85" s="7">
        <v>3</v>
      </c>
      <c r="I85" s="7">
        <v>0</v>
      </c>
      <c r="J85" s="7">
        <f t="shared" si="0"/>
        <v>-0.33333333333333331</v>
      </c>
      <c r="K85" s="7">
        <f t="shared" si="1"/>
        <v>3.3333333333333347E-2</v>
      </c>
      <c r="L85" s="7">
        <f>E85-((E83+E84)/2)</f>
        <v>-0.59999999999999964</v>
      </c>
      <c r="M85" s="40">
        <f t="shared" si="14"/>
        <v>0.44600000000000006</v>
      </c>
      <c r="N85" s="7">
        <f t="shared" si="3"/>
        <v>0.33333333333333331</v>
      </c>
      <c r="O85" s="8">
        <f t="shared" si="4"/>
        <v>9.9999999999999992E-2</v>
      </c>
      <c r="P85" s="7">
        <v>10</v>
      </c>
      <c r="Q85" s="8">
        <f t="shared" si="11"/>
        <v>0.27777777777777779</v>
      </c>
      <c r="R85" s="7">
        <v>1</v>
      </c>
      <c r="S85" s="7">
        <v>0</v>
      </c>
      <c r="T85" s="7">
        <v>0</v>
      </c>
      <c r="U85" s="8">
        <f t="shared" si="6"/>
        <v>1</v>
      </c>
      <c r="V85" s="10">
        <v>0</v>
      </c>
      <c r="W85" s="14">
        <v>3</v>
      </c>
      <c r="X85" s="16">
        <f t="shared" si="10"/>
        <v>3.6036111111111113</v>
      </c>
    </row>
    <row r="86" spans="1:24" x14ac:dyDescent="0.3">
      <c r="A86" s="1">
        <v>46185</v>
      </c>
      <c r="B86">
        <v>19</v>
      </c>
      <c r="C86" t="s">
        <v>87</v>
      </c>
      <c r="D86" t="s">
        <v>105</v>
      </c>
      <c r="E86" s="3">
        <v>3.4</v>
      </c>
      <c r="F86">
        <v>1</v>
      </c>
      <c r="G86">
        <v>1</v>
      </c>
      <c r="H86">
        <v>5</v>
      </c>
      <c r="I86">
        <v>2</v>
      </c>
      <c r="J86">
        <f t="shared" si="0"/>
        <v>0.8</v>
      </c>
      <c r="K86">
        <f t="shared" si="1"/>
        <v>0.40666666666666662</v>
      </c>
      <c r="L86" s="25">
        <f>E86-((E87+E88+E89+E90)/4)</f>
        <v>0.67499999999999982</v>
      </c>
      <c r="M86" s="47">
        <f t="shared" ref="M86:M90" si="15">0.5 + (L86 * 0.09)</f>
        <v>0.56074999999999997</v>
      </c>
      <c r="N86">
        <f t="shared" si="3"/>
        <v>1.4</v>
      </c>
      <c r="O86" s="5">
        <f t="shared" si="4"/>
        <v>0.73999999999999988</v>
      </c>
      <c r="P86">
        <v>12</v>
      </c>
      <c r="Q86" s="5">
        <f t="shared" si="11"/>
        <v>0.7</v>
      </c>
      <c r="R86">
        <v>1</v>
      </c>
      <c r="S86">
        <v>0</v>
      </c>
      <c r="T86">
        <v>0</v>
      </c>
      <c r="U86" s="5">
        <f t="shared" si="6"/>
        <v>1</v>
      </c>
      <c r="V86" s="9">
        <v>0</v>
      </c>
      <c r="W86" s="2">
        <v>3</v>
      </c>
      <c r="X86" s="17">
        <f t="shared" si="10"/>
        <v>3.8694999999999999</v>
      </c>
    </row>
    <row r="87" spans="1:24" x14ac:dyDescent="0.3">
      <c r="A87" s="1">
        <v>46185</v>
      </c>
      <c r="B87">
        <v>19</v>
      </c>
      <c r="C87" t="s">
        <v>2</v>
      </c>
      <c r="D87" t="s">
        <v>108</v>
      </c>
      <c r="E87" s="3">
        <v>2</v>
      </c>
      <c r="F87">
        <v>0</v>
      </c>
      <c r="G87">
        <v>2</v>
      </c>
      <c r="H87">
        <v>5</v>
      </c>
      <c r="I87">
        <v>1</v>
      </c>
      <c r="J87">
        <f t="shared" si="0"/>
        <v>-0.2</v>
      </c>
      <c r="K87">
        <f t="shared" si="1"/>
        <v>0.20666666666666664</v>
      </c>
      <c r="L87">
        <f>E87-((E86+E88+E89+E90)/4)</f>
        <v>-1.0750000000000002</v>
      </c>
      <c r="M87" s="48">
        <f t="shared" si="15"/>
        <v>0.40325</v>
      </c>
      <c r="N87">
        <f t="shared" si="3"/>
        <v>0.96</v>
      </c>
      <c r="O87" s="5">
        <f t="shared" si="4"/>
        <v>0.47599999999999998</v>
      </c>
      <c r="P87">
        <v>12</v>
      </c>
      <c r="Q87" s="5">
        <f t="shared" si="11"/>
        <v>0.33333333333333331</v>
      </c>
      <c r="R87">
        <v>0</v>
      </c>
      <c r="S87">
        <v>0</v>
      </c>
      <c r="T87">
        <v>0</v>
      </c>
      <c r="U87" s="5">
        <f t="shared" si="6"/>
        <v>1</v>
      </c>
      <c r="V87" s="9">
        <v>0</v>
      </c>
      <c r="W87" s="2">
        <v>2</v>
      </c>
      <c r="X87" s="17">
        <f t="shared" si="10"/>
        <v>2.5511333333333335</v>
      </c>
    </row>
    <row r="88" spans="1:24" x14ac:dyDescent="0.3">
      <c r="A88" s="1">
        <v>46185</v>
      </c>
      <c r="B88">
        <v>19</v>
      </c>
      <c r="C88" t="s">
        <v>3</v>
      </c>
      <c r="D88" t="s">
        <v>109</v>
      </c>
      <c r="E88" s="3">
        <v>2</v>
      </c>
      <c r="F88">
        <v>0</v>
      </c>
      <c r="G88">
        <v>3</v>
      </c>
      <c r="H88">
        <v>5</v>
      </c>
      <c r="I88">
        <v>0</v>
      </c>
      <c r="J88">
        <f t="shared" si="0"/>
        <v>-0.2</v>
      </c>
      <c r="K88">
        <f t="shared" si="1"/>
        <v>6.6666666666666654E-3</v>
      </c>
      <c r="L88">
        <f>E88-((E86+E87+E89+E90)/4)</f>
        <v>-1.0750000000000002</v>
      </c>
      <c r="M88" s="48">
        <f t="shared" si="15"/>
        <v>0.40325</v>
      </c>
      <c r="N88">
        <f t="shared" si="3"/>
        <v>0.6</v>
      </c>
      <c r="O88" s="5">
        <f t="shared" si="4"/>
        <v>0.26</v>
      </c>
      <c r="P88">
        <v>11</v>
      </c>
      <c r="Q88" s="5">
        <f t="shared" si="11"/>
        <v>0.30555555555555558</v>
      </c>
      <c r="R88">
        <v>1</v>
      </c>
      <c r="S88">
        <v>1</v>
      </c>
      <c r="T88">
        <v>1</v>
      </c>
      <c r="U88" s="5">
        <f t="shared" si="6"/>
        <v>1</v>
      </c>
      <c r="V88" s="9">
        <v>0</v>
      </c>
      <c r="W88" s="2">
        <v>2</v>
      </c>
      <c r="X88" s="17">
        <f t="shared" si="10"/>
        <v>2.6564722222222219</v>
      </c>
    </row>
    <row r="89" spans="1:24" x14ac:dyDescent="0.3">
      <c r="A89" s="1">
        <v>46185</v>
      </c>
      <c r="B89">
        <v>19</v>
      </c>
      <c r="C89" t="s">
        <v>73</v>
      </c>
      <c r="D89" t="s">
        <v>84</v>
      </c>
      <c r="E89" s="3">
        <v>3.5</v>
      </c>
      <c r="F89">
        <v>0</v>
      </c>
      <c r="G89">
        <v>4</v>
      </c>
      <c r="H89">
        <v>5</v>
      </c>
      <c r="I89">
        <v>0</v>
      </c>
      <c r="J89">
        <f t="shared" si="0"/>
        <v>-0.2</v>
      </c>
      <c r="K89">
        <f t="shared" si="1"/>
        <v>6.6666666666666654E-3</v>
      </c>
      <c r="L89">
        <f>E89-((E86+E87+E88+E90)/4)</f>
        <v>0.79999999999999982</v>
      </c>
      <c r="M89" s="48">
        <f t="shared" si="15"/>
        <v>0.57199999999999995</v>
      </c>
      <c r="N89">
        <f t="shared" si="3"/>
        <v>0.4</v>
      </c>
      <c r="O89" s="5">
        <f t="shared" si="4"/>
        <v>0.14000000000000001</v>
      </c>
      <c r="P89">
        <v>10</v>
      </c>
      <c r="Q89" s="5">
        <f t="shared" si="11"/>
        <v>0.27777777777777779</v>
      </c>
      <c r="R89">
        <v>0</v>
      </c>
      <c r="S89">
        <v>2</v>
      </c>
      <c r="T89">
        <v>1</v>
      </c>
      <c r="U89" s="5">
        <f t="shared" si="6"/>
        <v>0.5</v>
      </c>
      <c r="V89" s="9">
        <v>0</v>
      </c>
      <c r="W89" s="2">
        <v>3</v>
      </c>
      <c r="X89" s="17">
        <f t="shared" si="10"/>
        <v>3.3531111111111112</v>
      </c>
    </row>
    <row r="90" spans="1:24" x14ac:dyDescent="0.3">
      <c r="A90" s="32">
        <v>46185</v>
      </c>
      <c r="B90" s="7">
        <v>19</v>
      </c>
      <c r="C90" s="7" t="s">
        <v>6</v>
      </c>
      <c r="D90" s="7" t="s">
        <v>8</v>
      </c>
      <c r="E90" s="18">
        <v>3.4</v>
      </c>
      <c r="F90" s="7">
        <v>0</v>
      </c>
      <c r="G90" s="7">
        <v>5</v>
      </c>
      <c r="H90" s="7">
        <v>5</v>
      </c>
      <c r="I90" s="7">
        <v>0</v>
      </c>
      <c r="J90" s="7">
        <f t="shared" si="0"/>
        <v>-0.2</v>
      </c>
      <c r="K90" s="7">
        <f t="shared" si="1"/>
        <v>6.6666666666666654E-3</v>
      </c>
      <c r="L90" s="7">
        <f>E90-((E86+E87+E88+E89)/4)</f>
        <v>0.67499999999999982</v>
      </c>
      <c r="M90" s="40">
        <f t="shared" si="15"/>
        <v>0.56074999999999997</v>
      </c>
      <c r="N90" s="7">
        <f t="shared" si="3"/>
        <v>0.2</v>
      </c>
      <c r="O90" s="8">
        <f t="shared" si="4"/>
        <v>2.0000000000000011E-2</v>
      </c>
      <c r="P90" s="7">
        <v>10</v>
      </c>
      <c r="Q90" s="8">
        <f t="shared" si="11"/>
        <v>0.27777777777777779</v>
      </c>
      <c r="R90" s="7">
        <v>1</v>
      </c>
      <c r="S90" s="7">
        <v>0</v>
      </c>
      <c r="T90" s="7">
        <v>0</v>
      </c>
      <c r="U90" s="8">
        <f t="shared" si="6"/>
        <v>1</v>
      </c>
      <c r="V90" s="10">
        <v>0</v>
      </c>
      <c r="W90" s="14">
        <v>3</v>
      </c>
      <c r="X90" s="16">
        <f t="shared" si="10"/>
        <v>3.5796111111111113</v>
      </c>
    </row>
    <row r="91" spans="1:24" x14ac:dyDescent="0.3">
      <c r="A91" s="1">
        <v>46185</v>
      </c>
      <c r="B91">
        <v>20</v>
      </c>
      <c r="C91" t="s">
        <v>5</v>
      </c>
      <c r="D91" t="s">
        <v>11</v>
      </c>
      <c r="E91" s="3">
        <v>2.4</v>
      </c>
      <c r="F91">
        <v>1</v>
      </c>
      <c r="G91">
        <v>1</v>
      </c>
      <c r="H91">
        <v>5</v>
      </c>
      <c r="I91">
        <v>2</v>
      </c>
      <c r="J91">
        <f t="shared" si="0"/>
        <v>0.8</v>
      </c>
      <c r="K91">
        <f t="shared" si="1"/>
        <v>0.40666666666666662</v>
      </c>
      <c r="L91" s="25">
        <f>E91-((E92+E93+E94+E95)/4)</f>
        <v>-0.42500000000000027</v>
      </c>
      <c r="M91" s="47">
        <f t="shared" ref="M91:M98" si="16">0.5 + (L91 * 0.09)</f>
        <v>0.46174999999999999</v>
      </c>
      <c r="N91">
        <f t="shared" si="3"/>
        <v>1.4</v>
      </c>
      <c r="O91" s="5">
        <f t="shared" si="4"/>
        <v>0.73999999999999988</v>
      </c>
      <c r="P91">
        <v>8</v>
      </c>
      <c r="Q91" s="5">
        <f t="shared" si="11"/>
        <v>0.83333333333333337</v>
      </c>
      <c r="R91">
        <v>1</v>
      </c>
      <c r="S91">
        <v>0</v>
      </c>
      <c r="T91">
        <v>0</v>
      </c>
      <c r="U91" s="5">
        <f t="shared" si="6"/>
        <v>1</v>
      </c>
      <c r="V91" s="9">
        <v>0</v>
      </c>
      <c r="W91" s="2">
        <v>2</v>
      </c>
      <c r="X91" s="17">
        <f t="shared" si="10"/>
        <v>2.8928333333333334</v>
      </c>
    </row>
    <row r="92" spans="1:24" x14ac:dyDescent="0.3">
      <c r="A92" s="1">
        <v>46185</v>
      </c>
      <c r="B92">
        <v>20</v>
      </c>
      <c r="C92" t="s">
        <v>87</v>
      </c>
      <c r="D92" t="s">
        <v>71</v>
      </c>
      <c r="E92" s="3">
        <v>3.3</v>
      </c>
      <c r="F92">
        <v>0</v>
      </c>
      <c r="G92">
        <v>2</v>
      </c>
      <c r="H92">
        <v>5</v>
      </c>
      <c r="I92">
        <v>2</v>
      </c>
      <c r="J92">
        <f t="shared" si="0"/>
        <v>-0.2</v>
      </c>
      <c r="K92">
        <f t="shared" si="1"/>
        <v>0.40666666666666662</v>
      </c>
      <c r="L92">
        <f>E92-((E91+E93+E94+E95)/4)</f>
        <v>0.69999999999999973</v>
      </c>
      <c r="M92" s="48">
        <f t="shared" si="16"/>
        <v>0.56299999999999994</v>
      </c>
      <c r="N92">
        <f t="shared" si="3"/>
        <v>1.1199999999999999</v>
      </c>
      <c r="O92" s="5">
        <f t="shared" si="4"/>
        <v>0.57199999999999995</v>
      </c>
      <c r="P92">
        <v>8</v>
      </c>
      <c r="Q92" s="5">
        <f t="shared" si="11"/>
        <v>0.22222222222222221</v>
      </c>
      <c r="R92">
        <v>1</v>
      </c>
      <c r="S92">
        <v>0</v>
      </c>
      <c r="T92">
        <v>0</v>
      </c>
      <c r="U92" s="5">
        <f t="shared" si="6"/>
        <v>1</v>
      </c>
      <c r="V92" s="9">
        <v>0</v>
      </c>
      <c r="W92" s="2">
        <v>3</v>
      </c>
      <c r="X92" s="17">
        <f t="shared" si="10"/>
        <v>3.7354888888888889</v>
      </c>
    </row>
    <row r="93" spans="1:24" x14ac:dyDescent="0.3">
      <c r="A93" s="1">
        <v>46185</v>
      </c>
      <c r="B93">
        <v>20</v>
      </c>
      <c r="C93" t="s">
        <v>3</v>
      </c>
      <c r="D93" t="s">
        <v>109</v>
      </c>
      <c r="E93" s="3">
        <v>2.7</v>
      </c>
      <c r="F93">
        <v>0</v>
      </c>
      <c r="G93">
        <v>3</v>
      </c>
      <c r="H93">
        <v>5</v>
      </c>
      <c r="I93">
        <v>0</v>
      </c>
      <c r="J93">
        <f t="shared" si="0"/>
        <v>-0.2</v>
      </c>
      <c r="K93">
        <f t="shared" si="1"/>
        <v>6.6666666666666654E-3</v>
      </c>
      <c r="L93">
        <f>E93-((E91+E92+E94+E95)/4)</f>
        <v>-4.9999999999999822E-2</v>
      </c>
      <c r="M93" s="48">
        <f t="shared" si="16"/>
        <v>0.4955</v>
      </c>
      <c r="N93">
        <f t="shared" si="3"/>
        <v>0.6</v>
      </c>
      <c r="O93" s="5">
        <f t="shared" si="4"/>
        <v>0.26</v>
      </c>
      <c r="P93">
        <v>8</v>
      </c>
      <c r="Q93" s="5">
        <f t="shared" si="11"/>
        <v>0.22222222222222221</v>
      </c>
      <c r="R93">
        <v>0</v>
      </c>
      <c r="S93">
        <v>0</v>
      </c>
      <c r="T93">
        <v>0</v>
      </c>
      <c r="U93" s="5">
        <f t="shared" si="6"/>
        <v>1</v>
      </c>
      <c r="V93" s="9">
        <v>0</v>
      </c>
      <c r="W93" s="2">
        <v>2</v>
      </c>
      <c r="X93" s="17">
        <f t="shared" si="10"/>
        <v>2.4668888888888887</v>
      </c>
    </row>
    <row r="94" spans="1:24" x14ac:dyDescent="0.3">
      <c r="A94" s="1">
        <v>46185</v>
      </c>
      <c r="B94">
        <v>20</v>
      </c>
      <c r="C94" t="s">
        <v>6</v>
      </c>
      <c r="D94" t="s">
        <v>100</v>
      </c>
      <c r="E94" s="3">
        <v>2.9</v>
      </c>
      <c r="F94">
        <v>0</v>
      </c>
      <c r="G94">
        <v>4</v>
      </c>
      <c r="H94">
        <v>5</v>
      </c>
      <c r="I94">
        <v>0</v>
      </c>
      <c r="J94">
        <f t="shared" si="0"/>
        <v>-0.2</v>
      </c>
      <c r="K94">
        <f t="shared" si="1"/>
        <v>6.6666666666666654E-3</v>
      </c>
      <c r="L94">
        <f>E94-((E91+E92+E93+E95)/4)</f>
        <v>0.20000000000000018</v>
      </c>
      <c r="M94" s="48">
        <f t="shared" si="16"/>
        <v>0.51800000000000002</v>
      </c>
      <c r="N94">
        <f t="shared" si="3"/>
        <v>0.4</v>
      </c>
      <c r="O94" s="5">
        <f t="shared" si="4"/>
        <v>0.14000000000000001</v>
      </c>
      <c r="P94">
        <v>8</v>
      </c>
      <c r="Q94" s="5">
        <f t="shared" si="11"/>
        <v>0.22222222222222221</v>
      </c>
      <c r="R94">
        <v>1</v>
      </c>
      <c r="S94">
        <v>0</v>
      </c>
      <c r="T94">
        <v>0</v>
      </c>
      <c r="U94" s="5">
        <f t="shared" si="6"/>
        <v>1</v>
      </c>
      <c r="V94" s="9">
        <v>0</v>
      </c>
      <c r="W94" s="2">
        <v>2</v>
      </c>
      <c r="X94" s="17">
        <f t="shared" si="10"/>
        <v>2.6058888888888889</v>
      </c>
    </row>
    <row r="95" spans="1:24" x14ac:dyDescent="0.3">
      <c r="A95" s="32">
        <v>46185</v>
      </c>
      <c r="B95" s="7">
        <v>20</v>
      </c>
      <c r="C95" s="7" t="s">
        <v>2</v>
      </c>
      <c r="D95" s="7" t="s">
        <v>97</v>
      </c>
      <c r="E95" s="18">
        <v>2.4</v>
      </c>
      <c r="F95" s="7">
        <v>0</v>
      </c>
      <c r="G95" s="7">
        <v>5</v>
      </c>
      <c r="H95" s="7">
        <v>5</v>
      </c>
      <c r="I95" s="7">
        <v>0</v>
      </c>
      <c r="J95" s="7">
        <f t="shared" si="0"/>
        <v>-0.2</v>
      </c>
      <c r="K95" s="7">
        <f t="shared" si="1"/>
        <v>6.6666666666666654E-3</v>
      </c>
      <c r="L95" s="7">
        <f>E95-((E91+E92+E93+E94)/4)</f>
        <v>-0.42499999999999982</v>
      </c>
      <c r="M95" s="40">
        <f t="shared" si="16"/>
        <v>0.46174999999999999</v>
      </c>
      <c r="N95" s="7">
        <f t="shared" si="3"/>
        <v>0.2</v>
      </c>
      <c r="O95" s="8">
        <f t="shared" si="4"/>
        <v>2.0000000000000011E-2</v>
      </c>
      <c r="P95" s="7">
        <v>8</v>
      </c>
      <c r="Q95" s="8">
        <f t="shared" si="11"/>
        <v>0.22222222222222221</v>
      </c>
      <c r="R95" s="7">
        <v>0</v>
      </c>
      <c r="S95" s="7">
        <v>0</v>
      </c>
      <c r="T95" s="7">
        <v>0</v>
      </c>
      <c r="U95" s="8">
        <f t="shared" si="6"/>
        <v>1</v>
      </c>
      <c r="V95" s="10">
        <v>0</v>
      </c>
      <c r="W95" s="14">
        <v>2</v>
      </c>
      <c r="X95" s="16">
        <f t="shared" si="10"/>
        <v>2.3948888888888886</v>
      </c>
    </row>
    <row r="96" spans="1:24" x14ac:dyDescent="0.3">
      <c r="A96" s="1">
        <v>46186</v>
      </c>
      <c r="B96">
        <v>21</v>
      </c>
      <c r="C96" t="s">
        <v>2</v>
      </c>
      <c r="D96" t="s">
        <v>37</v>
      </c>
      <c r="E96" s="3">
        <v>3.4</v>
      </c>
      <c r="F96">
        <v>1</v>
      </c>
      <c r="G96">
        <v>1</v>
      </c>
      <c r="H96">
        <v>3</v>
      </c>
      <c r="I96">
        <v>1</v>
      </c>
      <c r="J96">
        <f t="shared" si="0"/>
        <v>0.66666666666666674</v>
      </c>
      <c r="K96">
        <f t="shared" si="1"/>
        <v>0.23333333333333334</v>
      </c>
      <c r="L96" s="3">
        <f>E96-((E97+E98)/2)</f>
        <v>0.49999999999999956</v>
      </c>
      <c r="M96" s="36">
        <f t="shared" si="16"/>
        <v>0.54499999999999993</v>
      </c>
      <c r="N96">
        <f t="shared" si="3"/>
        <v>1.3333333333333333</v>
      </c>
      <c r="O96" s="5">
        <f t="shared" si="4"/>
        <v>0.69999999999999984</v>
      </c>
      <c r="P96">
        <v>13</v>
      </c>
      <c r="Q96" s="5">
        <f t="shared" si="11"/>
        <v>0.66666666666666674</v>
      </c>
      <c r="R96">
        <v>1</v>
      </c>
      <c r="S96">
        <v>0</v>
      </c>
      <c r="T96">
        <v>0</v>
      </c>
      <c r="U96" s="5">
        <f t="shared" si="6"/>
        <v>1</v>
      </c>
      <c r="V96" s="9">
        <v>0</v>
      </c>
      <c r="W96" s="2">
        <v>3</v>
      </c>
      <c r="X96" s="17">
        <f t="shared" si="10"/>
        <v>3.8516666666666666</v>
      </c>
    </row>
    <row r="97" spans="1:24" x14ac:dyDescent="0.3">
      <c r="A97" s="1">
        <v>46186</v>
      </c>
      <c r="B97">
        <v>21</v>
      </c>
      <c r="C97" t="s">
        <v>5</v>
      </c>
      <c r="D97" t="s">
        <v>90</v>
      </c>
      <c r="E97" s="3">
        <v>2.2000000000000002</v>
      </c>
      <c r="F97">
        <v>0</v>
      </c>
      <c r="G97">
        <v>2</v>
      </c>
      <c r="H97">
        <v>3</v>
      </c>
      <c r="I97">
        <v>1</v>
      </c>
      <c r="J97">
        <f t="shared" si="0"/>
        <v>-0.33333333333333331</v>
      </c>
      <c r="K97">
        <f t="shared" si="1"/>
        <v>0.23333333333333334</v>
      </c>
      <c r="L97">
        <f>E97-((E96+E98)/2)</f>
        <v>-1.2999999999999998</v>
      </c>
      <c r="M97" s="36">
        <f t="shared" si="16"/>
        <v>0.38300000000000001</v>
      </c>
      <c r="N97">
        <f t="shared" si="3"/>
        <v>0.88888888888888884</v>
      </c>
      <c r="O97" s="5">
        <f t="shared" si="4"/>
        <v>0.43333333333333329</v>
      </c>
      <c r="P97">
        <v>13</v>
      </c>
      <c r="Q97" s="5">
        <f t="shared" si="11"/>
        <v>0.3611111111111111</v>
      </c>
      <c r="R97">
        <v>1</v>
      </c>
      <c r="S97">
        <v>2</v>
      </c>
      <c r="T97">
        <v>1</v>
      </c>
      <c r="U97" s="5">
        <f t="shared" si="6"/>
        <v>0.5</v>
      </c>
      <c r="V97" s="9">
        <v>0</v>
      </c>
      <c r="W97" s="2">
        <v>2</v>
      </c>
      <c r="X97" s="17">
        <f t="shared" si="10"/>
        <v>2.6306944444444444</v>
      </c>
    </row>
    <row r="98" spans="1:24" x14ac:dyDescent="0.3">
      <c r="A98" s="32">
        <v>46186</v>
      </c>
      <c r="B98" s="7">
        <v>21</v>
      </c>
      <c r="C98" s="7" t="s">
        <v>6</v>
      </c>
      <c r="D98" s="7" t="s">
        <v>8</v>
      </c>
      <c r="E98" s="18">
        <v>3.6</v>
      </c>
      <c r="F98" s="7">
        <v>0</v>
      </c>
      <c r="G98" s="7">
        <v>3</v>
      </c>
      <c r="H98" s="7">
        <v>3</v>
      </c>
      <c r="I98" s="7">
        <v>0</v>
      </c>
      <c r="J98" s="7">
        <f t="shared" si="0"/>
        <v>-0.33333333333333331</v>
      </c>
      <c r="K98" s="7">
        <f t="shared" si="1"/>
        <v>3.3333333333333347E-2</v>
      </c>
      <c r="L98" s="7">
        <f>E98-((E96+E97)/2)</f>
        <v>0.80000000000000027</v>
      </c>
      <c r="M98" s="40">
        <f t="shared" si="16"/>
        <v>0.57200000000000006</v>
      </c>
      <c r="N98" s="7">
        <f t="shared" si="3"/>
        <v>0.33333333333333331</v>
      </c>
      <c r="O98" s="8">
        <f t="shared" si="4"/>
        <v>9.9999999999999992E-2</v>
      </c>
      <c r="P98" s="7">
        <v>8</v>
      </c>
      <c r="Q98" s="8">
        <f t="shared" si="11"/>
        <v>0.22222222222222221</v>
      </c>
      <c r="R98" s="7">
        <v>1</v>
      </c>
      <c r="S98" s="7">
        <v>0</v>
      </c>
      <c r="T98" s="7">
        <v>0</v>
      </c>
      <c r="U98" s="8">
        <f t="shared" si="6"/>
        <v>1</v>
      </c>
      <c r="V98" s="10">
        <v>0</v>
      </c>
      <c r="W98" s="14">
        <v>3</v>
      </c>
      <c r="X98" s="16">
        <f t="shared" si="10"/>
        <v>3.5938888888888889</v>
      </c>
    </row>
    <row r="99" spans="1:24" x14ac:dyDescent="0.3">
      <c r="A99" s="1">
        <v>46192</v>
      </c>
      <c r="B99">
        <v>22</v>
      </c>
      <c r="C99" t="s">
        <v>6</v>
      </c>
      <c r="D99" t="s">
        <v>89</v>
      </c>
      <c r="E99" s="3">
        <v>2.2999999999999998</v>
      </c>
      <c r="F99">
        <v>1</v>
      </c>
      <c r="G99">
        <v>1</v>
      </c>
      <c r="H99">
        <v>5</v>
      </c>
      <c r="I99">
        <v>4</v>
      </c>
      <c r="J99">
        <f t="shared" si="0"/>
        <v>0.8</v>
      </c>
      <c r="K99">
        <f t="shared" si="1"/>
        <v>0.80666666666666664</v>
      </c>
      <c r="L99" s="25">
        <f>E99-((E100+E101+E102+E103)/4)</f>
        <v>-0.57500000000000018</v>
      </c>
      <c r="M99" s="47">
        <f t="shared" ref="M99:M106" si="17">0.5 + (L99 * 0.09)</f>
        <v>0.44824999999999998</v>
      </c>
      <c r="N99">
        <f t="shared" si="3"/>
        <v>1.8</v>
      </c>
      <c r="O99" s="5">
        <f t="shared" si="4"/>
        <v>0.98</v>
      </c>
      <c r="P99">
        <v>12</v>
      </c>
      <c r="Q99" s="5">
        <f t="shared" si="11"/>
        <v>0.7</v>
      </c>
      <c r="R99">
        <v>1</v>
      </c>
      <c r="S99">
        <v>4</v>
      </c>
      <c r="T99">
        <v>3</v>
      </c>
      <c r="U99" s="5">
        <f t="shared" si="6"/>
        <v>0.75</v>
      </c>
      <c r="V99" s="9">
        <v>0</v>
      </c>
      <c r="W99" s="2">
        <v>2</v>
      </c>
      <c r="X99" s="17">
        <f t="shared" si="10"/>
        <v>2.8977499999999998</v>
      </c>
    </row>
    <row r="100" spans="1:24" x14ac:dyDescent="0.3">
      <c r="A100" s="1">
        <v>46192</v>
      </c>
      <c r="B100">
        <v>22</v>
      </c>
      <c r="C100" t="s">
        <v>87</v>
      </c>
      <c r="D100" t="s">
        <v>85</v>
      </c>
      <c r="E100" s="3">
        <v>3.6</v>
      </c>
      <c r="F100">
        <v>0</v>
      </c>
      <c r="G100">
        <v>2</v>
      </c>
      <c r="H100">
        <v>5</v>
      </c>
      <c r="I100">
        <v>0</v>
      </c>
      <c r="J100">
        <f t="shared" si="0"/>
        <v>-0.2</v>
      </c>
      <c r="K100">
        <f t="shared" si="1"/>
        <v>6.6666666666666654E-3</v>
      </c>
      <c r="L100">
        <f>E100-((E99+E101+E102+E103)/4)</f>
        <v>1.0500000000000003</v>
      </c>
      <c r="M100" s="48">
        <f t="shared" si="17"/>
        <v>0.59450000000000003</v>
      </c>
      <c r="N100">
        <f t="shared" si="3"/>
        <v>0.8</v>
      </c>
      <c r="O100" s="5">
        <f t="shared" si="4"/>
        <v>0.38</v>
      </c>
      <c r="P100">
        <v>12</v>
      </c>
      <c r="Q100" s="5">
        <f t="shared" si="11"/>
        <v>0.33333333333333331</v>
      </c>
      <c r="R100">
        <v>1</v>
      </c>
      <c r="S100">
        <v>2</v>
      </c>
      <c r="T100">
        <v>1</v>
      </c>
      <c r="U100" s="5">
        <f t="shared" si="6"/>
        <v>0.5</v>
      </c>
      <c r="V100" s="9">
        <v>0</v>
      </c>
      <c r="W100" s="2">
        <v>3</v>
      </c>
      <c r="X100" s="17">
        <f t="shared" si="10"/>
        <v>3.6098333333333334</v>
      </c>
    </row>
    <row r="101" spans="1:24" x14ac:dyDescent="0.3">
      <c r="A101" s="1">
        <v>46192</v>
      </c>
      <c r="B101">
        <v>22</v>
      </c>
      <c r="C101" t="s">
        <v>2</v>
      </c>
      <c r="D101" t="s">
        <v>110</v>
      </c>
      <c r="E101" s="3">
        <v>3</v>
      </c>
      <c r="F101">
        <v>0</v>
      </c>
      <c r="G101">
        <v>3</v>
      </c>
      <c r="H101">
        <v>5</v>
      </c>
      <c r="I101">
        <v>0</v>
      </c>
      <c r="J101">
        <f t="shared" si="0"/>
        <v>-0.2</v>
      </c>
      <c r="K101">
        <f t="shared" si="1"/>
        <v>6.6666666666666654E-3</v>
      </c>
      <c r="L101">
        <f>E101-((E99+E100+E102+E103)/4)</f>
        <v>0.29999999999999982</v>
      </c>
      <c r="M101" s="48">
        <f t="shared" si="17"/>
        <v>0.52700000000000002</v>
      </c>
      <c r="N101">
        <f t="shared" si="3"/>
        <v>0.6</v>
      </c>
      <c r="O101" s="5">
        <f t="shared" si="4"/>
        <v>0.26</v>
      </c>
      <c r="P101">
        <v>11</v>
      </c>
      <c r="Q101" s="5">
        <f t="shared" si="11"/>
        <v>0.30555555555555558</v>
      </c>
      <c r="R101">
        <v>1</v>
      </c>
      <c r="S101">
        <v>2</v>
      </c>
      <c r="T101">
        <v>2</v>
      </c>
      <c r="U101" s="5">
        <f t="shared" si="6"/>
        <v>1</v>
      </c>
      <c r="V101" s="9">
        <v>0</v>
      </c>
      <c r="W101" s="2">
        <v>3</v>
      </c>
      <c r="X101" s="17">
        <f t="shared" si="10"/>
        <v>3.6564722222222219</v>
      </c>
    </row>
    <row r="102" spans="1:24" x14ac:dyDescent="0.3">
      <c r="A102" s="1">
        <v>46192</v>
      </c>
      <c r="B102">
        <v>22</v>
      </c>
      <c r="C102" t="s">
        <v>3</v>
      </c>
      <c r="D102" t="s">
        <v>46</v>
      </c>
      <c r="E102" s="3">
        <v>2</v>
      </c>
      <c r="F102">
        <v>0</v>
      </c>
      <c r="G102">
        <v>3</v>
      </c>
      <c r="H102">
        <v>5</v>
      </c>
      <c r="I102">
        <v>0</v>
      </c>
      <c r="J102">
        <f t="shared" si="0"/>
        <v>-0.2</v>
      </c>
      <c r="K102">
        <f t="shared" si="1"/>
        <v>6.6666666666666654E-3</v>
      </c>
      <c r="L102">
        <f>E102-((E99+E100+E101+E103)/4)</f>
        <v>-0.95000000000000018</v>
      </c>
      <c r="M102" s="48">
        <f t="shared" si="17"/>
        <v>0.41449999999999998</v>
      </c>
      <c r="N102">
        <f t="shared" si="3"/>
        <v>0.6</v>
      </c>
      <c r="O102" s="5">
        <f t="shared" si="4"/>
        <v>0.26</v>
      </c>
      <c r="P102">
        <v>11</v>
      </c>
      <c r="Q102" s="5">
        <f t="shared" si="11"/>
        <v>0.30555555555555558</v>
      </c>
      <c r="R102">
        <v>1</v>
      </c>
      <c r="S102">
        <v>3</v>
      </c>
      <c r="T102">
        <v>2</v>
      </c>
      <c r="U102" s="5">
        <f t="shared" si="6"/>
        <v>0.66666666666666663</v>
      </c>
      <c r="V102" s="9">
        <v>0</v>
      </c>
      <c r="W102" s="2">
        <v>2</v>
      </c>
      <c r="X102" s="17">
        <f t="shared" si="10"/>
        <v>2.5981388888888888</v>
      </c>
    </row>
    <row r="103" spans="1:24" x14ac:dyDescent="0.3">
      <c r="A103" s="32">
        <v>46192</v>
      </c>
      <c r="B103" s="7">
        <v>22</v>
      </c>
      <c r="C103" s="7" t="s">
        <v>5</v>
      </c>
      <c r="D103" s="7" t="s">
        <v>11</v>
      </c>
      <c r="E103" s="18">
        <v>2.9</v>
      </c>
      <c r="F103" s="7">
        <v>0</v>
      </c>
      <c r="G103" s="7">
        <v>3</v>
      </c>
      <c r="H103" s="7">
        <v>5</v>
      </c>
      <c r="I103" s="7">
        <v>0</v>
      </c>
      <c r="J103" s="7">
        <f t="shared" si="0"/>
        <v>-0.2</v>
      </c>
      <c r="K103" s="7">
        <f t="shared" si="1"/>
        <v>6.6666666666666654E-3</v>
      </c>
      <c r="L103" s="7">
        <f>E103-((E99+E100+E101+E102)/4)</f>
        <v>0.17499999999999982</v>
      </c>
      <c r="M103" s="40">
        <f t="shared" si="17"/>
        <v>0.51574999999999993</v>
      </c>
      <c r="N103" s="7">
        <f t="shared" si="3"/>
        <v>0.6</v>
      </c>
      <c r="O103" s="8">
        <f t="shared" si="4"/>
        <v>0.26</v>
      </c>
      <c r="P103" s="7">
        <v>11</v>
      </c>
      <c r="Q103" s="8">
        <f t="shared" si="11"/>
        <v>0.30555555555555558</v>
      </c>
      <c r="R103" s="7">
        <v>1</v>
      </c>
      <c r="S103" s="7">
        <v>3</v>
      </c>
      <c r="T103" s="7">
        <v>2</v>
      </c>
      <c r="U103" s="8">
        <f t="shared" si="6"/>
        <v>0.66666666666666663</v>
      </c>
      <c r="V103" s="10">
        <v>0</v>
      </c>
      <c r="W103" s="14">
        <v>2</v>
      </c>
      <c r="X103" s="16">
        <f t="shared" si="10"/>
        <v>2.5981388888888888</v>
      </c>
    </row>
    <row r="104" spans="1:24" x14ac:dyDescent="0.3">
      <c r="A104" s="1">
        <v>46197</v>
      </c>
      <c r="B104">
        <v>23</v>
      </c>
      <c r="C104" t="s">
        <v>2</v>
      </c>
      <c r="D104" t="s">
        <v>110</v>
      </c>
      <c r="E104" s="3">
        <v>3.7</v>
      </c>
      <c r="F104">
        <v>1</v>
      </c>
      <c r="G104">
        <v>1</v>
      </c>
      <c r="H104">
        <v>3</v>
      </c>
      <c r="I104">
        <v>1</v>
      </c>
      <c r="J104">
        <f t="shared" si="0"/>
        <v>0.66666666666666674</v>
      </c>
      <c r="K104">
        <f t="shared" si="1"/>
        <v>0.23333333333333334</v>
      </c>
      <c r="L104" s="3">
        <f>E104-((E105+E106)/2)</f>
        <v>0.45000000000000018</v>
      </c>
      <c r="M104" s="36">
        <f t="shared" si="17"/>
        <v>0.54049999999999998</v>
      </c>
      <c r="N104">
        <f t="shared" si="3"/>
        <v>1.3333333333333333</v>
      </c>
      <c r="O104" s="5">
        <f t="shared" si="4"/>
        <v>0.69999999999999984</v>
      </c>
      <c r="P104">
        <v>11</v>
      </c>
      <c r="Q104" s="5">
        <f t="shared" si="11"/>
        <v>0.73333333333333339</v>
      </c>
      <c r="R104">
        <v>1</v>
      </c>
      <c r="S104">
        <v>2</v>
      </c>
      <c r="T104">
        <v>0</v>
      </c>
      <c r="U104" s="5">
        <f t="shared" si="6"/>
        <v>0</v>
      </c>
      <c r="V104" s="9">
        <v>0</v>
      </c>
      <c r="W104" s="2">
        <v>3</v>
      </c>
      <c r="X104" s="17">
        <f t="shared" si="10"/>
        <v>3.6883333333333335</v>
      </c>
    </row>
    <row r="105" spans="1:24" x14ac:dyDescent="0.3">
      <c r="A105" s="1">
        <v>46197</v>
      </c>
      <c r="B105">
        <v>23</v>
      </c>
      <c r="C105" t="s">
        <v>87</v>
      </c>
      <c r="D105" t="s">
        <v>105</v>
      </c>
      <c r="E105" s="3">
        <v>3.9</v>
      </c>
      <c r="F105">
        <v>0</v>
      </c>
      <c r="G105">
        <v>2</v>
      </c>
      <c r="H105">
        <v>3</v>
      </c>
      <c r="I105">
        <v>1</v>
      </c>
      <c r="J105">
        <f t="shared" si="0"/>
        <v>-0.33333333333333331</v>
      </c>
      <c r="K105">
        <f t="shared" si="1"/>
        <v>0.23333333333333334</v>
      </c>
      <c r="L105">
        <f>E105-((E104+E106)/2)</f>
        <v>0.74999999999999956</v>
      </c>
      <c r="M105" s="36">
        <f t="shared" si="17"/>
        <v>0.5675</v>
      </c>
      <c r="N105">
        <f t="shared" si="3"/>
        <v>0.88888888888888884</v>
      </c>
      <c r="O105" s="5">
        <f t="shared" si="4"/>
        <v>0.43333333333333329</v>
      </c>
      <c r="P105">
        <v>11</v>
      </c>
      <c r="Q105" s="5">
        <f t="shared" si="11"/>
        <v>0.30555555555555558</v>
      </c>
      <c r="R105">
        <v>0</v>
      </c>
      <c r="S105">
        <v>2</v>
      </c>
      <c r="T105">
        <v>0</v>
      </c>
      <c r="U105" s="5">
        <f t="shared" si="6"/>
        <v>0</v>
      </c>
      <c r="V105" s="9">
        <v>0</v>
      </c>
      <c r="W105" s="2">
        <v>3</v>
      </c>
      <c r="X105" s="17">
        <f t="shared" si="10"/>
        <v>3.3584722222222223</v>
      </c>
    </row>
    <row r="106" spans="1:24" x14ac:dyDescent="0.3">
      <c r="A106" s="32">
        <v>46197</v>
      </c>
      <c r="B106" s="7">
        <v>23</v>
      </c>
      <c r="C106" s="7" t="s">
        <v>5</v>
      </c>
      <c r="D106" s="7" t="s">
        <v>90</v>
      </c>
      <c r="E106" s="18">
        <v>2.6</v>
      </c>
      <c r="F106" s="7">
        <v>0</v>
      </c>
      <c r="G106" s="7">
        <v>3</v>
      </c>
      <c r="H106" s="7">
        <v>3</v>
      </c>
      <c r="I106" s="7">
        <v>0</v>
      </c>
      <c r="J106" s="7">
        <f t="shared" si="0"/>
        <v>-0.33333333333333331</v>
      </c>
      <c r="K106" s="7">
        <f t="shared" si="1"/>
        <v>3.3333333333333347E-2</v>
      </c>
      <c r="L106" s="7">
        <f>E106-((E104+E105)/2)</f>
        <v>-1.1999999999999997</v>
      </c>
      <c r="M106" s="40">
        <f t="shared" si="17"/>
        <v>0.39200000000000002</v>
      </c>
      <c r="N106" s="7">
        <f t="shared" si="3"/>
        <v>0.33333333333333331</v>
      </c>
      <c r="O106" s="8">
        <f t="shared" si="4"/>
        <v>9.9999999999999992E-2</v>
      </c>
      <c r="P106" s="7">
        <v>8</v>
      </c>
      <c r="Q106" s="8">
        <f t="shared" si="11"/>
        <v>0.22222222222222221</v>
      </c>
      <c r="R106" s="7">
        <v>1</v>
      </c>
      <c r="S106" s="7">
        <v>0</v>
      </c>
      <c r="T106" s="7">
        <v>0</v>
      </c>
      <c r="U106" s="8">
        <f t="shared" si="6"/>
        <v>1</v>
      </c>
      <c r="V106" s="10">
        <v>0</v>
      </c>
      <c r="W106" s="14">
        <v>2</v>
      </c>
      <c r="X106" s="16">
        <f t="shared" si="10"/>
        <v>2.5938888888888889</v>
      </c>
    </row>
    <row r="107" spans="1:24" x14ac:dyDescent="0.3">
      <c r="A107" s="1">
        <v>46199</v>
      </c>
      <c r="B107">
        <v>24</v>
      </c>
      <c r="C107" t="s">
        <v>87</v>
      </c>
      <c r="D107" t="s">
        <v>105</v>
      </c>
      <c r="E107" s="3">
        <v>3.4</v>
      </c>
      <c r="F107">
        <v>1</v>
      </c>
      <c r="G107">
        <v>1</v>
      </c>
      <c r="H107">
        <v>5</v>
      </c>
      <c r="I107">
        <v>2</v>
      </c>
      <c r="J107">
        <f t="shared" si="0"/>
        <v>0.8</v>
      </c>
      <c r="K107">
        <f t="shared" si="1"/>
        <v>0.40666666666666662</v>
      </c>
      <c r="L107" s="25">
        <f>E107-((E108+E109+E110+E111)/4)</f>
        <v>0.32499999999999973</v>
      </c>
      <c r="M107" s="47">
        <f t="shared" ref="M107:M111" si="18">0.5 + (L107 * 0.09)</f>
        <v>0.52925</v>
      </c>
      <c r="N107">
        <f t="shared" si="3"/>
        <v>1.4</v>
      </c>
      <c r="O107" s="5">
        <f t="shared" si="4"/>
        <v>0.73999999999999988</v>
      </c>
      <c r="P107">
        <v>9</v>
      </c>
      <c r="Q107" s="5">
        <f t="shared" si="11"/>
        <v>0.8</v>
      </c>
      <c r="R107">
        <v>1</v>
      </c>
      <c r="S107">
        <v>1</v>
      </c>
      <c r="T107">
        <v>1</v>
      </c>
      <c r="U107" s="5">
        <f t="shared" si="6"/>
        <v>1</v>
      </c>
      <c r="V107" s="9">
        <v>0</v>
      </c>
      <c r="W107" s="2">
        <v>3</v>
      </c>
      <c r="X107" s="17">
        <f t="shared" si="10"/>
        <v>3.887</v>
      </c>
    </row>
    <row r="108" spans="1:24" x14ac:dyDescent="0.3">
      <c r="A108" s="1">
        <v>46199</v>
      </c>
      <c r="B108">
        <v>24</v>
      </c>
      <c r="C108" t="s">
        <v>5</v>
      </c>
      <c r="D108" t="s">
        <v>90</v>
      </c>
      <c r="E108" s="3">
        <v>2.6</v>
      </c>
      <c r="F108">
        <v>0</v>
      </c>
      <c r="G108">
        <v>2</v>
      </c>
      <c r="H108">
        <v>5</v>
      </c>
      <c r="I108">
        <v>1</v>
      </c>
      <c r="J108">
        <f t="shared" si="0"/>
        <v>-0.2</v>
      </c>
      <c r="K108">
        <f t="shared" si="1"/>
        <v>0.20666666666666664</v>
      </c>
      <c r="L108">
        <f>E108-((E107+E109+E110+E111)/4)</f>
        <v>-0.67500000000000027</v>
      </c>
      <c r="M108" s="48">
        <f t="shared" si="18"/>
        <v>0.43924999999999997</v>
      </c>
      <c r="N108">
        <f t="shared" si="3"/>
        <v>0.96</v>
      </c>
      <c r="O108" s="5">
        <f t="shared" si="4"/>
        <v>0.47599999999999998</v>
      </c>
      <c r="P108">
        <v>9</v>
      </c>
      <c r="Q108" s="5">
        <f t="shared" si="11"/>
        <v>0.25</v>
      </c>
      <c r="R108">
        <v>1</v>
      </c>
      <c r="S108">
        <v>1</v>
      </c>
      <c r="T108">
        <v>1</v>
      </c>
      <c r="U108" s="5">
        <f t="shared" si="6"/>
        <v>1</v>
      </c>
      <c r="V108" s="9">
        <v>0</v>
      </c>
      <c r="W108" s="2">
        <v>2</v>
      </c>
      <c r="X108" s="17">
        <f t="shared" si="10"/>
        <v>2.7115499999999999</v>
      </c>
    </row>
    <row r="109" spans="1:24" x14ac:dyDescent="0.3">
      <c r="A109" s="1">
        <v>46199</v>
      </c>
      <c r="B109">
        <v>24</v>
      </c>
      <c r="C109" t="s">
        <v>3</v>
      </c>
      <c r="D109" t="s">
        <v>39</v>
      </c>
      <c r="E109" s="3">
        <v>3</v>
      </c>
      <c r="F109">
        <v>0</v>
      </c>
      <c r="G109">
        <v>3</v>
      </c>
      <c r="H109">
        <v>5</v>
      </c>
      <c r="I109">
        <v>1</v>
      </c>
      <c r="J109">
        <f t="shared" si="0"/>
        <v>-0.2</v>
      </c>
      <c r="K109">
        <f t="shared" si="1"/>
        <v>0.20666666666666664</v>
      </c>
      <c r="L109">
        <f>E109-((E107+E108+E110+E111)/4)</f>
        <v>-0.17499999999999982</v>
      </c>
      <c r="M109" s="48">
        <f t="shared" si="18"/>
        <v>0.48425000000000001</v>
      </c>
      <c r="N109">
        <f t="shared" si="3"/>
        <v>0.72</v>
      </c>
      <c r="O109" s="5">
        <f t="shared" si="4"/>
        <v>0.33200000000000002</v>
      </c>
      <c r="P109">
        <v>9</v>
      </c>
      <c r="Q109" s="5">
        <f t="shared" si="11"/>
        <v>0.25</v>
      </c>
      <c r="R109">
        <v>1</v>
      </c>
      <c r="S109">
        <v>1</v>
      </c>
      <c r="T109">
        <v>0</v>
      </c>
      <c r="U109" s="5">
        <f t="shared" si="6"/>
        <v>0</v>
      </c>
      <c r="V109" s="9">
        <v>0</v>
      </c>
      <c r="W109" s="2">
        <v>3</v>
      </c>
      <c r="X109" s="17">
        <f t="shared" si="10"/>
        <v>3.49335</v>
      </c>
    </row>
    <row r="110" spans="1:24" x14ac:dyDescent="0.3">
      <c r="A110" s="1">
        <v>46199</v>
      </c>
      <c r="B110">
        <v>24</v>
      </c>
      <c r="C110" t="s">
        <v>2</v>
      </c>
      <c r="D110" t="s">
        <v>52</v>
      </c>
      <c r="E110" s="3">
        <v>3.7</v>
      </c>
      <c r="F110">
        <v>0</v>
      </c>
      <c r="G110">
        <v>4</v>
      </c>
      <c r="H110">
        <v>5</v>
      </c>
      <c r="I110">
        <v>0</v>
      </c>
      <c r="J110">
        <f t="shared" si="0"/>
        <v>-0.2</v>
      </c>
      <c r="K110">
        <f t="shared" si="1"/>
        <v>6.6666666666666654E-3</v>
      </c>
      <c r="L110">
        <f>E110-((E107+E108+E109+E111)/4)</f>
        <v>0.70000000000000018</v>
      </c>
      <c r="M110" s="48">
        <f t="shared" si="18"/>
        <v>0.56300000000000006</v>
      </c>
      <c r="N110">
        <f t="shared" si="3"/>
        <v>0.4</v>
      </c>
      <c r="O110" s="5">
        <f t="shared" si="4"/>
        <v>0.14000000000000001</v>
      </c>
      <c r="P110">
        <v>9</v>
      </c>
      <c r="Q110" s="5">
        <f t="shared" si="11"/>
        <v>0.25</v>
      </c>
      <c r="R110">
        <v>1</v>
      </c>
      <c r="S110">
        <v>2</v>
      </c>
      <c r="T110">
        <v>1</v>
      </c>
      <c r="U110" s="5">
        <f t="shared" si="6"/>
        <v>0.5</v>
      </c>
      <c r="V110" s="9">
        <v>0</v>
      </c>
      <c r="W110" s="2">
        <v>3</v>
      </c>
      <c r="X110" s="17">
        <f t="shared" si="10"/>
        <v>3.52325</v>
      </c>
    </row>
    <row r="111" spans="1:24" x14ac:dyDescent="0.3">
      <c r="A111" s="32">
        <v>46199</v>
      </c>
      <c r="B111" s="7">
        <v>24</v>
      </c>
      <c r="C111" s="7" t="s">
        <v>6</v>
      </c>
      <c r="D111" s="7" t="s">
        <v>111</v>
      </c>
      <c r="E111" s="18">
        <v>3</v>
      </c>
      <c r="F111" s="7">
        <v>0</v>
      </c>
      <c r="G111" s="7">
        <v>5</v>
      </c>
      <c r="H111" s="7">
        <v>5</v>
      </c>
      <c r="I111" s="7">
        <v>0</v>
      </c>
      <c r="J111" s="7">
        <f t="shared" si="0"/>
        <v>-0.2</v>
      </c>
      <c r="K111" s="7">
        <f t="shared" si="1"/>
        <v>6.6666666666666654E-3</v>
      </c>
      <c r="L111" s="7">
        <f>E111-((E107+E108+E109+E110)/4)</f>
        <v>-0.17499999999999982</v>
      </c>
      <c r="M111" s="40">
        <f t="shared" si="18"/>
        <v>0.48425000000000001</v>
      </c>
      <c r="N111" s="7">
        <f t="shared" si="3"/>
        <v>0.2</v>
      </c>
      <c r="O111" s="8">
        <f t="shared" si="4"/>
        <v>2.0000000000000011E-2</v>
      </c>
      <c r="P111" s="7">
        <v>7</v>
      </c>
      <c r="Q111" s="8">
        <f t="shared" si="11"/>
        <v>0.19444444444444445</v>
      </c>
      <c r="R111" s="7">
        <v>1</v>
      </c>
      <c r="S111" s="7">
        <v>1</v>
      </c>
      <c r="T111" s="7">
        <v>0</v>
      </c>
      <c r="U111" s="8">
        <f t="shared" si="6"/>
        <v>0</v>
      </c>
      <c r="V111" s="10">
        <v>0</v>
      </c>
      <c r="W111" s="14">
        <v>3</v>
      </c>
      <c r="X111" s="16">
        <f t="shared" si="10"/>
        <v>3.3900277777777776</v>
      </c>
    </row>
    <row r="112" spans="1:24" x14ac:dyDescent="0.3">
      <c r="A112" s="1">
        <v>46199</v>
      </c>
      <c r="B112">
        <v>25</v>
      </c>
      <c r="C112" t="s">
        <v>5</v>
      </c>
      <c r="D112" t="s">
        <v>11</v>
      </c>
      <c r="E112" s="3">
        <v>2.6</v>
      </c>
      <c r="F112">
        <v>1</v>
      </c>
      <c r="G112">
        <v>1</v>
      </c>
      <c r="H112">
        <v>5</v>
      </c>
      <c r="I112">
        <v>2</v>
      </c>
      <c r="J112">
        <f>F112-(1/H112)</f>
        <v>0.8</v>
      </c>
      <c r="K112">
        <f>((I112-((H112-1)/H112))-(-5/6))/((5-(5/6))-(-5/6))</f>
        <v>0.40666666666666662</v>
      </c>
      <c r="L112" s="25">
        <f>E112-((E113+E114+E115+E116)/4)</f>
        <v>-1.0249999999999999</v>
      </c>
      <c r="M112" s="47">
        <f t="shared" ref="M112:M116" si="19">0.5 + (L112 * 0.09)</f>
        <v>0.40775</v>
      </c>
      <c r="N112">
        <f>((H112-(G112-1))/H112)*(IF(I112&lt;&gt;0,(I112+H112)/H112,1))</f>
        <v>1.4</v>
      </c>
      <c r="O112" s="5">
        <f>(N112-(1/6))/(10/6)</f>
        <v>0.73999999999999988</v>
      </c>
      <c r="P112">
        <v>9</v>
      </c>
      <c r="Q112" s="5">
        <f>IF(F112=1,(((1-((P112-3)/15))*0.5)+0.5),((P112/18)*0.5))</f>
        <v>0.8</v>
      </c>
      <c r="R112">
        <v>1</v>
      </c>
      <c r="S112">
        <v>0</v>
      </c>
      <c r="T112">
        <v>0</v>
      </c>
      <c r="U112" s="5">
        <f>IFERROR(T112/S112, 1)</f>
        <v>1</v>
      </c>
      <c r="V112" s="9">
        <v>0</v>
      </c>
      <c r="W112" s="2">
        <v>2</v>
      </c>
      <c r="X112" s="17">
        <f>((O112*0.3)+(Q112*0.175)+(R112*0.175)+(U112*0.175)+((1-V112)*0.175))+W112</f>
        <v>2.887</v>
      </c>
    </row>
    <row r="113" spans="1:24" x14ac:dyDescent="0.3">
      <c r="A113" s="1">
        <v>46199</v>
      </c>
      <c r="B113">
        <v>25</v>
      </c>
      <c r="C113" t="s">
        <v>6</v>
      </c>
      <c r="D113" t="s">
        <v>111</v>
      </c>
      <c r="E113" s="3">
        <v>3.4</v>
      </c>
      <c r="F113">
        <v>0</v>
      </c>
      <c r="G113">
        <v>2</v>
      </c>
      <c r="H113">
        <v>5</v>
      </c>
      <c r="I113">
        <v>1</v>
      </c>
      <c r="J113">
        <f>F113-(1/H113)</f>
        <v>-0.2</v>
      </c>
      <c r="K113">
        <f>((I113-((H113-1)/H113))-(-5/6))/((5-(5/6))-(-5/6))</f>
        <v>0.20666666666666664</v>
      </c>
      <c r="L113">
        <f>E113-((E112+E114+E115+E116)/4)</f>
        <v>-2.4999999999999911E-2</v>
      </c>
      <c r="M113" s="48">
        <f t="shared" si="19"/>
        <v>0.49775000000000003</v>
      </c>
      <c r="N113">
        <f>((H113-(G113-1))/H113)*(IF(I113&lt;&gt;0,(I113+H113)/H113,1))</f>
        <v>0.96</v>
      </c>
      <c r="O113" s="5">
        <f>(N113-(1/6))/(10/6)</f>
        <v>0.47599999999999998</v>
      </c>
      <c r="P113">
        <v>9</v>
      </c>
      <c r="Q113" s="5">
        <f>IF(F113=1,(((1-((P113-3)/15))*0.5)+0.5),((P113/18)*0.5))</f>
        <v>0.25</v>
      </c>
      <c r="R113">
        <v>1</v>
      </c>
      <c r="S113">
        <v>1</v>
      </c>
      <c r="T113">
        <v>1</v>
      </c>
      <c r="U113" s="5">
        <f>IFERROR(T113/S113, 1)</f>
        <v>1</v>
      </c>
      <c r="V113" s="9">
        <v>0</v>
      </c>
      <c r="W113" s="2">
        <v>3</v>
      </c>
      <c r="X113" s="17">
        <f>((O113*0.3)+(Q113*0.175)+(R113*0.175)+(U113*0.175)+((1-V113)*0.175))+W113</f>
        <v>3.7115499999999999</v>
      </c>
    </row>
    <row r="114" spans="1:24" x14ac:dyDescent="0.3">
      <c r="A114" s="1">
        <v>46199</v>
      </c>
      <c r="B114">
        <v>25</v>
      </c>
      <c r="C114" t="s">
        <v>2</v>
      </c>
      <c r="D114" t="s">
        <v>110</v>
      </c>
      <c r="E114" s="3">
        <v>3.7</v>
      </c>
      <c r="F114">
        <v>0</v>
      </c>
      <c r="G114">
        <v>2</v>
      </c>
      <c r="H114">
        <v>5</v>
      </c>
      <c r="I114">
        <v>0</v>
      </c>
      <c r="J114">
        <f>F114-(1/H114)</f>
        <v>-0.2</v>
      </c>
      <c r="K114">
        <f>((I114-((H114-1)/H114))-(-5/6))/((5-(5/6))-(-5/6))</f>
        <v>6.6666666666666654E-3</v>
      </c>
      <c r="L114">
        <f>E114-((E112+E113+E115+E116)/4)</f>
        <v>0.35000000000000053</v>
      </c>
      <c r="M114" s="48">
        <f t="shared" si="19"/>
        <v>0.53150000000000008</v>
      </c>
      <c r="N114">
        <f>((H114-(G114-1))/H114)*(IF(I114&lt;&gt;0,(I114+H114)/H114,1))</f>
        <v>0.8</v>
      </c>
      <c r="O114" s="5">
        <f>(N114-(1/6))/(10/6)</f>
        <v>0.38</v>
      </c>
      <c r="P114">
        <v>9</v>
      </c>
      <c r="Q114" s="5">
        <f>IF(F114=1,(((1-((P114-3)/15))*0.5)+0.5),((P114/18)*0.5))</f>
        <v>0.25</v>
      </c>
      <c r="R114">
        <v>1</v>
      </c>
      <c r="S114">
        <v>0</v>
      </c>
      <c r="T114">
        <v>0</v>
      </c>
      <c r="U114" s="5">
        <f>IFERROR(T114/S114, 1)</f>
        <v>1</v>
      </c>
      <c r="V114" s="9">
        <v>0</v>
      </c>
      <c r="W114" s="2">
        <v>3</v>
      </c>
      <c r="X114" s="17">
        <f>((O114*0.3)+(Q114*0.175)+(R114*0.175)+(U114*0.175)+((1-V114)*0.175))+W114</f>
        <v>3.68275</v>
      </c>
    </row>
    <row r="115" spans="1:24" x14ac:dyDescent="0.3">
      <c r="A115" s="1">
        <v>46199</v>
      </c>
      <c r="B115">
        <v>25</v>
      </c>
      <c r="C115" t="s">
        <v>3</v>
      </c>
      <c r="D115" t="s">
        <v>86</v>
      </c>
      <c r="E115" s="3">
        <v>3.7</v>
      </c>
      <c r="F115">
        <v>0</v>
      </c>
      <c r="G115">
        <v>3</v>
      </c>
      <c r="H115">
        <v>5</v>
      </c>
      <c r="I115">
        <v>0</v>
      </c>
      <c r="J115">
        <f>F115-(1/H115)</f>
        <v>-0.2</v>
      </c>
      <c r="K115">
        <f>((I115-((H115-1)/H115))-(-5/6))/((5-(5/6))-(-5/6))</f>
        <v>6.6666666666666654E-3</v>
      </c>
      <c r="L115">
        <f>E115-((E112+E113+E114+E116)/4)</f>
        <v>0.35000000000000053</v>
      </c>
      <c r="M115" s="48">
        <f t="shared" si="19"/>
        <v>0.53150000000000008</v>
      </c>
      <c r="N115">
        <f>((H115-(G115-1))/H115)*(IF(I115&lt;&gt;0,(I115+H115)/H115,1))</f>
        <v>0.6</v>
      </c>
      <c r="O115" s="5">
        <f>(N115-(1/6))/(10/6)</f>
        <v>0.26</v>
      </c>
      <c r="P115">
        <v>9</v>
      </c>
      <c r="Q115" s="5">
        <f>IF(F115=1,(((1-((P115-3)/15))*0.5)+0.5),((P115/18)*0.5))</f>
        <v>0.25</v>
      </c>
      <c r="R115">
        <v>1</v>
      </c>
      <c r="S115">
        <v>0</v>
      </c>
      <c r="T115">
        <v>0</v>
      </c>
      <c r="U115" s="5">
        <f>IFERROR(T115/S115, 1)</f>
        <v>1</v>
      </c>
      <c r="V115" s="9">
        <v>0</v>
      </c>
      <c r="W115" s="2">
        <v>3</v>
      </c>
      <c r="X115" s="17">
        <f>((O115*0.3)+(Q115*0.175)+(R115*0.175)+(U115*0.175)+((1-V115)*0.175))+W115</f>
        <v>3.6467499999999999</v>
      </c>
    </row>
    <row r="116" spans="1:24" x14ac:dyDescent="0.3">
      <c r="A116" s="32">
        <v>46199</v>
      </c>
      <c r="B116" s="7">
        <v>25</v>
      </c>
      <c r="C116" s="7" t="s">
        <v>87</v>
      </c>
      <c r="D116" s="7" t="s">
        <v>71</v>
      </c>
      <c r="E116" s="18">
        <v>3.7</v>
      </c>
      <c r="F116" s="7">
        <v>0</v>
      </c>
      <c r="G116" s="7">
        <v>4</v>
      </c>
      <c r="H116" s="7">
        <v>5</v>
      </c>
      <c r="I116" s="7">
        <v>0</v>
      </c>
      <c r="J116" s="7">
        <f>F116-(1/H116)</f>
        <v>-0.2</v>
      </c>
      <c r="K116" s="7">
        <f>((I116-((H116-1)/H116))-(-5/6))/((5-(5/6))-(-5/6))</f>
        <v>6.6666666666666654E-3</v>
      </c>
      <c r="L116" s="7">
        <f>E116-((E112+E113+E114+E115)/4)</f>
        <v>0.35000000000000053</v>
      </c>
      <c r="M116" s="40">
        <f t="shared" si="19"/>
        <v>0.53150000000000008</v>
      </c>
      <c r="N116" s="7">
        <f>((H116-(G116-1))/H116)*(IF(I116&lt;&gt;0,(I116+H116)/H116,1))</f>
        <v>0.4</v>
      </c>
      <c r="O116" s="8">
        <f>(N116-(1/6))/(10/6)</f>
        <v>0.14000000000000001</v>
      </c>
      <c r="P116" s="7">
        <v>8</v>
      </c>
      <c r="Q116" s="8">
        <f>IF(F116=1,(((1-((P116-3)/15))*0.5)+0.5),((P116/18)*0.5))</f>
        <v>0.22222222222222221</v>
      </c>
      <c r="R116" s="7">
        <v>0</v>
      </c>
      <c r="S116" s="7">
        <v>0</v>
      </c>
      <c r="T116" s="7">
        <v>0</v>
      </c>
      <c r="U116" s="8">
        <f>IFERROR(T116/S116, 1)</f>
        <v>1</v>
      </c>
      <c r="V116" s="10">
        <v>0</v>
      </c>
      <c r="W116" s="14">
        <v>3</v>
      </c>
      <c r="X116" s="16">
        <f>((O116*0.3)+(Q116*0.175)+(R116*0.175)+(U116*0.175)+((1-V116)*0.175))+W116</f>
        <v>3.4308888888888891</v>
      </c>
    </row>
  </sheetData>
  <autoFilter ref="A2:X34" xr:uid="{98ECB1FE-D6B6-4641-9D1A-4D13516E174C}"/>
  <mergeCells count="4">
    <mergeCell ref="A1:E1"/>
    <mergeCell ref="P1:Q1"/>
    <mergeCell ref="S1:U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96C0-C612-4EBD-A352-78B3E140686A}">
  <dimension ref="A1:X116"/>
  <sheetViews>
    <sheetView topLeftCell="A36" zoomScale="96" workbookViewId="0">
      <selection activeCell="D55" sqref="D55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19" customWidth="1"/>
    <col min="24" max="24" width="26.77734375" bestFit="1" customWidth="1"/>
  </cols>
  <sheetData>
    <row r="1" spans="1:24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60" t="s">
        <v>33</v>
      </c>
      <c r="X1" s="61"/>
    </row>
    <row r="2" spans="1:24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94</v>
      </c>
      <c r="X2" s="15" t="s">
        <v>33</v>
      </c>
    </row>
    <row r="3" spans="1:24" x14ac:dyDescent="0.3">
      <c r="A3" s="1">
        <v>46204</v>
      </c>
      <c r="B3">
        <v>1</v>
      </c>
      <c r="C3" t="s">
        <v>5</v>
      </c>
      <c r="D3" t="s">
        <v>11</v>
      </c>
      <c r="E3" s="3">
        <v>2.9</v>
      </c>
      <c r="F3">
        <v>0</v>
      </c>
      <c r="G3">
        <v>2</v>
      </c>
      <c r="H3">
        <v>5</v>
      </c>
      <c r="I3">
        <v>0</v>
      </c>
      <c r="J3">
        <f t="shared" ref="J3:J50" si="0">F3-(1/H3)</f>
        <v>-0.2</v>
      </c>
      <c r="K3">
        <f t="shared" ref="K3:K50" si="1">((I3-((H3-1)/H3))-(-5/6))/((5-(5/6))-(-5/6))</f>
        <v>6.6666666666666654E-3</v>
      </c>
      <c r="L3" s="25">
        <f>E3-((E4+E5+E6+E7)/4)</f>
        <v>-0.35000000000000009</v>
      </c>
      <c r="M3" s="47">
        <f t="shared" ref="M3:M11" si="2">0.5 + (L3 * 0.09)</f>
        <v>0.46849999999999997</v>
      </c>
      <c r="N3">
        <f t="shared" ref="N3:N50" si="3">((H3-(G3-1))/H3)*(IF(I3&lt;&gt;0,(I3+H3)/H3,1))</f>
        <v>0.8</v>
      </c>
      <c r="O3" s="5">
        <f t="shared" ref="O3:O50" si="4">(N3-(1/6))/(10/6)</f>
        <v>0.38</v>
      </c>
      <c r="P3">
        <v>10</v>
      </c>
      <c r="Q3" s="5">
        <f t="shared" ref="Q3:Q50" si="5">IF(F3=1,(((1-((P3-3)/15))*0.5)+0.5),((P3/18)*0.5))</f>
        <v>0.27777777777777779</v>
      </c>
      <c r="R3">
        <v>0</v>
      </c>
      <c r="S3">
        <v>1</v>
      </c>
      <c r="T3">
        <v>1</v>
      </c>
      <c r="U3" s="5">
        <f t="shared" ref="U3:U50" si="6">IFERROR(T3/S3, 1)</f>
        <v>1</v>
      </c>
      <c r="V3" s="49">
        <v>0</v>
      </c>
      <c r="W3">
        <v>2</v>
      </c>
      <c r="X3" s="17">
        <f t="shared" ref="X3:X50" si="7">((O3*0.3)+(Q3*0.175)+(R3*0.175)+(U3*0.175)+((1-V3)*0.175))+W3</f>
        <v>2.5126111111111111</v>
      </c>
    </row>
    <row r="4" spans="1:24" x14ac:dyDescent="0.3">
      <c r="A4" s="1">
        <v>46204</v>
      </c>
      <c r="B4">
        <v>1</v>
      </c>
      <c r="C4" t="s">
        <v>6</v>
      </c>
      <c r="D4" t="s">
        <v>111</v>
      </c>
      <c r="E4" s="3">
        <v>3.7</v>
      </c>
      <c r="F4">
        <v>0</v>
      </c>
      <c r="G4">
        <v>2</v>
      </c>
      <c r="H4">
        <v>5</v>
      </c>
      <c r="I4">
        <v>0</v>
      </c>
      <c r="J4">
        <f t="shared" si="0"/>
        <v>-0.2</v>
      </c>
      <c r="K4">
        <f t="shared" si="1"/>
        <v>6.6666666666666654E-3</v>
      </c>
      <c r="L4">
        <f>E4-((E3+E5+E6+E7)/4)</f>
        <v>0.64999999999999991</v>
      </c>
      <c r="M4" s="48">
        <f t="shared" si="2"/>
        <v>0.5585</v>
      </c>
      <c r="N4">
        <f t="shared" si="3"/>
        <v>0.8</v>
      </c>
      <c r="O4" s="5">
        <f t="shared" si="4"/>
        <v>0.38</v>
      </c>
      <c r="P4">
        <v>10</v>
      </c>
      <c r="Q4" s="5">
        <f t="shared" si="5"/>
        <v>0.27777777777777779</v>
      </c>
      <c r="R4">
        <v>1</v>
      </c>
      <c r="S4">
        <v>1</v>
      </c>
      <c r="T4">
        <v>1</v>
      </c>
      <c r="U4" s="5">
        <f t="shared" si="6"/>
        <v>1</v>
      </c>
      <c r="V4" s="9">
        <v>0</v>
      </c>
      <c r="W4">
        <v>3</v>
      </c>
      <c r="X4" s="17">
        <f t="shared" si="7"/>
        <v>3.687611111111111</v>
      </c>
    </row>
    <row r="5" spans="1:24" x14ac:dyDescent="0.3">
      <c r="A5" s="1">
        <v>46204</v>
      </c>
      <c r="B5">
        <v>1</v>
      </c>
      <c r="C5" t="s">
        <v>3</v>
      </c>
      <c r="D5" t="s">
        <v>113</v>
      </c>
      <c r="E5" s="3">
        <v>2</v>
      </c>
      <c r="F5">
        <v>0</v>
      </c>
      <c r="G5">
        <v>2</v>
      </c>
      <c r="H5">
        <v>5</v>
      </c>
      <c r="I5">
        <v>0</v>
      </c>
      <c r="J5">
        <f t="shared" si="0"/>
        <v>-0.2</v>
      </c>
      <c r="K5">
        <f t="shared" si="1"/>
        <v>6.6666666666666654E-3</v>
      </c>
      <c r="L5">
        <f>E5-((E3+E4+E6+E7)/4)</f>
        <v>-1.4750000000000001</v>
      </c>
      <c r="M5" s="48">
        <f t="shared" si="2"/>
        <v>0.36724999999999997</v>
      </c>
      <c r="N5">
        <f t="shared" si="3"/>
        <v>0.8</v>
      </c>
      <c r="O5" s="5">
        <f t="shared" si="4"/>
        <v>0.38</v>
      </c>
      <c r="P5">
        <v>10</v>
      </c>
      <c r="Q5" s="5">
        <f t="shared" si="5"/>
        <v>0.27777777777777779</v>
      </c>
      <c r="R5">
        <v>1</v>
      </c>
      <c r="S5">
        <v>0</v>
      </c>
      <c r="T5">
        <v>0</v>
      </c>
      <c r="U5" s="5">
        <f t="shared" si="6"/>
        <v>1</v>
      </c>
      <c r="V5" s="9">
        <v>0</v>
      </c>
      <c r="W5">
        <v>2</v>
      </c>
      <c r="X5" s="17">
        <f t="shared" si="7"/>
        <v>2.687611111111111</v>
      </c>
    </row>
    <row r="6" spans="1:24" x14ac:dyDescent="0.3">
      <c r="A6" s="1">
        <v>46204</v>
      </c>
      <c r="B6">
        <v>1</v>
      </c>
      <c r="C6" t="s">
        <v>2</v>
      </c>
      <c r="D6" t="s">
        <v>37</v>
      </c>
      <c r="E6" s="3">
        <v>3.9</v>
      </c>
      <c r="F6">
        <v>1</v>
      </c>
      <c r="G6">
        <v>1</v>
      </c>
      <c r="H6">
        <v>5</v>
      </c>
      <c r="I6">
        <v>4</v>
      </c>
      <c r="J6">
        <f t="shared" si="0"/>
        <v>0.8</v>
      </c>
      <c r="K6">
        <f t="shared" si="1"/>
        <v>0.80666666666666664</v>
      </c>
      <c r="L6">
        <f>E6-((E3+E4+E5+E7)/4)</f>
        <v>0.89999999999999991</v>
      </c>
      <c r="M6" s="48">
        <f t="shared" si="2"/>
        <v>0.58099999999999996</v>
      </c>
      <c r="N6">
        <f t="shared" si="3"/>
        <v>1.8</v>
      </c>
      <c r="O6" s="5">
        <f t="shared" si="4"/>
        <v>0.98</v>
      </c>
      <c r="P6">
        <v>10</v>
      </c>
      <c r="Q6" s="5">
        <f t="shared" si="5"/>
        <v>0.76666666666666661</v>
      </c>
      <c r="R6">
        <v>1</v>
      </c>
      <c r="S6">
        <v>1</v>
      </c>
      <c r="T6">
        <v>0</v>
      </c>
      <c r="U6" s="5">
        <f t="shared" si="6"/>
        <v>0</v>
      </c>
      <c r="V6" s="9">
        <v>0</v>
      </c>
      <c r="W6">
        <v>3</v>
      </c>
      <c r="X6" s="17">
        <f t="shared" si="7"/>
        <v>3.7781666666666665</v>
      </c>
    </row>
    <row r="7" spans="1:24" x14ac:dyDescent="0.3">
      <c r="A7" s="32">
        <v>46204</v>
      </c>
      <c r="B7" s="7">
        <v>1</v>
      </c>
      <c r="C7" s="7" t="s">
        <v>87</v>
      </c>
      <c r="D7" s="7" t="s">
        <v>71</v>
      </c>
      <c r="E7" s="18">
        <v>3.4</v>
      </c>
      <c r="F7" s="7">
        <v>0</v>
      </c>
      <c r="G7" s="7">
        <v>2</v>
      </c>
      <c r="H7" s="7">
        <v>5</v>
      </c>
      <c r="I7" s="7">
        <v>0</v>
      </c>
      <c r="J7" s="7">
        <f t="shared" si="0"/>
        <v>-0.2</v>
      </c>
      <c r="K7" s="7">
        <f t="shared" si="1"/>
        <v>6.6666666666666654E-3</v>
      </c>
      <c r="L7" s="7">
        <f>E7-((E3+E4+E5+E6)/4)</f>
        <v>0.27499999999999991</v>
      </c>
      <c r="M7" s="40">
        <f t="shared" si="2"/>
        <v>0.52474999999999994</v>
      </c>
      <c r="N7" s="7">
        <f t="shared" si="3"/>
        <v>0.8</v>
      </c>
      <c r="O7" s="8">
        <f t="shared" si="4"/>
        <v>0.38</v>
      </c>
      <c r="P7" s="7">
        <v>10</v>
      </c>
      <c r="Q7" s="8">
        <f t="shared" si="5"/>
        <v>0.27777777777777779</v>
      </c>
      <c r="R7" s="7">
        <v>0</v>
      </c>
      <c r="S7" s="7">
        <v>2</v>
      </c>
      <c r="T7" s="7">
        <v>0</v>
      </c>
      <c r="U7" s="8">
        <f t="shared" si="6"/>
        <v>0</v>
      </c>
      <c r="V7" s="10">
        <v>0</v>
      </c>
      <c r="W7" s="14">
        <v>3</v>
      </c>
      <c r="X7" s="16">
        <f t="shared" si="7"/>
        <v>3.3376111111111113</v>
      </c>
    </row>
    <row r="8" spans="1:24" x14ac:dyDescent="0.3">
      <c r="A8" s="1">
        <v>46206</v>
      </c>
      <c r="B8">
        <v>2</v>
      </c>
      <c r="C8" t="s">
        <v>6</v>
      </c>
      <c r="D8" t="s">
        <v>45</v>
      </c>
      <c r="E8" s="3">
        <v>3</v>
      </c>
      <c r="F8">
        <v>1</v>
      </c>
      <c r="G8">
        <v>1</v>
      </c>
      <c r="H8">
        <v>4</v>
      </c>
      <c r="I8">
        <v>3</v>
      </c>
      <c r="J8">
        <f t="shared" si="0"/>
        <v>0.75</v>
      </c>
      <c r="K8">
        <f t="shared" si="1"/>
        <v>0.6166666666666667</v>
      </c>
      <c r="L8">
        <f>E8-((E9+E10+E11)/3)</f>
        <v>0</v>
      </c>
      <c r="M8" s="36">
        <f>0.5 + (L8 * 0.09)</f>
        <v>0.5</v>
      </c>
      <c r="N8">
        <f t="shared" si="3"/>
        <v>1.75</v>
      </c>
      <c r="O8" s="5">
        <f t="shared" si="4"/>
        <v>0.95</v>
      </c>
      <c r="P8">
        <v>8</v>
      </c>
      <c r="Q8" s="5">
        <f t="shared" si="5"/>
        <v>0.83333333333333337</v>
      </c>
      <c r="R8">
        <v>1</v>
      </c>
      <c r="S8">
        <v>0</v>
      </c>
      <c r="T8">
        <v>0</v>
      </c>
      <c r="U8" s="5">
        <f t="shared" si="6"/>
        <v>1</v>
      </c>
      <c r="V8" s="9">
        <v>0</v>
      </c>
      <c r="W8" s="2">
        <v>3</v>
      </c>
      <c r="X8" s="56">
        <f t="shared" si="7"/>
        <v>3.9558333333333335</v>
      </c>
    </row>
    <row r="9" spans="1:24" x14ac:dyDescent="0.3">
      <c r="A9" s="1">
        <v>46206</v>
      </c>
      <c r="B9">
        <v>2</v>
      </c>
      <c r="C9" t="s">
        <v>49</v>
      </c>
      <c r="D9" t="s">
        <v>50</v>
      </c>
      <c r="E9" s="3">
        <v>2.7</v>
      </c>
      <c r="F9">
        <v>0</v>
      </c>
      <c r="G9">
        <v>2</v>
      </c>
      <c r="H9">
        <v>4</v>
      </c>
      <c r="I9">
        <v>0</v>
      </c>
      <c r="J9">
        <f t="shared" si="0"/>
        <v>-0.25</v>
      </c>
      <c r="K9">
        <f t="shared" si="1"/>
        <v>1.6666666666666673E-2</v>
      </c>
      <c r="L9">
        <f>E9-((E8+E10+E11)/3)</f>
        <v>-0.39999999999999991</v>
      </c>
      <c r="M9" s="36">
        <f t="shared" si="2"/>
        <v>0.46400000000000002</v>
      </c>
      <c r="N9">
        <f t="shared" si="3"/>
        <v>0.75</v>
      </c>
      <c r="O9" s="5">
        <f t="shared" si="4"/>
        <v>0.35000000000000003</v>
      </c>
      <c r="P9">
        <v>8</v>
      </c>
      <c r="Q9" s="5">
        <f t="shared" si="5"/>
        <v>0.22222222222222221</v>
      </c>
      <c r="R9">
        <v>1</v>
      </c>
      <c r="S9">
        <v>0</v>
      </c>
      <c r="T9">
        <v>0</v>
      </c>
      <c r="U9" s="5">
        <f t="shared" si="6"/>
        <v>1</v>
      </c>
      <c r="V9" s="9">
        <v>0</v>
      </c>
      <c r="W9" s="2">
        <v>2</v>
      </c>
      <c r="X9" s="17">
        <f t="shared" si="7"/>
        <v>2.6688888888888886</v>
      </c>
    </row>
    <row r="10" spans="1:24" x14ac:dyDescent="0.3">
      <c r="A10" s="1">
        <v>46206</v>
      </c>
      <c r="B10">
        <v>2</v>
      </c>
      <c r="C10" t="s">
        <v>5</v>
      </c>
      <c r="D10" t="s">
        <v>90</v>
      </c>
      <c r="E10" s="3">
        <v>2.7</v>
      </c>
      <c r="F10">
        <v>0</v>
      </c>
      <c r="G10">
        <v>2</v>
      </c>
      <c r="H10">
        <v>4</v>
      </c>
      <c r="I10">
        <v>0</v>
      </c>
      <c r="J10">
        <f t="shared" si="0"/>
        <v>-0.25</v>
      </c>
      <c r="K10">
        <f t="shared" si="1"/>
        <v>1.6666666666666673E-2</v>
      </c>
      <c r="L10">
        <f>E10-((E8+E9+E11)/3)</f>
        <v>-0.39999999999999991</v>
      </c>
      <c r="M10" s="36">
        <f t="shared" si="2"/>
        <v>0.46400000000000002</v>
      </c>
      <c r="N10">
        <f t="shared" si="3"/>
        <v>0.75</v>
      </c>
      <c r="O10" s="5">
        <f t="shared" si="4"/>
        <v>0.35000000000000003</v>
      </c>
      <c r="P10">
        <v>8</v>
      </c>
      <c r="Q10" s="5">
        <f t="shared" si="5"/>
        <v>0.22222222222222221</v>
      </c>
      <c r="R10">
        <v>0</v>
      </c>
      <c r="S10">
        <v>0</v>
      </c>
      <c r="T10">
        <v>0</v>
      </c>
      <c r="U10" s="5">
        <f t="shared" si="6"/>
        <v>1</v>
      </c>
      <c r="V10" s="9">
        <v>0</v>
      </c>
      <c r="W10" s="2">
        <v>2</v>
      </c>
      <c r="X10" s="17">
        <f t="shared" si="7"/>
        <v>2.4938888888888888</v>
      </c>
    </row>
    <row r="11" spans="1:24" x14ac:dyDescent="0.3">
      <c r="A11" s="32">
        <v>46206</v>
      </c>
      <c r="B11" s="7">
        <v>2</v>
      </c>
      <c r="C11" s="7" t="s">
        <v>3</v>
      </c>
      <c r="D11" s="7" t="s">
        <v>86</v>
      </c>
      <c r="E11" s="18">
        <v>3.6</v>
      </c>
      <c r="F11" s="7">
        <v>0</v>
      </c>
      <c r="G11" s="7">
        <v>2</v>
      </c>
      <c r="H11" s="7">
        <v>4</v>
      </c>
      <c r="I11" s="7">
        <v>0</v>
      </c>
      <c r="J11" s="7">
        <f t="shared" si="0"/>
        <v>-0.25</v>
      </c>
      <c r="K11" s="7">
        <f t="shared" si="1"/>
        <v>1.6666666666666673E-2</v>
      </c>
      <c r="L11" s="7">
        <f>E11-((E8+E9+E10)/3)</f>
        <v>0.79999999999999982</v>
      </c>
      <c r="M11" s="40">
        <f t="shared" si="2"/>
        <v>0.57199999999999995</v>
      </c>
      <c r="N11" s="7">
        <f t="shared" si="3"/>
        <v>0.75</v>
      </c>
      <c r="O11" s="8">
        <f t="shared" si="4"/>
        <v>0.35000000000000003</v>
      </c>
      <c r="P11" s="7">
        <v>8</v>
      </c>
      <c r="Q11" s="8">
        <f t="shared" si="5"/>
        <v>0.22222222222222221</v>
      </c>
      <c r="R11" s="7">
        <v>0</v>
      </c>
      <c r="S11" s="7">
        <v>0</v>
      </c>
      <c r="T11" s="7">
        <v>0</v>
      </c>
      <c r="U11" s="8">
        <f t="shared" si="6"/>
        <v>1</v>
      </c>
      <c r="V11" s="10">
        <v>1</v>
      </c>
      <c r="W11" s="14">
        <v>3</v>
      </c>
      <c r="X11" s="16">
        <f t="shared" si="7"/>
        <v>3.318888888888889</v>
      </c>
    </row>
    <row r="12" spans="1:24" x14ac:dyDescent="0.3">
      <c r="A12" s="1">
        <v>46206</v>
      </c>
      <c r="B12">
        <v>3</v>
      </c>
      <c r="C12" t="s">
        <v>5</v>
      </c>
      <c r="D12" t="s">
        <v>90</v>
      </c>
      <c r="E12" s="3">
        <v>2.5</v>
      </c>
      <c r="F12">
        <v>1</v>
      </c>
      <c r="G12">
        <v>1</v>
      </c>
      <c r="H12">
        <v>4</v>
      </c>
      <c r="I12">
        <v>1</v>
      </c>
      <c r="J12">
        <f t="shared" si="0"/>
        <v>0.75</v>
      </c>
      <c r="K12">
        <f t="shared" si="1"/>
        <v>0.2166666666666667</v>
      </c>
      <c r="L12">
        <f>E12-((E13+E14+E15)/3)</f>
        <v>-0.80000000000000027</v>
      </c>
      <c r="M12" s="36">
        <f>0.5 + (L12 * 0.09)</f>
        <v>0.42799999999999999</v>
      </c>
      <c r="N12">
        <f t="shared" si="3"/>
        <v>1.25</v>
      </c>
      <c r="O12" s="5">
        <f t="shared" si="4"/>
        <v>0.64999999999999991</v>
      </c>
      <c r="P12">
        <v>9</v>
      </c>
      <c r="Q12" s="5">
        <f t="shared" si="5"/>
        <v>0.8</v>
      </c>
      <c r="R12">
        <v>1</v>
      </c>
      <c r="S12">
        <v>0</v>
      </c>
      <c r="T12">
        <v>0</v>
      </c>
      <c r="U12" s="5">
        <f t="shared" si="6"/>
        <v>1</v>
      </c>
      <c r="V12" s="9">
        <v>0</v>
      </c>
      <c r="W12" s="2">
        <v>2</v>
      </c>
      <c r="X12" s="56">
        <f t="shared" si="7"/>
        <v>2.8600000000000003</v>
      </c>
    </row>
    <row r="13" spans="1:24" x14ac:dyDescent="0.3">
      <c r="A13" s="1">
        <v>46206</v>
      </c>
      <c r="B13">
        <v>3</v>
      </c>
      <c r="C13" t="s">
        <v>3</v>
      </c>
      <c r="D13" t="s">
        <v>86</v>
      </c>
      <c r="E13" s="3">
        <v>3.3</v>
      </c>
      <c r="F13">
        <v>0</v>
      </c>
      <c r="G13">
        <v>2</v>
      </c>
      <c r="H13">
        <v>4</v>
      </c>
      <c r="I13">
        <v>1</v>
      </c>
      <c r="J13">
        <f t="shared" si="0"/>
        <v>-0.25</v>
      </c>
      <c r="K13">
        <f t="shared" si="1"/>
        <v>0.2166666666666667</v>
      </c>
      <c r="L13">
        <f>E13-((E12+E14+E15)/3)</f>
        <v>0.26666666666666661</v>
      </c>
      <c r="M13" s="36">
        <f t="shared" ref="M13:M18" si="8">0.5 + (L13 * 0.09)</f>
        <v>0.52400000000000002</v>
      </c>
      <c r="N13">
        <f t="shared" si="3"/>
        <v>0.9375</v>
      </c>
      <c r="O13" s="5">
        <f t="shared" si="4"/>
        <v>0.46250000000000002</v>
      </c>
      <c r="P13">
        <v>9</v>
      </c>
      <c r="Q13" s="5">
        <f t="shared" si="5"/>
        <v>0.25</v>
      </c>
      <c r="R13">
        <v>0</v>
      </c>
      <c r="S13">
        <v>0</v>
      </c>
      <c r="T13">
        <v>0</v>
      </c>
      <c r="U13" s="5">
        <f t="shared" si="6"/>
        <v>1</v>
      </c>
      <c r="V13" s="9">
        <v>1</v>
      </c>
      <c r="W13" s="2">
        <v>3</v>
      </c>
      <c r="X13" s="17">
        <f t="shared" si="7"/>
        <v>3.3574999999999999</v>
      </c>
    </row>
    <row r="14" spans="1:24" x14ac:dyDescent="0.3">
      <c r="A14" s="1">
        <v>46206</v>
      </c>
      <c r="B14">
        <v>3</v>
      </c>
      <c r="C14" t="s">
        <v>49</v>
      </c>
      <c r="D14" t="s">
        <v>50</v>
      </c>
      <c r="E14" s="3">
        <v>2.7</v>
      </c>
      <c r="F14">
        <v>0</v>
      </c>
      <c r="G14">
        <v>3</v>
      </c>
      <c r="H14">
        <v>4</v>
      </c>
      <c r="I14">
        <v>1</v>
      </c>
      <c r="J14">
        <f t="shared" si="0"/>
        <v>-0.25</v>
      </c>
      <c r="K14">
        <f t="shared" si="1"/>
        <v>0.2166666666666667</v>
      </c>
      <c r="L14">
        <f>E14-((E12+E13+E15)/3)</f>
        <v>-0.53333333333333277</v>
      </c>
      <c r="M14" s="36">
        <f t="shared" si="8"/>
        <v>0.45200000000000007</v>
      </c>
      <c r="N14">
        <f t="shared" si="3"/>
        <v>0.625</v>
      </c>
      <c r="O14" s="5">
        <f t="shared" si="4"/>
        <v>0.27500000000000002</v>
      </c>
      <c r="P14">
        <v>8</v>
      </c>
      <c r="Q14" s="5">
        <f t="shared" si="5"/>
        <v>0.22222222222222221</v>
      </c>
      <c r="R14">
        <v>1</v>
      </c>
      <c r="S14">
        <v>1</v>
      </c>
      <c r="T14">
        <v>0</v>
      </c>
      <c r="U14" s="5">
        <f t="shared" si="6"/>
        <v>0</v>
      </c>
      <c r="V14" s="9">
        <v>0</v>
      </c>
      <c r="W14" s="2">
        <v>2</v>
      </c>
      <c r="X14" s="17">
        <f t="shared" si="7"/>
        <v>2.4713888888888889</v>
      </c>
    </row>
    <row r="15" spans="1:24" x14ac:dyDescent="0.3">
      <c r="A15" s="32">
        <v>46206</v>
      </c>
      <c r="B15" s="7">
        <v>3</v>
      </c>
      <c r="C15" s="7" t="s">
        <v>6</v>
      </c>
      <c r="D15" s="7" t="s">
        <v>23</v>
      </c>
      <c r="E15" s="18">
        <v>3.9</v>
      </c>
      <c r="F15" s="7">
        <v>0</v>
      </c>
      <c r="G15" s="7">
        <v>4</v>
      </c>
      <c r="H15" s="7">
        <v>4</v>
      </c>
      <c r="I15" s="7">
        <v>0</v>
      </c>
      <c r="J15" s="7">
        <f t="shared" si="0"/>
        <v>-0.25</v>
      </c>
      <c r="K15" s="7">
        <f t="shared" si="1"/>
        <v>1.6666666666666673E-2</v>
      </c>
      <c r="L15" s="7">
        <f>E15-((E12+E13+E14)/3)</f>
        <v>1.0666666666666664</v>
      </c>
      <c r="M15" s="40">
        <f t="shared" si="8"/>
        <v>0.59599999999999997</v>
      </c>
      <c r="N15" s="7">
        <f t="shared" si="3"/>
        <v>0.25</v>
      </c>
      <c r="O15" s="8">
        <f t="shared" si="4"/>
        <v>0.05</v>
      </c>
      <c r="P15" s="7">
        <v>7</v>
      </c>
      <c r="Q15" s="8">
        <f t="shared" si="5"/>
        <v>0.19444444444444445</v>
      </c>
      <c r="R15" s="7">
        <v>1</v>
      </c>
      <c r="S15" s="7">
        <v>0</v>
      </c>
      <c r="T15" s="7">
        <v>0</v>
      </c>
      <c r="U15" s="8">
        <f t="shared" si="6"/>
        <v>1</v>
      </c>
      <c r="V15" s="10">
        <v>0</v>
      </c>
      <c r="W15" s="14">
        <v>3</v>
      </c>
      <c r="X15" s="16">
        <f t="shared" si="7"/>
        <v>3.5740277777777778</v>
      </c>
    </row>
    <row r="16" spans="1:24" x14ac:dyDescent="0.3">
      <c r="A16" s="1">
        <v>46206</v>
      </c>
      <c r="B16">
        <v>4</v>
      </c>
      <c r="C16" t="s">
        <v>6</v>
      </c>
      <c r="D16" t="s">
        <v>46</v>
      </c>
      <c r="E16" s="3">
        <v>3.8</v>
      </c>
      <c r="F16">
        <v>1</v>
      </c>
      <c r="G16">
        <v>1</v>
      </c>
      <c r="H16">
        <v>3</v>
      </c>
      <c r="I16">
        <v>2</v>
      </c>
      <c r="J16">
        <f t="shared" si="0"/>
        <v>0.66666666666666674</v>
      </c>
      <c r="K16">
        <f t="shared" si="1"/>
        <v>0.4333333333333334</v>
      </c>
      <c r="L16" s="3">
        <f>E16-((E17+E18)/2)</f>
        <v>1.0999999999999996</v>
      </c>
      <c r="M16" s="36">
        <f t="shared" si="8"/>
        <v>0.59899999999999998</v>
      </c>
      <c r="N16">
        <f t="shared" si="3"/>
        <v>1.6666666666666667</v>
      </c>
      <c r="O16" s="5">
        <f t="shared" si="4"/>
        <v>0.89999999999999991</v>
      </c>
      <c r="P16">
        <v>8</v>
      </c>
      <c r="Q16" s="5">
        <f t="shared" si="5"/>
        <v>0.83333333333333337</v>
      </c>
      <c r="R16">
        <v>1</v>
      </c>
      <c r="S16">
        <v>0</v>
      </c>
      <c r="T16">
        <v>0</v>
      </c>
      <c r="U16" s="5">
        <f t="shared" si="6"/>
        <v>1</v>
      </c>
      <c r="V16" s="9">
        <v>0</v>
      </c>
      <c r="W16" s="2">
        <v>3</v>
      </c>
      <c r="X16" s="56">
        <f t="shared" si="7"/>
        <v>3.9408333333333334</v>
      </c>
    </row>
    <row r="17" spans="1:24" x14ac:dyDescent="0.3">
      <c r="A17" s="1">
        <v>46206</v>
      </c>
      <c r="B17">
        <v>4</v>
      </c>
      <c r="C17" t="s">
        <v>5</v>
      </c>
      <c r="D17" t="s">
        <v>90</v>
      </c>
      <c r="E17" s="3">
        <v>2.9</v>
      </c>
      <c r="F17">
        <v>0</v>
      </c>
      <c r="G17">
        <v>2</v>
      </c>
      <c r="H17">
        <v>3</v>
      </c>
      <c r="I17">
        <v>0</v>
      </c>
      <c r="J17">
        <f t="shared" si="0"/>
        <v>-0.33333333333333331</v>
      </c>
      <c r="K17">
        <f t="shared" si="1"/>
        <v>3.3333333333333347E-2</v>
      </c>
      <c r="L17">
        <f>E17-((E16+E18)/2)</f>
        <v>-0.25</v>
      </c>
      <c r="M17" s="36">
        <f t="shared" si="8"/>
        <v>0.47749999999999998</v>
      </c>
      <c r="N17">
        <f t="shared" si="3"/>
        <v>0.66666666666666663</v>
      </c>
      <c r="O17" s="5">
        <f t="shared" si="4"/>
        <v>0.3</v>
      </c>
      <c r="P17">
        <v>8</v>
      </c>
      <c r="Q17" s="5">
        <f t="shared" si="5"/>
        <v>0.22222222222222221</v>
      </c>
      <c r="R17">
        <v>0</v>
      </c>
      <c r="S17">
        <v>1</v>
      </c>
      <c r="T17">
        <v>0</v>
      </c>
      <c r="U17" s="5">
        <f t="shared" si="6"/>
        <v>0</v>
      </c>
      <c r="V17" s="9">
        <v>0</v>
      </c>
      <c r="W17" s="2">
        <v>2</v>
      </c>
      <c r="X17" s="17">
        <f t="shared" si="7"/>
        <v>2.3038888888888889</v>
      </c>
    </row>
    <row r="18" spans="1:24" x14ac:dyDescent="0.3">
      <c r="A18" s="32">
        <v>46206</v>
      </c>
      <c r="B18" s="7">
        <v>4</v>
      </c>
      <c r="C18" s="7" t="s">
        <v>3</v>
      </c>
      <c r="D18" s="7" t="s">
        <v>109</v>
      </c>
      <c r="E18" s="18">
        <v>2.5</v>
      </c>
      <c r="F18" s="7">
        <v>0</v>
      </c>
      <c r="G18" s="7">
        <v>2</v>
      </c>
      <c r="H18" s="7">
        <v>3</v>
      </c>
      <c r="I18" s="7">
        <v>0</v>
      </c>
      <c r="J18" s="7">
        <f t="shared" si="0"/>
        <v>-0.33333333333333331</v>
      </c>
      <c r="K18" s="7">
        <f t="shared" si="1"/>
        <v>3.3333333333333347E-2</v>
      </c>
      <c r="L18" s="7">
        <f>E18-((E16+E17)/2)</f>
        <v>-0.84999999999999964</v>
      </c>
      <c r="M18" s="40">
        <f t="shared" si="8"/>
        <v>0.42350000000000004</v>
      </c>
      <c r="N18" s="7">
        <f t="shared" si="3"/>
        <v>0.66666666666666663</v>
      </c>
      <c r="O18" s="8">
        <f t="shared" si="4"/>
        <v>0.3</v>
      </c>
      <c r="P18" s="7">
        <v>8</v>
      </c>
      <c r="Q18" s="8">
        <f t="shared" si="5"/>
        <v>0.22222222222222221</v>
      </c>
      <c r="R18" s="7">
        <v>0</v>
      </c>
      <c r="S18" s="7">
        <v>1</v>
      </c>
      <c r="T18" s="7">
        <v>0</v>
      </c>
      <c r="U18" s="8">
        <f t="shared" si="6"/>
        <v>0</v>
      </c>
      <c r="V18" s="10">
        <v>0</v>
      </c>
      <c r="W18" s="14">
        <v>2</v>
      </c>
      <c r="X18" s="16">
        <f t="shared" si="7"/>
        <v>2.3038888888888889</v>
      </c>
    </row>
    <row r="19" spans="1:24" x14ac:dyDescent="0.3">
      <c r="A19" s="1">
        <v>46211</v>
      </c>
      <c r="B19">
        <v>5</v>
      </c>
      <c r="C19" t="s">
        <v>5</v>
      </c>
      <c r="D19" t="s">
        <v>11</v>
      </c>
      <c r="E19" s="3">
        <v>2.5</v>
      </c>
      <c r="F19">
        <v>1</v>
      </c>
      <c r="G19">
        <v>1</v>
      </c>
      <c r="H19">
        <v>4</v>
      </c>
      <c r="I19">
        <v>1</v>
      </c>
      <c r="J19">
        <f t="shared" si="0"/>
        <v>0.75</v>
      </c>
      <c r="K19">
        <f t="shared" si="1"/>
        <v>0.2166666666666667</v>
      </c>
      <c r="L19">
        <f>E19-((E20+E21+E22)/3)</f>
        <v>-0.86666666666666714</v>
      </c>
      <c r="M19" s="36">
        <f>0.5 + (L19 * 0.09)</f>
        <v>0.42199999999999993</v>
      </c>
      <c r="N19">
        <f t="shared" si="3"/>
        <v>1.25</v>
      </c>
      <c r="O19" s="5">
        <f t="shared" si="4"/>
        <v>0.64999999999999991</v>
      </c>
      <c r="P19">
        <v>14</v>
      </c>
      <c r="Q19" s="5">
        <f t="shared" si="5"/>
        <v>0.6333333333333333</v>
      </c>
      <c r="R19">
        <v>1</v>
      </c>
      <c r="S19">
        <v>3</v>
      </c>
      <c r="T19">
        <v>2</v>
      </c>
      <c r="U19" s="5">
        <f t="shared" si="6"/>
        <v>0.66666666666666663</v>
      </c>
      <c r="V19" s="9">
        <v>0</v>
      </c>
      <c r="W19" s="2">
        <v>2</v>
      </c>
      <c r="X19" s="56">
        <f t="shared" si="7"/>
        <v>2.7725</v>
      </c>
    </row>
    <row r="20" spans="1:24" x14ac:dyDescent="0.3">
      <c r="A20" s="1">
        <v>46211</v>
      </c>
      <c r="B20">
        <v>5</v>
      </c>
      <c r="C20" t="s">
        <v>6</v>
      </c>
      <c r="D20" t="s">
        <v>111</v>
      </c>
      <c r="E20" s="3">
        <v>3.7</v>
      </c>
      <c r="F20">
        <v>0</v>
      </c>
      <c r="G20">
        <v>2</v>
      </c>
      <c r="H20">
        <v>4</v>
      </c>
      <c r="I20">
        <v>2</v>
      </c>
      <c r="J20">
        <f t="shared" si="0"/>
        <v>-0.25</v>
      </c>
      <c r="K20">
        <f t="shared" si="1"/>
        <v>0.41666666666666669</v>
      </c>
      <c r="L20">
        <f>E20-((E19+E21+E22)/3)</f>
        <v>0.73333333333333339</v>
      </c>
      <c r="M20" s="36">
        <f t="shared" ref="M20:M27" si="9">0.5 + (L20 * 0.09)</f>
        <v>0.56600000000000006</v>
      </c>
      <c r="N20">
        <f t="shared" si="3"/>
        <v>1.125</v>
      </c>
      <c r="O20" s="5">
        <f t="shared" si="4"/>
        <v>0.57499999999999996</v>
      </c>
      <c r="P20">
        <v>14</v>
      </c>
      <c r="Q20" s="5">
        <f t="shared" si="5"/>
        <v>0.3888888888888889</v>
      </c>
      <c r="R20">
        <v>1</v>
      </c>
      <c r="S20">
        <v>5</v>
      </c>
      <c r="T20">
        <v>2</v>
      </c>
      <c r="U20" s="5">
        <f t="shared" si="6"/>
        <v>0.4</v>
      </c>
      <c r="V20" s="9">
        <v>0</v>
      </c>
      <c r="W20" s="2">
        <v>3</v>
      </c>
      <c r="X20" s="17">
        <f t="shared" si="7"/>
        <v>3.6605555555555558</v>
      </c>
    </row>
    <row r="21" spans="1:24" x14ac:dyDescent="0.3">
      <c r="A21" s="1">
        <v>46211</v>
      </c>
      <c r="B21">
        <v>5</v>
      </c>
      <c r="C21" t="s">
        <v>2</v>
      </c>
      <c r="D21" t="s">
        <v>110</v>
      </c>
      <c r="E21" s="3">
        <v>3.7</v>
      </c>
      <c r="F21">
        <v>0</v>
      </c>
      <c r="G21">
        <v>3</v>
      </c>
      <c r="H21">
        <v>4</v>
      </c>
      <c r="I21">
        <v>0</v>
      </c>
      <c r="J21">
        <f t="shared" si="0"/>
        <v>-0.25</v>
      </c>
      <c r="K21">
        <f t="shared" si="1"/>
        <v>1.6666666666666673E-2</v>
      </c>
      <c r="L21">
        <f>E21-((E19+E20+E22)/3)</f>
        <v>0.73333333333333339</v>
      </c>
      <c r="M21" s="36">
        <f t="shared" si="9"/>
        <v>0.56600000000000006</v>
      </c>
      <c r="N21">
        <f t="shared" si="3"/>
        <v>0.5</v>
      </c>
      <c r="O21" s="5">
        <f t="shared" si="4"/>
        <v>0.2</v>
      </c>
      <c r="P21">
        <v>14</v>
      </c>
      <c r="Q21" s="5">
        <f t="shared" si="5"/>
        <v>0.3888888888888889</v>
      </c>
      <c r="R21">
        <v>1</v>
      </c>
      <c r="S21">
        <v>5</v>
      </c>
      <c r="T21">
        <v>3</v>
      </c>
      <c r="U21" s="5">
        <f t="shared" si="6"/>
        <v>0.6</v>
      </c>
      <c r="V21" s="9">
        <v>0</v>
      </c>
      <c r="W21" s="2">
        <v>3</v>
      </c>
      <c r="X21" s="17">
        <f t="shared" si="7"/>
        <v>3.5830555555555552</v>
      </c>
    </row>
    <row r="22" spans="1:24" x14ac:dyDescent="0.3">
      <c r="A22" s="32">
        <v>46211</v>
      </c>
      <c r="B22" s="7">
        <v>5</v>
      </c>
      <c r="C22" s="7" t="s">
        <v>3</v>
      </c>
      <c r="D22" s="7" t="s">
        <v>113</v>
      </c>
      <c r="E22" s="18">
        <v>2.7</v>
      </c>
      <c r="F22" s="7">
        <v>0</v>
      </c>
      <c r="G22" s="7">
        <v>4</v>
      </c>
      <c r="H22" s="7">
        <v>4</v>
      </c>
      <c r="I22" s="7">
        <v>0</v>
      </c>
      <c r="J22" s="7">
        <f t="shared" si="0"/>
        <v>-0.25</v>
      </c>
      <c r="K22" s="7">
        <f t="shared" si="1"/>
        <v>1.6666666666666673E-2</v>
      </c>
      <c r="L22" s="7">
        <f>E22-((E19+E20+E21)/3)</f>
        <v>-0.60000000000000009</v>
      </c>
      <c r="M22" s="40">
        <f t="shared" si="9"/>
        <v>0.44600000000000001</v>
      </c>
      <c r="N22" s="7">
        <f t="shared" si="3"/>
        <v>0.25</v>
      </c>
      <c r="O22" s="8">
        <f t="shared" si="4"/>
        <v>0.05</v>
      </c>
      <c r="P22" s="7">
        <v>12</v>
      </c>
      <c r="Q22" s="8">
        <f t="shared" si="5"/>
        <v>0.33333333333333331</v>
      </c>
      <c r="R22" s="7">
        <v>1</v>
      </c>
      <c r="S22" s="7">
        <v>1</v>
      </c>
      <c r="T22" s="7">
        <v>1</v>
      </c>
      <c r="U22" s="8">
        <f t="shared" si="6"/>
        <v>1</v>
      </c>
      <c r="V22" s="10">
        <v>0</v>
      </c>
      <c r="W22" s="14">
        <v>2</v>
      </c>
      <c r="X22" s="16">
        <f t="shared" si="7"/>
        <v>2.5983333333333336</v>
      </c>
    </row>
    <row r="23" spans="1:24" x14ac:dyDescent="0.3">
      <c r="A23" s="1">
        <v>46220</v>
      </c>
      <c r="B23">
        <v>6</v>
      </c>
      <c r="C23" t="s">
        <v>6</v>
      </c>
      <c r="D23" t="s">
        <v>114</v>
      </c>
      <c r="E23" s="3">
        <v>2</v>
      </c>
      <c r="F23">
        <v>1</v>
      </c>
      <c r="G23">
        <v>1</v>
      </c>
      <c r="H23">
        <v>5</v>
      </c>
      <c r="I23">
        <v>2</v>
      </c>
      <c r="J23">
        <f t="shared" si="0"/>
        <v>0.8</v>
      </c>
      <c r="K23">
        <f t="shared" si="1"/>
        <v>0.40666666666666662</v>
      </c>
      <c r="L23" s="25">
        <f>E23-((E24+E25+E26+E27)/4)</f>
        <v>-0.77499999999999991</v>
      </c>
      <c r="M23" s="47">
        <f t="shared" si="9"/>
        <v>0.43025000000000002</v>
      </c>
      <c r="N23">
        <f t="shared" si="3"/>
        <v>1.4</v>
      </c>
      <c r="O23" s="5">
        <f t="shared" si="4"/>
        <v>0.73999999999999988</v>
      </c>
      <c r="P23">
        <v>9</v>
      </c>
      <c r="Q23" s="5">
        <f t="shared" si="5"/>
        <v>0.8</v>
      </c>
      <c r="R23">
        <v>1</v>
      </c>
      <c r="S23">
        <v>0</v>
      </c>
      <c r="T23">
        <v>0</v>
      </c>
      <c r="U23" s="5">
        <f t="shared" si="6"/>
        <v>1</v>
      </c>
      <c r="V23" s="9">
        <v>0</v>
      </c>
      <c r="W23" s="2">
        <v>2</v>
      </c>
      <c r="X23" s="17">
        <f t="shared" si="7"/>
        <v>2.887</v>
      </c>
    </row>
    <row r="24" spans="1:24" x14ac:dyDescent="0.3">
      <c r="A24" s="1">
        <v>46220</v>
      </c>
      <c r="B24">
        <v>6</v>
      </c>
      <c r="C24" t="s">
        <v>4</v>
      </c>
      <c r="D24" t="s">
        <v>79</v>
      </c>
      <c r="E24" s="3">
        <v>3</v>
      </c>
      <c r="F24">
        <v>0</v>
      </c>
      <c r="G24">
        <v>2</v>
      </c>
      <c r="H24">
        <v>5</v>
      </c>
      <c r="I24">
        <v>2</v>
      </c>
      <c r="J24">
        <f t="shared" si="0"/>
        <v>-0.2</v>
      </c>
      <c r="K24">
        <f t="shared" si="1"/>
        <v>0.40666666666666662</v>
      </c>
      <c r="L24">
        <f>E24-((E23+E25+E26+E27)/4)</f>
        <v>0.47500000000000009</v>
      </c>
      <c r="M24" s="48">
        <f t="shared" si="9"/>
        <v>0.54274999999999995</v>
      </c>
      <c r="N24">
        <f t="shared" si="3"/>
        <v>1.1199999999999999</v>
      </c>
      <c r="O24" s="5">
        <f t="shared" si="4"/>
        <v>0.57199999999999995</v>
      </c>
      <c r="P24">
        <v>9</v>
      </c>
      <c r="Q24" s="5">
        <f t="shared" si="5"/>
        <v>0.25</v>
      </c>
      <c r="R24">
        <v>1</v>
      </c>
      <c r="S24">
        <v>0</v>
      </c>
      <c r="T24">
        <v>0</v>
      </c>
      <c r="U24" s="5">
        <f t="shared" si="6"/>
        <v>1</v>
      </c>
      <c r="V24" s="9">
        <v>0</v>
      </c>
      <c r="W24" s="2">
        <v>3</v>
      </c>
      <c r="X24" s="17">
        <f t="shared" si="7"/>
        <v>3.7403500000000003</v>
      </c>
    </row>
    <row r="25" spans="1:24" x14ac:dyDescent="0.3">
      <c r="A25" s="1">
        <v>46220</v>
      </c>
      <c r="B25">
        <v>6</v>
      </c>
      <c r="C25" t="s">
        <v>3</v>
      </c>
      <c r="D25" t="s">
        <v>113</v>
      </c>
      <c r="E25" s="3">
        <v>2.6</v>
      </c>
      <c r="F25">
        <v>0</v>
      </c>
      <c r="G25">
        <v>3</v>
      </c>
      <c r="H25">
        <v>5</v>
      </c>
      <c r="I25">
        <v>0</v>
      </c>
      <c r="J25">
        <f t="shared" si="0"/>
        <v>-0.2</v>
      </c>
      <c r="K25">
        <f t="shared" si="1"/>
        <v>6.6666666666666654E-3</v>
      </c>
      <c r="L25">
        <f>E25-((E23+E24+E26+E27)/4)</f>
        <v>-2.4999999999999911E-2</v>
      </c>
      <c r="M25" s="48">
        <f t="shared" si="9"/>
        <v>0.49775000000000003</v>
      </c>
      <c r="N25">
        <f t="shared" si="3"/>
        <v>0.6</v>
      </c>
      <c r="O25" s="5">
        <f t="shared" si="4"/>
        <v>0.26</v>
      </c>
      <c r="P25">
        <v>8</v>
      </c>
      <c r="Q25" s="5">
        <f t="shared" si="5"/>
        <v>0.22222222222222221</v>
      </c>
      <c r="R25">
        <v>0</v>
      </c>
      <c r="S25">
        <v>0</v>
      </c>
      <c r="T25">
        <v>0</v>
      </c>
      <c r="U25" s="5">
        <f t="shared" si="6"/>
        <v>1</v>
      </c>
      <c r="V25" s="9">
        <v>0</v>
      </c>
      <c r="W25" s="2">
        <v>2</v>
      </c>
      <c r="X25" s="17">
        <f t="shared" si="7"/>
        <v>2.4668888888888887</v>
      </c>
    </row>
    <row r="26" spans="1:24" x14ac:dyDescent="0.3">
      <c r="A26" s="1">
        <v>46220</v>
      </c>
      <c r="B26">
        <v>6</v>
      </c>
      <c r="C26" t="s">
        <v>2</v>
      </c>
      <c r="D26" t="s">
        <v>76</v>
      </c>
      <c r="E26" s="3">
        <v>3.5</v>
      </c>
      <c r="F26">
        <v>0</v>
      </c>
      <c r="G26">
        <v>4</v>
      </c>
      <c r="H26">
        <v>5</v>
      </c>
      <c r="I26">
        <v>0</v>
      </c>
      <c r="J26">
        <f t="shared" si="0"/>
        <v>-0.2</v>
      </c>
      <c r="K26">
        <f t="shared" si="1"/>
        <v>6.6666666666666654E-3</v>
      </c>
      <c r="L26">
        <f>E26-((E23+E24+E25+E27)/4)</f>
        <v>1.1000000000000001</v>
      </c>
      <c r="M26" s="48">
        <f t="shared" si="9"/>
        <v>0.59899999999999998</v>
      </c>
      <c r="N26">
        <f t="shared" si="3"/>
        <v>0.4</v>
      </c>
      <c r="O26" s="5">
        <f t="shared" si="4"/>
        <v>0.14000000000000001</v>
      </c>
      <c r="P26">
        <v>8</v>
      </c>
      <c r="Q26" s="5">
        <f t="shared" si="5"/>
        <v>0.22222222222222221</v>
      </c>
      <c r="R26">
        <v>0</v>
      </c>
      <c r="S26">
        <v>0</v>
      </c>
      <c r="T26">
        <v>0</v>
      </c>
      <c r="U26" s="5">
        <f t="shared" si="6"/>
        <v>1</v>
      </c>
      <c r="V26" s="9">
        <v>0</v>
      </c>
      <c r="W26" s="2">
        <v>3</v>
      </c>
      <c r="X26" s="17">
        <f t="shared" si="7"/>
        <v>3.4308888888888891</v>
      </c>
    </row>
    <row r="27" spans="1:24" x14ac:dyDescent="0.3">
      <c r="A27" s="32">
        <v>46220</v>
      </c>
      <c r="B27" s="7">
        <v>6</v>
      </c>
      <c r="C27" s="7" t="s">
        <v>87</v>
      </c>
      <c r="D27" s="7" t="s">
        <v>115</v>
      </c>
      <c r="E27" s="18">
        <v>2</v>
      </c>
      <c r="F27" s="7">
        <v>0</v>
      </c>
      <c r="G27" s="7">
        <v>5</v>
      </c>
      <c r="H27" s="7">
        <v>5</v>
      </c>
      <c r="I27" s="7">
        <v>0</v>
      </c>
      <c r="J27" s="7">
        <f t="shared" si="0"/>
        <v>-0.2</v>
      </c>
      <c r="K27" s="7">
        <f t="shared" si="1"/>
        <v>6.6666666666666654E-3</v>
      </c>
      <c r="L27" s="7">
        <f>E27-((E23+E24+E25+E26)/4)</f>
        <v>-0.77499999999999991</v>
      </c>
      <c r="M27" s="40">
        <f t="shared" si="9"/>
        <v>0.43025000000000002</v>
      </c>
      <c r="N27" s="7">
        <f t="shared" si="3"/>
        <v>0.2</v>
      </c>
      <c r="O27" s="8">
        <f t="shared" si="4"/>
        <v>2.0000000000000011E-2</v>
      </c>
      <c r="P27" s="7">
        <v>8</v>
      </c>
      <c r="Q27" s="8">
        <f t="shared" si="5"/>
        <v>0.22222222222222221</v>
      </c>
      <c r="R27" s="7">
        <v>0</v>
      </c>
      <c r="S27" s="7">
        <v>0</v>
      </c>
      <c r="T27" s="7">
        <v>0</v>
      </c>
      <c r="U27" s="8">
        <f t="shared" si="6"/>
        <v>1</v>
      </c>
      <c r="V27" s="10">
        <v>0</v>
      </c>
      <c r="W27" s="14">
        <v>2</v>
      </c>
      <c r="X27" s="16">
        <f t="shared" si="7"/>
        <v>2.3948888888888886</v>
      </c>
    </row>
    <row r="28" spans="1:24" x14ac:dyDescent="0.3">
      <c r="A28" s="1">
        <v>46220</v>
      </c>
      <c r="B28">
        <v>7</v>
      </c>
      <c r="C28" t="s">
        <v>3</v>
      </c>
      <c r="D28" t="s">
        <v>39</v>
      </c>
      <c r="E28" s="3">
        <v>3.5</v>
      </c>
      <c r="F28">
        <v>1</v>
      </c>
      <c r="G28">
        <v>1</v>
      </c>
      <c r="H28">
        <v>4</v>
      </c>
      <c r="I28">
        <v>2</v>
      </c>
      <c r="J28">
        <f t="shared" si="0"/>
        <v>0.75</v>
      </c>
      <c r="K28">
        <f t="shared" si="1"/>
        <v>0.41666666666666669</v>
      </c>
      <c r="L28">
        <f>E28-((E29+E30+E31)/3)</f>
        <v>0.66666666666666652</v>
      </c>
      <c r="M28" s="36">
        <f>0.5 + (L28 * 0.09)</f>
        <v>0.55999999999999994</v>
      </c>
      <c r="N28">
        <f t="shared" si="3"/>
        <v>1.5</v>
      </c>
      <c r="O28" s="5">
        <f t="shared" si="4"/>
        <v>0.79999999999999993</v>
      </c>
      <c r="P28">
        <v>8</v>
      </c>
      <c r="Q28" s="5">
        <f t="shared" si="5"/>
        <v>0.83333333333333337</v>
      </c>
      <c r="R28">
        <v>1</v>
      </c>
      <c r="S28">
        <v>0</v>
      </c>
      <c r="T28">
        <v>0</v>
      </c>
      <c r="U28" s="5">
        <f t="shared" si="6"/>
        <v>1</v>
      </c>
      <c r="V28" s="9">
        <v>0</v>
      </c>
      <c r="W28" s="2">
        <v>3</v>
      </c>
      <c r="X28" s="56">
        <f t="shared" si="7"/>
        <v>3.9108333333333336</v>
      </c>
    </row>
    <row r="29" spans="1:24" x14ac:dyDescent="0.3">
      <c r="A29" s="1">
        <v>46220</v>
      </c>
      <c r="B29">
        <v>7</v>
      </c>
      <c r="C29" t="s">
        <v>2</v>
      </c>
      <c r="D29" t="s">
        <v>116</v>
      </c>
      <c r="E29" s="3">
        <v>2</v>
      </c>
      <c r="F29">
        <v>0</v>
      </c>
      <c r="G29">
        <v>2</v>
      </c>
      <c r="H29">
        <v>4</v>
      </c>
      <c r="I29">
        <v>1</v>
      </c>
      <c r="J29">
        <f t="shared" si="0"/>
        <v>-0.25</v>
      </c>
      <c r="K29">
        <f t="shared" si="1"/>
        <v>0.2166666666666667</v>
      </c>
      <c r="L29">
        <f>E29-((E28+E30+E31)/3)</f>
        <v>-1.3333333333333335</v>
      </c>
      <c r="M29" s="36">
        <f t="shared" ref="M29:M34" si="10">0.5 + (L29 * 0.09)</f>
        <v>0.38</v>
      </c>
      <c r="N29">
        <f t="shared" si="3"/>
        <v>0.9375</v>
      </c>
      <c r="O29" s="5">
        <f t="shared" si="4"/>
        <v>0.46250000000000002</v>
      </c>
      <c r="P29">
        <v>8</v>
      </c>
      <c r="Q29" s="5">
        <f t="shared" si="5"/>
        <v>0.22222222222222221</v>
      </c>
      <c r="R29">
        <v>1</v>
      </c>
      <c r="S29">
        <v>0</v>
      </c>
      <c r="T29">
        <v>0</v>
      </c>
      <c r="U29" s="5">
        <f t="shared" si="6"/>
        <v>1</v>
      </c>
      <c r="V29" s="9">
        <v>0</v>
      </c>
      <c r="W29" s="2">
        <v>2</v>
      </c>
      <c r="X29" s="17">
        <f t="shared" si="7"/>
        <v>2.702638888888889</v>
      </c>
    </row>
    <row r="30" spans="1:24" x14ac:dyDescent="0.3">
      <c r="A30" s="1">
        <v>46220</v>
      </c>
      <c r="B30">
        <v>7</v>
      </c>
      <c r="C30" t="s">
        <v>6</v>
      </c>
      <c r="D30" t="s">
        <v>111</v>
      </c>
      <c r="E30" s="3">
        <v>3.7</v>
      </c>
      <c r="F30">
        <v>0</v>
      </c>
      <c r="G30">
        <v>2</v>
      </c>
      <c r="H30">
        <v>4</v>
      </c>
      <c r="I30">
        <v>0</v>
      </c>
      <c r="J30">
        <f t="shared" si="0"/>
        <v>-0.25</v>
      </c>
      <c r="K30">
        <f t="shared" si="1"/>
        <v>1.6666666666666673E-2</v>
      </c>
      <c r="L30">
        <f>E30-((E28+E29+E31)/3)</f>
        <v>0.93333333333333313</v>
      </c>
      <c r="M30" s="36">
        <f t="shared" si="10"/>
        <v>0.58399999999999996</v>
      </c>
      <c r="N30">
        <f t="shared" si="3"/>
        <v>0.75</v>
      </c>
      <c r="O30" s="5">
        <f t="shared" si="4"/>
        <v>0.35000000000000003</v>
      </c>
      <c r="P30">
        <v>8</v>
      </c>
      <c r="Q30" s="5">
        <f t="shared" si="5"/>
        <v>0.22222222222222221</v>
      </c>
      <c r="R30">
        <v>0</v>
      </c>
      <c r="S30">
        <v>0</v>
      </c>
      <c r="T30">
        <v>0</v>
      </c>
      <c r="U30" s="5">
        <f t="shared" si="6"/>
        <v>1</v>
      </c>
      <c r="V30" s="9">
        <v>0</v>
      </c>
      <c r="W30" s="2">
        <v>3</v>
      </c>
      <c r="X30" s="17">
        <f t="shared" si="7"/>
        <v>3.4938888888888888</v>
      </c>
    </row>
    <row r="31" spans="1:24" x14ac:dyDescent="0.3">
      <c r="A31" s="32">
        <v>46220</v>
      </c>
      <c r="B31" s="7">
        <v>7</v>
      </c>
      <c r="C31" s="7" t="s">
        <v>5</v>
      </c>
      <c r="D31" s="7" t="s">
        <v>11</v>
      </c>
      <c r="E31" s="18">
        <v>2.8</v>
      </c>
      <c r="F31" s="7">
        <v>0</v>
      </c>
      <c r="G31" s="7">
        <v>4</v>
      </c>
      <c r="H31" s="7">
        <v>4</v>
      </c>
      <c r="I31" s="7">
        <v>0</v>
      </c>
      <c r="J31" s="7">
        <f t="shared" si="0"/>
        <v>-0.25</v>
      </c>
      <c r="K31" s="7">
        <f t="shared" si="1"/>
        <v>1.6666666666666673E-2</v>
      </c>
      <c r="L31" s="7">
        <f>E31-((E28+E29+E30)/3)</f>
        <v>-0.26666666666666661</v>
      </c>
      <c r="M31" s="40">
        <f t="shared" si="10"/>
        <v>0.47599999999999998</v>
      </c>
      <c r="N31" s="7">
        <f t="shared" si="3"/>
        <v>0.25</v>
      </c>
      <c r="O31" s="8">
        <f t="shared" si="4"/>
        <v>0.05</v>
      </c>
      <c r="P31" s="7">
        <v>8</v>
      </c>
      <c r="Q31" s="8">
        <f t="shared" si="5"/>
        <v>0.22222222222222221</v>
      </c>
      <c r="R31" s="7">
        <v>0</v>
      </c>
      <c r="S31" s="7">
        <v>0</v>
      </c>
      <c r="T31" s="7">
        <v>0</v>
      </c>
      <c r="U31" s="8">
        <f t="shared" si="6"/>
        <v>1</v>
      </c>
      <c r="V31" s="10">
        <v>0</v>
      </c>
      <c r="W31" s="14">
        <v>2</v>
      </c>
      <c r="X31" s="16">
        <f t="shared" si="7"/>
        <v>2.403888888888889</v>
      </c>
    </row>
    <row r="32" spans="1:24" x14ac:dyDescent="0.3">
      <c r="A32" s="1">
        <v>46225</v>
      </c>
      <c r="B32">
        <v>8</v>
      </c>
      <c r="C32" t="s">
        <v>3</v>
      </c>
      <c r="D32" t="s">
        <v>86</v>
      </c>
      <c r="E32" s="3">
        <v>3.4</v>
      </c>
      <c r="F32">
        <v>1</v>
      </c>
      <c r="G32">
        <v>1</v>
      </c>
      <c r="H32">
        <v>3</v>
      </c>
      <c r="I32">
        <v>2</v>
      </c>
      <c r="J32">
        <f t="shared" si="0"/>
        <v>0.66666666666666674</v>
      </c>
      <c r="K32">
        <f t="shared" si="1"/>
        <v>0.4333333333333334</v>
      </c>
      <c r="L32" s="3">
        <f>E32-((E33+E34)/2)</f>
        <v>1.1999999999999997</v>
      </c>
      <c r="M32" s="36">
        <f t="shared" si="10"/>
        <v>0.60799999999999998</v>
      </c>
      <c r="N32">
        <f t="shared" si="3"/>
        <v>1.6666666666666667</v>
      </c>
      <c r="O32" s="5">
        <f t="shared" si="4"/>
        <v>0.89999999999999991</v>
      </c>
      <c r="P32">
        <v>9</v>
      </c>
      <c r="Q32" s="5">
        <f t="shared" si="5"/>
        <v>0.8</v>
      </c>
      <c r="R32">
        <v>1</v>
      </c>
      <c r="S32">
        <v>0</v>
      </c>
      <c r="T32">
        <v>0</v>
      </c>
      <c r="U32" s="5">
        <f t="shared" si="6"/>
        <v>1</v>
      </c>
      <c r="V32" s="9">
        <v>0</v>
      </c>
      <c r="W32" s="2">
        <v>3</v>
      </c>
      <c r="X32" s="56">
        <f t="shared" si="7"/>
        <v>3.9350000000000001</v>
      </c>
    </row>
    <row r="33" spans="1:24" x14ac:dyDescent="0.3">
      <c r="A33" s="1">
        <v>46225</v>
      </c>
      <c r="B33">
        <v>8</v>
      </c>
      <c r="C33" t="s">
        <v>5</v>
      </c>
      <c r="D33" t="s">
        <v>117</v>
      </c>
      <c r="E33" s="3">
        <v>2</v>
      </c>
      <c r="F33">
        <v>0</v>
      </c>
      <c r="G33">
        <v>2</v>
      </c>
      <c r="H33">
        <v>3</v>
      </c>
      <c r="I33">
        <v>0</v>
      </c>
      <c r="J33">
        <f t="shared" si="0"/>
        <v>-0.33333333333333331</v>
      </c>
      <c r="K33">
        <f t="shared" si="1"/>
        <v>3.3333333333333347E-2</v>
      </c>
      <c r="L33">
        <f>E33-((E32+E34)/2)</f>
        <v>-0.89999999999999991</v>
      </c>
      <c r="M33" s="36">
        <f t="shared" si="10"/>
        <v>0.41900000000000004</v>
      </c>
      <c r="N33">
        <f t="shared" si="3"/>
        <v>0.66666666666666663</v>
      </c>
      <c r="O33" s="5">
        <f t="shared" si="4"/>
        <v>0.3</v>
      </c>
      <c r="P33">
        <v>9</v>
      </c>
      <c r="Q33" s="5">
        <f t="shared" si="5"/>
        <v>0.25</v>
      </c>
      <c r="R33">
        <v>0</v>
      </c>
      <c r="S33">
        <v>0</v>
      </c>
      <c r="T33">
        <v>0</v>
      </c>
      <c r="U33" s="5">
        <f t="shared" si="6"/>
        <v>1</v>
      </c>
      <c r="V33" s="9">
        <v>0</v>
      </c>
      <c r="W33" s="2">
        <v>2</v>
      </c>
      <c r="X33" s="17">
        <f t="shared" si="7"/>
        <v>2.4837500000000001</v>
      </c>
    </row>
    <row r="34" spans="1:24" x14ac:dyDescent="0.3">
      <c r="A34" s="32">
        <v>46225</v>
      </c>
      <c r="B34" s="7">
        <v>8</v>
      </c>
      <c r="C34" s="7" t="s">
        <v>2</v>
      </c>
      <c r="D34" s="7" t="s">
        <v>97</v>
      </c>
      <c r="E34" s="18">
        <v>2.4</v>
      </c>
      <c r="F34" s="7">
        <v>0</v>
      </c>
      <c r="G34" s="7">
        <v>3</v>
      </c>
      <c r="H34" s="7">
        <v>3</v>
      </c>
      <c r="I34" s="7">
        <v>0</v>
      </c>
      <c r="J34" s="7">
        <f t="shared" si="0"/>
        <v>-0.33333333333333331</v>
      </c>
      <c r="K34" s="7">
        <f t="shared" si="1"/>
        <v>3.3333333333333347E-2</v>
      </c>
      <c r="L34" s="7">
        <f>E34-((E32+E33)/2)</f>
        <v>-0.30000000000000027</v>
      </c>
      <c r="M34" s="40">
        <f t="shared" si="10"/>
        <v>0.47299999999999998</v>
      </c>
      <c r="N34" s="7">
        <f t="shared" si="3"/>
        <v>0.33333333333333331</v>
      </c>
      <c r="O34" s="8">
        <f t="shared" si="4"/>
        <v>9.9999999999999992E-2</v>
      </c>
      <c r="P34" s="7">
        <v>8</v>
      </c>
      <c r="Q34" s="8">
        <f t="shared" si="5"/>
        <v>0.22222222222222221</v>
      </c>
      <c r="R34" s="7">
        <v>1</v>
      </c>
      <c r="S34" s="7">
        <v>0</v>
      </c>
      <c r="T34" s="7">
        <v>0</v>
      </c>
      <c r="U34" s="8">
        <f t="shared" si="6"/>
        <v>1</v>
      </c>
      <c r="V34" s="10">
        <v>0</v>
      </c>
      <c r="W34" s="14">
        <v>2</v>
      </c>
      <c r="X34" s="16">
        <f t="shared" si="7"/>
        <v>2.5938888888888889</v>
      </c>
    </row>
    <row r="35" spans="1:24" x14ac:dyDescent="0.3">
      <c r="A35" s="1">
        <v>46227</v>
      </c>
      <c r="B35">
        <v>9</v>
      </c>
      <c r="C35" t="s">
        <v>3</v>
      </c>
      <c r="D35" t="s">
        <v>86</v>
      </c>
      <c r="E35" s="3">
        <v>3.9</v>
      </c>
      <c r="F35">
        <v>1</v>
      </c>
      <c r="G35">
        <v>1</v>
      </c>
      <c r="H35">
        <v>4</v>
      </c>
      <c r="I35">
        <v>3</v>
      </c>
      <c r="J35">
        <f t="shared" si="0"/>
        <v>0.75</v>
      </c>
      <c r="K35">
        <f t="shared" si="1"/>
        <v>0.6166666666666667</v>
      </c>
      <c r="L35">
        <f>E35-((E36+E37+E38)/3)</f>
        <v>1.0999999999999996</v>
      </c>
      <c r="M35" s="36">
        <f>0.5 + (L35 * 0.09)</f>
        <v>0.59899999999999998</v>
      </c>
      <c r="N35">
        <f t="shared" si="3"/>
        <v>1.75</v>
      </c>
      <c r="O35" s="5">
        <f t="shared" si="4"/>
        <v>0.95</v>
      </c>
      <c r="P35">
        <v>13</v>
      </c>
      <c r="Q35" s="5">
        <f t="shared" si="5"/>
        <v>0.66666666666666674</v>
      </c>
      <c r="R35">
        <v>1</v>
      </c>
      <c r="S35">
        <v>2</v>
      </c>
      <c r="T35">
        <v>1</v>
      </c>
      <c r="U35" s="5">
        <f t="shared" si="6"/>
        <v>0.5</v>
      </c>
      <c r="V35" s="9">
        <v>0</v>
      </c>
      <c r="W35" s="2">
        <v>3</v>
      </c>
      <c r="X35" s="56">
        <f t="shared" si="7"/>
        <v>3.8391666666666664</v>
      </c>
    </row>
    <row r="36" spans="1:24" x14ac:dyDescent="0.3">
      <c r="A36" s="1">
        <v>46227</v>
      </c>
      <c r="B36">
        <v>9</v>
      </c>
      <c r="C36" t="s">
        <v>2</v>
      </c>
      <c r="D36" t="s">
        <v>52</v>
      </c>
      <c r="E36" s="3">
        <v>3.5</v>
      </c>
      <c r="F36">
        <v>0</v>
      </c>
      <c r="G36">
        <v>2</v>
      </c>
      <c r="H36">
        <v>4</v>
      </c>
      <c r="I36">
        <v>0</v>
      </c>
      <c r="J36">
        <f t="shared" si="0"/>
        <v>-0.25</v>
      </c>
      <c r="K36">
        <f t="shared" si="1"/>
        <v>1.6666666666666673E-2</v>
      </c>
      <c r="L36">
        <f>E36-((E35+E37+E38)/3)</f>
        <v>0.56666666666666643</v>
      </c>
      <c r="M36" s="36">
        <f t="shared" ref="M36:M41" si="11">0.5 + (L36 * 0.09)</f>
        <v>0.55099999999999993</v>
      </c>
      <c r="N36">
        <f t="shared" si="3"/>
        <v>0.75</v>
      </c>
      <c r="O36" s="5">
        <f t="shared" si="4"/>
        <v>0.35000000000000003</v>
      </c>
      <c r="P36">
        <v>13</v>
      </c>
      <c r="Q36" s="5">
        <f t="shared" si="5"/>
        <v>0.3611111111111111</v>
      </c>
      <c r="R36">
        <v>1</v>
      </c>
      <c r="S36">
        <v>2</v>
      </c>
      <c r="T36">
        <v>1</v>
      </c>
      <c r="U36" s="5">
        <f t="shared" si="6"/>
        <v>0.5</v>
      </c>
      <c r="V36" s="9">
        <v>0</v>
      </c>
      <c r="W36" s="2">
        <v>3</v>
      </c>
      <c r="X36" s="17">
        <f t="shared" si="7"/>
        <v>3.6056944444444445</v>
      </c>
    </row>
    <row r="37" spans="1:24" x14ac:dyDescent="0.3">
      <c r="A37" s="1">
        <v>46227</v>
      </c>
      <c r="B37">
        <v>9</v>
      </c>
      <c r="C37" t="s">
        <v>6</v>
      </c>
      <c r="D37" t="s">
        <v>114</v>
      </c>
      <c r="E37" s="3">
        <v>2.9</v>
      </c>
      <c r="F37">
        <v>0</v>
      </c>
      <c r="G37">
        <v>2</v>
      </c>
      <c r="H37">
        <v>4</v>
      </c>
      <c r="I37">
        <v>0</v>
      </c>
      <c r="J37">
        <f t="shared" si="0"/>
        <v>-0.25</v>
      </c>
      <c r="K37">
        <f t="shared" si="1"/>
        <v>1.6666666666666673E-2</v>
      </c>
      <c r="L37">
        <f>E37-((E35+E36+E38)/3)</f>
        <v>-0.23333333333333339</v>
      </c>
      <c r="M37" s="36">
        <f t="shared" si="11"/>
        <v>0.47899999999999998</v>
      </c>
      <c r="N37">
        <f t="shared" si="3"/>
        <v>0.75</v>
      </c>
      <c r="O37" s="5">
        <f t="shared" si="4"/>
        <v>0.35000000000000003</v>
      </c>
      <c r="P37">
        <v>13</v>
      </c>
      <c r="Q37" s="5">
        <f t="shared" si="5"/>
        <v>0.3611111111111111</v>
      </c>
      <c r="R37">
        <v>0</v>
      </c>
      <c r="S37">
        <v>3</v>
      </c>
      <c r="T37">
        <v>2</v>
      </c>
      <c r="U37" s="5">
        <f t="shared" si="6"/>
        <v>0.66666666666666663</v>
      </c>
      <c r="V37" s="9">
        <v>1</v>
      </c>
      <c r="W37" s="2">
        <v>2</v>
      </c>
      <c r="X37" s="17">
        <f t="shared" si="7"/>
        <v>2.2848611111111112</v>
      </c>
    </row>
    <row r="38" spans="1:24" x14ac:dyDescent="0.3">
      <c r="A38" s="32">
        <v>46227</v>
      </c>
      <c r="B38" s="7">
        <v>9</v>
      </c>
      <c r="C38" s="7" t="s">
        <v>49</v>
      </c>
      <c r="D38" s="7" t="s">
        <v>118</v>
      </c>
      <c r="E38" s="18">
        <v>2</v>
      </c>
      <c r="F38" s="7">
        <v>0</v>
      </c>
      <c r="G38" s="7">
        <v>2</v>
      </c>
      <c r="H38" s="7">
        <v>4</v>
      </c>
      <c r="I38" s="7">
        <v>0</v>
      </c>
      <c r="J38" s="7">
        <f t="shared" si="0"/>
        <v>-0.25</v>
      </c>
      <c r="K38" s="7">
        <f t="shared" si="1"/>
        <v>1.6666666666666673E-2</v>
      </c>
      <c r="L38" s="7">
        <f>E38-((E35+E36+E37)/3)</f>
        <v>-1.4333333333333336</v>
      </c>
      <c r="M38" s="40">
        <f t="shared" si="11"/>
        <v>0.371</v>
      </c>
      <c r="N38" s="7">
        <f t="shared" si="3"/>
        <v>0.75</v>
      </c>
      <c r="O38" s="8">
        <f t="shared" si="4"/>
        <v>0.35000000000000003</v>
      </c>
      <c r="P38" s="7">
        <v>13</v>
      </c>
      <c r="Q38" s="8">
        <f t="shared" si="5"/>
        <v>0.3611111111111111</v>
      </c>
      <c r="R38" s="7">
        <v>0</v>
      </c>
      <c r="S38" s="7">
        <v>2</v>
      </c>
      <c r="T38" s="7">
        <v>1</v>
      </c>
      <c r="U38" s="8">
        <f t="shared" si="6"/>
        <v>0.5</v>
      </c>
      <c r="V38" s="10">
        <v>0</v>
      </c>
      <c r="W38" s="14">
        <v>2</v>
      </c>
      <c r="X38" s="16">
        <f t="shared" si="7"/>
        <v>2.4306944444444443</v>
      </c>
    </row>
    <row r="39" spans="1:24" x14ac:dyDescent="0.3">
      <c r="A39" s="1">
        <v>46227</v>
      </c>
      <c r="B39">
        <v>10</v>
      </c>
      <c r="C39" t="s">
        <v>6</v>
      </c>
      <c r="D39" t="s">
        <v>38</v>
      </c>
      <c r="E39" s="3">
        <v>3</v>
      </c>
      <c r="F39">
        <v>1</v>
      </c>
      <c r="G39">
        <v>1</v>
      </c>
      <c r="H39">
        <v>3</v>
      </c>
      <c r="I39">
        <v>2</v>
      </c>
      <c r="J39">
        <f t="shared" si="0"/>
        <v>0.66666666666666674</v>
      </c>
      <c r="K39">
        <f t="shared" si="1"/>
        <v>0.4333333333333334</v>
      </c>
      <c r="L39" s="3">
        <f>E39-((E40+E41)/2)</f>
        <v>0.25</v>
      </c>
      <c r="M39" s="36">
        <f t="shared" si="11"/>
        <v>0.52249999999999996</v>
      </c>
      <c r="N39">
        <f t="shared" si="3"/>
        <v>1.6666666666666667</v>
      </c>
      <c r="O39" s="5">
        <f t="shared" si="4"/>
        <v>0.89999999999999991</v>
      </c>
      <c r="P39">
        <v>9</v>
      </c>
      <c r="Q39" s="5">
        <f t="shared" si="5"/>
        <v>0.8</v>
      </c>
      <c r="R39">
        <v>1</v>
      </c>
      <c r="S39">
        <v>0</v>
      </c>
      <c r="T39">
        <v>0</v>
      </c>
      <c r="U39" s="5">
        <f t="shared" si="6"/>
        <v>1</v>
      </c>
      <c r="V39" s="9">
        <v>0</v>
      </c>
      <c r="W39" s="2">
        <v>3</v>
      </c>
      <c r="X39" s="56">
        <f t="shared" si="7"/>
        <v>3.9350000000000001</v>
      </c>
    </row>
    <row r="40" spans="1:24" x14ac:dyDescent="0.3">
      <c r="A40" s="1">
        <v>46227</v>
      </c>
      <c r="B40">
        <v>10</v>
      </c>
      <c r="C40" t="s">
        <v>3</v>
      </c>
      <c r="D40" t="s">
        <v>113</v>
      </c>
      <c r="E40" s="3">
        <v>2.5</v>
      </c>
      <c r="F40">
        <v>0</v>
      </c>
      <c r="G40">
        <v>2</v>
      </c>
      <c r="H40">
        <v>3</v>
      </c>
      <c r="I40">
        <v>0</v>
      </c>
      <c r="J40">
        <f t="shared" si="0"/>
        <v>-0.33333333333333331</v>
      </c>
      <c r="K40">
        <f t="shared" si="1"/>
        <v>3.3333333333333347E-2</v>
      </c>
      <c r="L40">
        <f>E40-((E39+E41)/2)</f>
        <v>-0.5</v>
      </c>
      <c r="M40" s="36">
        <f t="shared" si="11"/>
        <v>0.45500000000000002</v>
      </c>
      <c r="N40">
        <f t="shared" si="3"/>
        <v>0.66666666666666663</v>
      </c>
      <c r="O40" s="5">
        <f t="shared" si="4"/>
        <v>0.3</v>
      </c>
      <c r="P40">
        <v>9</v>
      </c>
      <c r="Q40" s="5">
        <f t="shared" si="5"/>
        <v>0.25</v>
      </c>
      <c r="R40">
        <v>0</v>
      </c>
      <c r="S40">
        <v>0</v>
      </c>
      <c r="T40">
        <v>0</v>
      </c>
      <c r="U40" s="5">
        <f t="shared" si="6"/>
        <v>1</v>
      </c>
      <c r="V40" s="9">
        <v>0</v>
      </c>
      <c r="W40" s="2">
        <v>2</v>
      </c>
      <c r="X40" s="17">
        <f t="shared" si="7"/>
        <v>2.4837500000000001</v>
      </c>
    </row>
    <row r="41" spans="1:24" x14ac:dyDescent="0.3">
      <c r="A41" s="32">
        <v>46227</v>
      </c>
      <c r="B41" s="7">
        <v>10</v>
      </c>
      <c r="C41" s="7" t="s">
        <v>2</v>
      </c>
      <c r="D41" s="7" t="s">
        <v>119</v>
      </c>
      <c r="E41" s="18">
        <v>3</v>
      </c>
      <c r="F41" s="7">
        <v>0</v>
      </c>
      <c r="G41" s="7">
        <v>2</v>
      </c>
      <c r="H41" s="7">
        <v>3</v>
      </c>
      <c r="I41" s="7">
        <v>0</v>
      </c>
      <c r="J41" s="7">
        <f t="shared" si="0"/>
        <v>-0.33333333333333331</v>
      </c>
      <c r="K41" s="7">
        <f t="shared" si="1"/>
        <v>3.3333333333333347E-2</v>
      </c>
      <c r="L41" s="7">
        <f>E41-((E39+E40)/2)</f>
        <v>0.25</v>
      </c>
      <c r="M41" s="40">
        <f t="shared" si="11"/>
        <v>0.52249999999999996</v>
      </c>
      <c r="N41" s="7">
        <f t="shared" si="3"/>
        <v>0.66666666666666663</v>
      </c>
      <c r="O41" s="8">
        <f t="shared" si="4"/>
        <v>0.3</v>
      </c>
      <c r="P41" s="7">
        <v>9</v>
      </c>
      <c r="Q41" s="8">
        <f t="shared" si="5"/>
        <v>0.25</v>
      </c>
      <c r="R41" s="7">
        <v>0</v>
      </c>
      <c r="S41" s="7">
        <v>0</v>
      </c>
      <c r="T41" s="7">
        <v>0</v>
      </c>
      <c r="U41" s="8">
        <f t="shared" si="6"/>
        <v>1</v>
      </c>
      <c r="V41" s="10">
        <v>1</v>
      </c>
      <c r="W41" s="14">
        <v>3</v>
      </c>
      <c r="X41" s="16">
        <f t="shared" si="7"/>
        <v>3.3087499999999999</v>
      </c>
    </row>
    <row r="42" spans="1:24" x14ac:dyDescent="0.3">
      <c r="A42" s="1">
        <v>46228</v>
      </c>
      <c r="B42">
        <v>11</v>
      </c>
      <c r="C42" t="s">
        <v>2</v>
      </c>
      <c r="D42" t="s">
        <v>116</v>
      </c>
      <c r="E42" s="3">
        <v>2.7</v>
      </c>
      <c r="F42">
        <v>1</v>
      </c>
      <c r="G42">
        <v>1</v>
      </c>
      <c r="H42">
        <v>3</v>
      </c>
      <c r="I42">
        <v>2</v>
      </c>
      <c r="J42">
        <f t="shared" si="0"/>
        <v>0.66666666666666674</v>
      </c>
      <c r="K42">
        <f t="shared" si="1"/>
        <v>0.4333333333333334</v>
      </c>
      <c r="L42" s="3">
        <f>E42-((E43+E44)/2)</f>
        <v>-0.19999999999999973</v>
      </c>
      <c r="M42" s="36">
        <f t="shared" ref="M42:M44" si="12">0.5 + (L42 * 0.09)</f>
        <v>0.48200000000000004</v>
      </c>
      <c r="N42">
        <f t="shared" si="3"/>
        <v>1.6666666666666667</v>
      </c>
      <c r="O42" s="5">
        <f t="shared" si="4"/>
        <v>0.89999999999999991</v>
      </c>
      <c r="P42">
        <v>8</v>
      </c>
      <c r="Q42" s="5">
        <f t="shared" si="5"/>
        <v>0.83333333333333337</v>
      </c>
      <c r="R42">
        <v>1</v>
      </c>
      <c r="S42">
        <v>0</v>
      </c>
      <c r="T42">
        <v>0</v>
      </c>
      <c r="U42" s="5">
        <f t="shared" si="6"/>
        <v>1</v>
      </c>
      <c r="V42" s="9">
        <v>0</v>
      </c>
      <c r="W42" s="2">
        <v>2</v>
      </c>
      <c r="X42" s="56">
        <f t="shared" si="7"/>
        <v>2.9408333333333334</v>
      </c>
    </row>
    <row r="43" spans="1:24" x14ac:dyDescent="0.3">
      <c r="A43" s="1">
        <v>46228</v>
      </c>
      <c r="B43">
        <v>11</v>
      </c>
      <c r="C43" t="s">
        <v>3</v>
      </c>
      <c r="D43" t="s">
        <v>109</v>
      </c>
      <c r="E43" s="3">
        <v>2.2999999999999998</v>
      </c>
      <c r="F43">
        <v>0</v>
      </c>
      <c r="G43">
        <v>2</v>
      </c>
      <c r="H43">
        <v>3</v>
      </c>
      <c r="I43">
        <v>0</v>
      </c>
      <c r="J43">
        <f t="shared" si="0"/>
        <v>-0.33333333333333331</v>
      </c>
      <c r="K43">
        <f t="shared" si="1"/>
        <v>3.3333333333333347E-2</v>
      </c>
      <c r="L43">
        <f>E43-((E42+E44)/2)</f>
        <v>-0.80000000000000027</v>
      </c>
      <c r="M43" s="36">
        <f t="shared" si="12"/>
        <v>0.42799999999999999</v>
      </c>
      <c r="N43">
        <f t="shared" si="3"/>
        <v>0.66666666666666663</v>
      </c>
      <c r="O43" s="5">
        <f t="shared" si="4"/>
        <v>0.3</v>
      </c>
      <c r="P43">
        <v>8</v>
      </c>
      <c r="Q43" s="5">
        <f t="shared" si="5"/>
        <v>0.22222222222222221</v>
      </c>
      <c r="R43">
        <v>1</v>
      </c>
      <c r="S43">
        <v>0</v>
      </c>
      <c r="T43">
        <v>0</v>
      </c>
      <c r="U43" s="5">
        <f t="shared" si="6"/>
        <v>1</v>
      </c>
      <c r="V43" s="9">
        <v>0</v>
      </c>
      <c r="W43" s="2">
        <v>2</v>
      </c>
      <c r="X43" s="17">
        <f t="shared" si="7"/>
        <v>2.653888888888889</v>
      </c>
    </row>
    <row r="44" spans="1:24" x14ac:dyDescent="0.3">
      <c r="A44" s="32">
        <v>46228</v>
      </c>
      <c r="B44" s="7">
        <v>11</v>
      </c>
      <c r="C44" s="7" t="s">
        <v>6</v>
      </c>
      <c r="D44" s="7" t="s">
        <v>111</v>
      </c>
      <c r="E44" s="18">
        <v>3.5</v>
      </c>
      <c r="F44" s="7">
        <v>0</v>
      </c>
      <c r="G44" s="7">
        <v>2</v>
      </c>
      <c r="H44" s="7">
        <v>3</v>
      </c>
      <c r="I44" s="7">
        <v>0</v>
      </c>
      <c r="J44" s="7">
        <f t="shared" si="0"/>
        <v>-0.33333333333333331</v>
      </c>
      <c r="K44" s="7">
        <f t="shared" si="1"/>
        <v>3.3333333333333347E-2</v>
      </c>
      <c r="L44" s="7">
        <f>E44-((E42+E43)/2)</f>
        <v>1</v>
      </c>
      <c r="M44" s="40">
        <f t="shared" si="12"/>
        <v>0.59</v>
      </c>
      <c r="N44" s="7">
        <f t="shared" si="3"/>
        <v>0.66666666666666663</v>
      </c>
      <c r="O44" s="8">
        <f t="shared" si="4"/>
        <v>0.3</v>
      </c>
      <c r="P44" s="7">
        <v>8</v>
      </c>
      <c r="Q44" s="8">
        <f t="shared" si="5"/>
        <v>0.22222222222222221</v>
      </c>
      <c r="R44" s="7">
        <v>1</v>
      </c>
      <c r="S44" s="7">
        <v>0</v>
      </c>
      <c r="T44" s="7">
        <v>0</v>
      </c>
      <c r="U44" s="8">
        <f t="shared" si="6"/>
        <v>1</v>
      </c>
      <c r="V44" s="10">
        <v>0</v>
      </c>
      <c r="W44" s="14">
        <v>3</v>
      </c>
      <c r="X44" s="16">
        <f t="shared" si="7"/>
        <v>3.653888888888889</v>
      </c>
    </row>
    <row r="45" spans="1:24" x14ac:dyDescent="0.3">
      <c r="A45" s="1">
        <v>46228</v>
      </c>
      <c r="B45">
        <v>12</v>
      </c>
      <c r="C45" t="s">
        <v>6</v>
      </c>
      <c r="D45" t="s">
        <v>114</v>
      </c>
      <c r="E45" s="3">
        <v>2.2999999999999998</v>
      </c>
      <c r="F45">
        <v>1</v>
      </c>
      <c r="G45">
        <v>1</v>
      </c>
      <c r="H45">
        <v>3</v>
      </c>
      <c r="I45">
        <v>2</v>
      </c>
      <c r="J45">
        <f t="shared" si="0"/>
        <v>0.66666666666666674</v>
      </c>
      <c r="K45">
        <f t="shared" si="1"/>
        <v>0.4333333333333334</v>
      </c>
      <c r="L45" s="3">
        <f>E45-((E46+E47)/2)</f>
        <v>-0.75</v>
      </c>
      <c r="M45" s="36">
        <f t="shared" ref="M45:M47" si="13">0.5 + (L45 * 0.09)</f>
        <v>0.4325</v>
      </c>
      <c r="N45">
        <f t="shared" si="3"/>
        <v>1.6666666666666667</v>
      </c>
      <c r="O45" s="5">
        <f t="shared" si="4"/>
        <v>0.89999999999999991</v>
      </c>
      <c r="P45">
        <v>7</v>
      </c>
      <c r="Q45" s="5">
        <f t="shared" si="5"/>
        <v>0.8666666666666667</v>
      </c>
      <c r="R45">
        <v>1</v>
      </c>
      <c r="S45">
        <v>0</v>
      </c>
      <c r="T45">
        <v>0</v>
      </c>
      <c r="U45" s="5">
        <f t="shared" si="6"/>
        <v>1</v>
      </c>
      <c r="V45" s="9">
        <v>0</v>
      </c>
      <c r="W45" s="2">
        <v>2</v>
      </c>
      <c r="X45" s="56">
        <f t="shared" si="7"/>
        <v>2.9466666666666668</v>
      </c>
    </row>
    <row r="46" spans="1:24" x14ac:dyDescent="0.3">
      <c r="A46" s="1">
        <v>46228</v>
      </c>
      <c r="B46">
        <v>12</v>
      </c>
      <c r="C46" t="s">
        <v>3</v>
      </c>
      <c r="D46" t="s">
        <v>113</v>
      </c>
      <c r="E46" s="3">
        <v>2.5</v>
      </c>
      <c r="F46">
        <v>0</v>
      </c>
      <c r="G46">
        <v>2</v>
      </c>
      <c r="H46">
        <v>3</v>
      </c>
      <c r="I46">
        <v>0</v>
      </c>
      <c r="J46">
        <f t="shared" si="0"/>
        <v>-0.33333333333333331</v>
      </c>
      <c r="K46">
        <f t="shared" si="1"/>
        <v>3.3333333333333347E-2</v>
      </c>
      <c r="L46">
        <f>E46-((E45+E47)/2)</f>
        <v>-0.45000000000000018</v>
      </c>
      <c r="M46" s="36">
        <f t="shared" si="13"/>
        <v>0.45949999999999996</v>
      </c>
      <c r="N46">
        <f t="shared" si="3"/>
        <v>0.66666666666666663</v>
      </c>
      <c r="O46" s="5">
        <f t="shared" si="4"/>
        <v>0.3</v>
      </c>
      <c r="P46">
        <v>7</v>
      </c>
      <c r="Q46" s="5">
        <f t="shared" si="5"/>
        <v>0.19444444444444445</v>
      </c>
      <c r="R46">
        <v>0</v>
      </c>
      <c r="S46">
        <v>0</v>
      </c>
      <c r="T46">
        <v>0</v>
      </c>
      <c r="U46" s="5">
        <f t="shared" si="6"/>
        <v>1</v>
      </c>
      <c r="V46" s="9">
        <v>1</v>
      </c>
      <c r="W46" s="2">
        <v>2</v>
      </c>
      <c r="X46" s="17">
        <f t="shared" si="7"/>
        <v>2.2990277777777779</v>
      </c>
    </row>
    <row r="47" spans="1:24" x14ac:dyDescent="0.3">
      <c r="A47" s="32">
        <v>46228</v>
      </c>
      <c r="B47" s="7">
        <v>12</v>
      </c>
      <c r="C47" s="7" t="s">
        <v>2</v>
      </c>
      <c r="D47" s="7" t="s">
        <v>110</v>
      </c>
      <c r="E47" s="18">
        <v>3.6</v>
      </c>
      <c r="F47" s="7">
        <v>0</v>
      </c>
      <c r="G47" s="7">
        <v>3</v>
      </c>
      <c r="H47" s="7">
        <v>3</v>
      </c>
      <c r="I47" s="7">
        <v>0</v>
      </c>
      <c r="J47" s="7">
        <f t="shared" si="0"/>
        <v>-0.33333333333333331</v>
      </c>
      <c r="K47" s="7">
        <f t="shared" si="1"/>
        <v>3.3333333333333347E-2</v>
      </c>
      <c r="L47" s="7">
        <f>E47-((E45+E46)/2)</f>
        <v>1.2000000000000002</v>
      </c>
      <c r="M47" s="40">
        <f t="shared" si="13"/>
        <v>0.60799999999999998</v>
      </c>
      <c r="N47" s="7">
        <f t="shared" si="3"/>
        <v>0.33333333333333331</v>
      </c>
      <c r="O47" s="8">
        <f t="shared" si="4"/>
        <v>9.9999999999999992E-2</v>
      </c>
      <c r="P47" s="7">
        <v>6</v>
      </c>
      <c r="Q47" s="8">
        <f t="shared" si="5"/>
        <v>0.16666666666666666</v>
      </c>
      <c r="R47" s="7">
        <v>1</v>
      </c>
      <c r="S47" s="7">
        <v>0</v>
      </c>
      <c r="T47" s="7">
        <v>0</v>
      </c>
      <c r="U47" s="8">
        <f t="shared" si="6"/>
        <v>1</v>
      </c>
      <c r="V47" s="10">
        <v>0</v>
      </c>
      <c r="W47" s="14">
        <v>3</v>
      </c>
      <c r="X47" s="16">
        <f t="shared" si="7"/>
        <v>3.5841666666666665</v>
      </c>
    </row>
    <row r="48" spans="1:24" x14ac:dyDescent="0.3">
      <c r="A48" s="1">
        <v>46228</v>
      </c>
      <c r="B48">
        <v>13</v>
      </c>
      <c r="C48" t="s">
        <v>2</v>
      </c>
      <c r="D48" t="s">
        <v>119</v>
      </c>
      <c r="E48" s="3">
        <v>3.3</v>
      </c>
      <c r="F48">
        <v>1</v>
      </c>
      <c r="G48">
        <v>1</v>
      </c>
      <c r="H48">
        <v>3</v>
      </c>
      <c r="I48">
        <v>2</v>
      </c>
      <c r="J48">
        <f t="shared" si="0"/>
        <v>0.66666666666666674</v>
      </c>
      <c r="K48">
        <f t="shared" si="1"/>
        <v>0.4333333333333334</v>
      </c>
      <c r="L48" s="3">
        <f>E48-((E49+E50)/2)</f>
        <v>-5.0000000000000266E-2</v>
      </c>
      <c r="M48" s="36">
        <f t="shared" ref="M48:M50" si="14">0.5 + (L48 * 0.09)</f>
        <v>0.4955</v>
      </c>
      <c r="N48">
        <f t="shared" si="3"/>
        <v>1.6666666666666667</v>
      </c>
      <c r="O48" s="5">
        <f t="shared" si="4"/>
        <v>0.89999999999999991</v>
      </c>
      <c r="P48">
        <v>11</v>
      </c>
      <c r="Q48" s="5">
        <f t="shared" si="5"/>
        <v>0.73333333333333339</v>
      </c>
      <c r="R48">
        <v>1</v>
      </c>
      <c r="S48">
        <v>0</v>
      </c>
      <c r="T48">
        <v>0</v>
      </c>
      <c r="U48" s="5">
        <f t="shared" si="6"/>
        <v>1</v>
      </c>
      <c r="V48" s="9">
        <v>0</v>
      </c>
      <c r="W48" s="2">
        <v>3</v>
      </c>
      <c r="X48" s="56">
        <f t="shared" si="7"/>
        <v>3.9233333333333333</v>
      </c>
    </row>
    <row r="49" spans="1:24" x14ac:dyDescent="0.3">
      <c r="A49" s="1">
        <v>46228</v>
      </c>
      <c r="B49">
        <v>13</v>
      </c>
      <c r="C49" t="s">
        <v>3</v>
      </c>
      <c r="D49" t="s">
        <v>9</v>
      </c>
      <c r="E49" s="3">
        <v>3</v>
      </c>
      <c r="F49">
        <v>0</v>
      </c>
      <c r="G49">
        <v>2</v>
      </c>
      <c r="H49">
        <v>3</v>
      </c>
      <c r="I49">
        <v>0</v>
      </c>
      <c r="J49">
        <f t="shared" si="0"/>
        <v>-0.33333333333333331</v>
      </c>
      <c r="K49">
        <f t="shared" si="1"/>
        <v>3.3333333333333347E-2</v>
      </c>
      <c r="L49">
        <f>E49-((E48+E50)/2)</f>
        <v>-0.5</v>
      </c>
      <c r="M49" s="36">
        <f t="shared" si="14"/>
        <v>0.45500000000000002</v>
      </c>
      <c r="N49">
        <f t="shared" si="3"/>
        <v>0.66666666666666663</v>
      </c>
      <c r="O49" s="5">
        <f t="shared" si="4"/>
        <v>0.3</v>
      </c>
      <c r="P49">
        <v>11</v>
      </c>
      <c r="Q49" s="5">
        <f t="shared" si="5"/>
        <v>0.30555555555555558</v>
      </c>
      <c r="R49">
        <v>0</v>
      </c>
      <c r="S49">
        <v>0</v>
      </c>
      <c r="T49">
        <v>0</v>
      </c>
      <c r="U49" s="5">
        <f t="shared" si="6"/>
        <v>1</v>
      </c>
      <c r="V49" s="9">
        <v>0</v>
      </c>
      <c r="W49" s="2">
        <v>3</v>
      </c>
      <c r="X49" s="17">
        <f t="shared" si="7"/>
        <v>3.4934722222222221</v>
      </c>
    </row>
    <row r="50" spans="1:24" x14ac:dyDescent="0.3">
      <c r="A50" s="32">
        <v>46228</v>
      </c>
      <c r="B50" s="7">
        <v>13</v>
      </c>
      <c r="C50" s="7" t="s">
        <v>6</v>
      </c>
      <c r="D50" s="7" t="s">
        <v>103</v>
      </c>
      <c r="E50" s="18">
        <v>3.7</v>
      </c>
      <c r="F50" s="7">
        <v>0</v>
      </c>
      <c r="G50" s="7">
        <v>3</v>
      </c>
      <c r="H50" s="7">
        <v>3</v>
      </c>
      <c r="I50" s="7">
        <v>0</v>
      </c>
      <c r="J50" s="7">
        <f t="shared" si="0"/>
        <v>-0.33333333333333331</v>
      </c>
      <c r="K50" s="7">
        <f t="shared" si="1"/>
        <v>3.3333333333333347E-2</v>
      </c>
      <c r="L50" s="7">
        <f>E50-((E48+E49)/2)</f>
        <v>0.55000000000000027</v>
      </c>
      <c r="M50" s="40">
        <f t="shared" si="14"/>
        <v>0.54949999999999999</v>
      </c>
      <c r="N50" s="7">
        <f t="shared" si="3"/>
        <v>0.33333333333333331</v>
      </c>
      <c r="O50" s="8">
        <f t="shared" si="4"/>
        <v>9.9999999999999992E-2</v>
      </c>
      <c r="P50" s="7">
        <v>9</v>
      </c>
      <c r="Q50" s="8">
        <f t="shared" si="5"/>
        <v>0.25</v>
      </c>
      <c r="R50" s="7">
        <v>1</v>
      </c>
      <c r="S50" s="7">
        <v>0</v>
      </c>
      <c r="T50" s="7">
        <v>0</v>
      </c>
      <c r="U50" s="8">
        <f t="shared" si="6"/>
        <v>1</v>
      </c>
      <c r="V50" s="10">
        <v>0</v>
      </c>
      <c r="W50" s="14">
        <v>3</v>
      </c>
      <c r="X50" s="16">
        <f t="shared" si="7"/>
        <v>3.5987499999999999</v>
      </c>
    </row>
    <row r="51" spans="1:24" x14ac:dyDescent="0.3">
      <c r="A51" s="1">
        <v>46236</v>
      </c>
      <c r="B51" s="7">
        <v>14</v>
      </c>
      <c r="C51" s="7" t="s">
        <v>3</v>
      </c>
      <c r="D51" s="7" t="s">
        <v>113</v>
      </c>
      <c r="E51" s="3">
        <v>2.3</v>
      </c>
      <c r="F51" s="7">
        <v>1</v>
      </c>
      <c r="G51" s="7">
        <v>1</v>
      </c>
      <c r="H51" s="7">
        <v>3</v>
      </c>
      <c r="I51" s="7">
        <v>2</v>
      </c>
      <c r="J51" s="7">
        <f>F51-(1/H51)</f>
        <v>0.6666666666666667</v>
      </c>
      <c r="K51" s="7">
        <f>((I51-((H51-1)/H51))-(-5/6))/((5-(5/6))-(-5/6))</f>
        <v>0.4333333333333334</v>
      </c>
      <c r="L51" s="7">
        <f>E51-((E52+E53)/2)</f>
        <v>-0.75</v>
      </c>
      <c r="M51" s="48">
        <f>0.5+(L51*0.09)</f>
        <v>0.4325</v>
      </c>
      <c r="N51" s="7">
        <f>((H51-(G51-1))/H51)*(IF(I51&lt;&gt;0,(I51+H51)/H51,1))</f>
        <v>1.6666666666666667</v>
      </c>
      <c r="O51" s="8">
        <f>(N51-(1/6))/(10/6)</f>
        <v>0.8999999999999999</v>
      </c>
      <c r="P51" s="7">
        <v>8</v>
      </c>
      <c r="Q51" s="8">
        <f>IF(F51=1,(((1-((P51-3)/15))*0.5)+0.5),((P51/18)*0.5))</f>
        <v>0.8333333333333334</v>
      </c>
      <c r="R51" s="7">
        <v>1</v>
      </c>
      <c r="S51" s="7">
        <v>0</v>
      </c>
      <c r="T51" s="7">
        <v>0</v>
      </c>
      <c r="U51" s="8">
        <f>IFERROR(T51/S51, 1)</f>
        <v>1</v>
      </c>
      <c r="V51" s="10">
        <v>0</v>
      </c>
      <c r="W51" s="14">
        <v>2</v>
      </c>
      <c r="X51" s="3">
        <f>((O51*0.3)+(Q51*0.175)+(R51*0.175)+(U51*0.175)+((1-V51)*0.175))+W51</f>
        <v>2.9408333333333334</v>
      </c>
    </row>
    <row r="52" spans="1:24" x14ac:dyDescent="0.3">
      <c r="A52" s="1">
        <v>46236</v>
      </c>
      <c r="B52" s="7">
        <v>14</v>
      </c>
      <c r="C52" s="7" t="s">
        <v>49</v>
      </c>
      <c r="D52" s="7" t="s">
        <v>50</v>
      </c>
      <c r="E52" s="3">
        <v>2.5</v>
      </c>
      <c r="F52" s="7">
        <v>0</v>
      </c>
      <c r="G52" s="7">
        <v>2</v>
      </c>
      <c r="H52" s="7">
        <v>3</v>
      </c>
      <c r="I52" s="7">
        <v>0</v>
      </c>
      <c r="J52" s="7">
        <f>F52-(1/H52)</f>
        <v>-0.3333333333333333</v>
      </c>
      <c r="K52" s="7">
        <f>((I52-((H52-1)/H52))-(-5/6))/((5-(5/6))-(-5/6))</f>
        <v>0.03333333333333335</v>
      </c>
      <c r="L52" s="7">
        <f>E52-((E51+E53)/2)</f>
        <v>-0.4500000000000002</v>
      </c>
      <c r="M52" s="48">
        <f>0.5+(L52*0.09)</f>
        <v>0.45949999999999996</v>
      </c>
      <c r="N52" s="7">
        <f>((H52-(G52-1))/H52)*(IF(I52&lt;&gt;0,(I52+H52)/H52,1))</f>
        <v>0.6666666666666666</v>
      </c>
      <c r="O52" s="8">
        <f>(N52-(1/6))/(10/6)</f>
        <v>0.3</v>
      </c>
      <c r="P52" s="7">
        <v>8</v>
      </c>
      <c r="Q52" s="8">
        <f>IF(F52=1,(((1-((P52-3)/15))*0.5)+0.5),((P52/18)*0.5))</f>
        <v>0.2222222222222222</v>
      </c>
      <c r="R52" s="7">
        <v>0</v>
      </c>
      <c r="S52" s="7">
        <v>1</v>
      </c>
      <c r="T52" s="7">
        <v>0</v>
      </c>
      <c r="U52" s="8">
        <f>IFERROR(T52/S52, 1)</f>
        <v>0.0</v>
      </c>
      <c r="V52" s="10">
        <v>0</v>
      </c>
      <c r="W52" s="14">
        <v>2</v>
      </c>
      <c r="X52" s="3">
        <f>((O52*0.3)+(Q52*0.175)+(R52*0.175)+(U52*0.175)+((1-V52)*0.175))+W52</f>
        <v>2.303888888888889</v>
      </c>
    </row>
    <row r="53" spans="1:24" x14ac:dyDescent="0.3">
      <c r="A53" s="1">
        <v>46236</v>
      </c>
      <c r="B53" s="7">
        <v>14</v>
      </c>
      <c r="C53" s="7" t="s">
        <v>2</v>
      </c>
      <c r="D53" s="7" t="s">
        <v>52</v>
      </c>
      <c r="E53" s="3">
        <v>3.6</v>
      </c>
      <c r="F53" s="7">
        <v>0</v>
      </c>
      <c r="G53" s="7">
        <v>3</v>
      </c>
      <c r="H53" s="7">
        <v>3</v>
      </c>
      <c r="I53" s="7">
        <v>0</v>
      </c>
      <c r="J53" s="7">
        <f>F53-(1/H53)</f>
        <v>-0.3333333333333333</v>
      </c>
      <c r="K53" s="7">
        <f>((I53-((H53-1)/H53))-(-5/6))/((5-(5/6))-(-5/6))</f>
        <v>0.03333333333333335</v>
      </c>
      <c r="L53" s="7">
        <f>E53-((E51+E52)/2)</f>
        <v>1.2000000000000002</v>
      </c>
      <c r="M53" s="48">
        <f>0.5+(L53*0.09)</f>
        <v>0.608</v>
      </c>
      <c r="N53" s="7">
        <f>((H53-(G53-1))/H53)*(IF(I53&lt;&gt;0,(I53+H53)/H53,1))</f>
        <v>0.3333333333333333</v>
      </c>
      <c r="O53" s="8">
        <f>(N53-(1/6))/(10/6)</f>
        <v>0.09999999999999999</v>
      </c>
      <c r="P53" s="7">
        <v>7</v>
      </c>
      <c r="Q53" s="8">
        <f>IF(F53=1,(((1-((P53-3)/15))*0.5)+0.5),((P53/18)*0.5))</f>
        <v>0.19444444444444445</v>
      </c>
      <c r="R53" s="7">
        <v>0</v>
      </c>
      <c r="S53" s="7">
        <v>1</v>
      </c>
      <c r="T53" s="7">
        <v>0</v>
      </c>
      <c r="U53" s="8">
        <f>IFERROR(T53/S53, 1)</f>
        <v>0.0</v>
      </c>
      <c r="V53" s="10">
        <v>0</v>
      </c>
      <c r="W53" s="14">
        <v>3</v>
      </c>
      <c r="X53" s="3">
        <f>((O53*0.3)+(Q53*0.175)+(R53*0.175)+(U53*0.175)+((1-V53)*0.175))+W53</f>
        <v>3.239027777777778</v>
      </c>
    </row>
    <row r="54" spans="1:24" x14ac:dyDescent="0.3">
      <c r="A54" s="1"/>
      <c r="E54" s="3"/>
      <c r="M54" s="48"/>
      <c r="X54" s="3"/>
    </row>
    <row r="55" spans="1:24" x14ac:dyDescent="0.3">
      <c r="A55" s="1"/>
      <c r="E55" s="3"/>
      <c r="M55" s="48"/>
      <c r="X55" s="3"/>
    </row>
    <row r="56" spans="1:24" x14ac:dyDescent="0.3">
      <c r="A56" s="1"/>
      <c r="E56" s="3"/>
      <c r="M56" s="48"/>
      <c r="X56" s="3"/>
    </row>
    <row r="57" spans="1:24" x14ac:dyDescent="0.3">
      <c r="A57" s="1"/>
      <c r="E57" s="3"/>
      <c r="M57" s="48"/>
      <c r="X57" s="3"/>
    </row>
    <row r="58" spans="1:24" x14ac:dyDescent="0.3">
      <c r="A58" s="1"/>
      <c r="E58" s="3"/>
      <c r="M58" s="48"/>
      <c r="X58" s="3"/>
    </row>
    <row r="59" spans="1:24" x14ac:dyDescent="0.3">
      <c r="A59" s="1"/>
      <c r="E59" s="3"/>
      <c r="M59" s="48"/>
      <c r="X59" s="3"/>
    </row>
    <row r="60" spans="1:24" x14ac:dyDescent="0.3">
      <c r="A60" s="1"/>
      <c r="E60" s="3"/>
      <c r="M60" s="48"/>
      <c r="X60" s="3"/>
    </row>
    <row r="61" spans="1:24" x14ac:dyDescent="0.3">
      <c r="A61" s="1"/>
      <c r="E61" s="3"/>
      <c r="M61" s="48"/>
      <c r="X61" s="3"/>
    </row>
    <row r="62" spans="1:24" x14ac:dyDescent="0.3">
      <c r="A62" s="1"/>
      <c r="E62" s="3"/>
      <c r="M62" s="48"/>
      <c r="X62" s="3"/>
    </row>
    <row r="63" spans="1:24" x14ac:dyDescent="0.3">
      <c r="A63" s="1"/>
      <c r="E63" s="3"/>
      <c r="M63" s="48"/>
      <c r="X63" s="3"/>
    </row>
    <row r="64" spans="1:24" x14ac:dyDescent="0.3">
      <c r="A64" s="1"/>
      <c r="E64" s="3"/>
      <c r="M64" s="48"/>
      <c r="X64" s="3"/>
    </row>
    <row r="65" spans="1:24" x14ac:dyDescent="0.3">
      <c r="A65" s="1"/>
      <c r="E65" s="3"/>
      <c r="M65" s="48"/>
      <c r="X65" s="3"/>
    </row>
    <row r="66" spans="1:24" x14ac:dyDescent="0.3">
      <c r="A66" s="1"/>
      <c r="E66" s="3"/>
      <c r="M66" s="48"/>
      <c r="X66" s="3"/>
    </row>
    <row r="67" spans="1:24" x14ac:dyDescent="0.3">
      <c r="A67" s="1"/>
      <c r="E67" s="3"/>
      <c r="M67" s="48"/>
      <c r="X67" s="3"/>
    </row>
    <row r="68" spans="1:24" x14ac:dyDescent="0.3">
      <c r="A68" s="1"/>
      <c r="E68" s="3"/>
      <c r="M68" s="48"/>
      <c r="X68" s="3"/>
    </row>
    <row r="69" spans="1:24" x14ac:dyDescent="0.3">
      <c r="A69" s="1"/>
      <c r="E69" s="3"/>
      <c r="M69" s="48"/>
      <c r="X69" s="3"/>
    </row>
    <row r="70" spans="1:24" x14ac:dyDescent="0.3">
      <c r="A70" s="1"/>
      <c r="E70" s="3"/>
      <c r="M70" s="48"/>
      <c r="X70" s="3"/>
    </row>
    <row r="71" spans="1:24" x14ac:dyDescent="0.3">
      <c r="A71" s="1"/>
      <c r="E71" s="3"/>
      <c r="M71" s="48"/>
      <c r="X71" s="3"/>
    </row>
    <row r="72" spans="1:24" x14ac:dyDescent="0.3">
      <c r="A72" s="1"/>
      <c r="E72" s="3"/>
      <c r="M72" s="48"/>
      <c r="X72" s="3"/>
    </row>
    <row r="73" spans="1:24" x14ac:dyDescent="0.3">
      <c r="A73" s="1"/>
      <c r="E73" s="3"/>
      <c r="M73" s="48"/>
      <c r="X73" s="3"/>
    </row>
    <row r="74" spans="1:24" x14ac:dyDescent="0.3">
      <c r="A74" s="1"/>
      <c r="E74" s="3"/>
      <c r="M74" s="48"/>
      <c r="X74" s="3"/>
    </row>
    <row r="75" spans="1:24" x14ac:dyDescent="0.3">
      <c r="A75" s="1"/>
      <c r="E75" s="3"/>
      <c r="M75" s="48"/>
      <c r="X75" s="3"/>
    </row>
    <row r="76" spans="1:24" x14ac:dyDescent="0.3">
      <c r="A76" s="1"/>
      <c r="E76" s="3"/>
      <c r="M76" s="48"/>
      <c r="X76" s="3"/>
    </row>
    <row r="77" spans="1:24" x14ac:dyDescent="0.3">
      <c r="A77" s="1"/>
      <c r="E77" s="3"/>
      <c r="M77" s="48"/>
      <c r="X77" s="3"/>
    </row>
    <row r="78" spans="1:24" x14ac:dyDescent="0.3">
      <c r="A78" s="1"/>
      <c r="E78" s="3"/>
      <c r="M78" s="48"/>
      <c r="X78" s="3"/>
    </row>
    <row r="79" spans="1:24" x14ac:dyDescent="0.3">
      <c r="A79" s="1"/>
      <c r="E79" s="3"/>
      <c r="M79" s="48"/>
      <c r="X79" s="3"/>
    </row>
    <row r="80" spans="1:24" x14ac:dyDescent="0.3">
      <c r="A80" s="1"/>
      <c r="E80" s="3"/>
      <c r="M80" s="48"/>
      <c r="X80" s="3"/>
    </row>
    <row r="81" spans="1:24" x14ac:dyDescent="0.3">
      <c r="A81" s="1"/>
      <c r="E81" s="3"/>
      <c r="M81" s="48"/>
      <c r="X81" s="3"/>
    </row>
    <row r="82" spans="1:24" x14ac:dyDescent="0.3">
      <c r="A82" s="1"/>
      <c r="E82" s="3"/>
      <c r="M82" s="48"/>
      <c r="X82" s="3"/>
    </row>
    <row r="83" spans="1:24" x14ac:dyDescent="0.3">
      <c r="A83" s="1"/>
      <c r="E83" s="3"/>
      <c r="L83" s="3"/>
      <c r="M83" s="48"/>
      <c r="X83" s="3"/>
    </row>
    <row r="84" spans="1:24" x14ac:dyDescent="0.3">
      <c r="A84" s="1"/>
      <c r="E84" s="3"/>
      <c r="M84" s="48"/>
      <c r="X84" s="3"/>
    </row>
    <row r="85" spans="1:24" x14ac:dyDescent="0.3">
      <c r="A85" s="1"/>
      <c r="E85" s="3"/>
      <c r="M85" s="48"/>
      <c r="X85" s="3"/>
    </row>
    <row r="86" spans="1:24" x14ac:dyDescent="0.3">
      <c r="A86" s="1"/>
      <c r="E86" s="3"/>
      <c r="M86" s="48"/>
      <c r="X86" s="3"/>
    </row>
    <row r="87" spans="1:24" x14ac:dyDescent="0.3">
      <c r="A87" s="1"/>
      <c r="E87" s="3"/>
      <c r="M87" s="48"/>
      <c r="X87" s="3"/>
    </row>
    <row r="88" spans="1:24" x14ac:dyDescent="0.3">
      <c r="A88" s="1"/>
      <c r="E88" s="3"/>
      <c r="M88" s="48"/>
      <c r="X88" s="3"/>
    </row>
    <row r="89" spans="1:24" x14ac:dyDescent="0.3">
      <c r="A89" s="1"/>
      <c r="E89" s="3"/>
      <c r="M89" s="48"/>
      <c r="X89" s="3"/>
    </row>
    <row r="90" spans="1:24" x14ac:dyDescent="0.3">
      <c r="A90" s="1"/>
      <c r="E90" s="3"/>
      <c r="M90" s="48"/>
      <c r="X90" s="3"/>
    </row>
    <row r="91" spans="1:24" x14ac:dyDescent="0.3">
      <c r="A91" s="1"/>
      <c r="E91" s="3"/>
      <c r="M91" s="48"/>
      <c r="X91" s="3"/>
    </row>
    <row r="92" spans="1:24" x14ac:dyDescent="0.3">
      <c r="A92" s="1"/>
      <c r="E92" s="3"/>
      <c r="M92" s="48"/>
      <c r="X92" s="3"/>
    </row>
    <row r="93" spans="1:24" x14ac:dyDescent="0.3">
      <c r="A93" s="1"/>
      <c r="E93" s="3"/>
      <c r="M93" s="48"/>
      <c r="X93" s="3"/>
    </row>
    <row r="94" spans="1:24" x14ac:dyDescent="0.3">
      <c r="A94" s="1"/>
      <c r="E94" s="3"/>
      <c r="M94" s="48"/>
      <c r="X94" s="3"/>
    </row>
    <row r="95" spans="1:24" x14ac:dyDescent="0.3">
      <c r="A95" s="1"/>
      <c r="E95" s="3"/>
      <c r="M95" s="48"/>
      <c r="X95" s="3"/>
    </row>
    <row r="96" spans="1:24" x14ac:dyDescent="0.3">
      <c r="A96" s="1"/>
      <c r="E96" s="3"/>
      <c r="L96" s="3"/>
      <c r="M96" s="48"/>
      <c r="X96" s="3"/>
    </row>
    <row r="97" spans="1:24" x14ac:dyDescent="0.3">
      <c r="A97" s="1"/>
      <c r="E97" s="3"/>
      <c r="M97" s="48"/>
      <c r="X97" s="3"/>
    </row>
    <row r="98" spans="1:24" x14ac:dyDescent="0.3">
      <c r="A98" s="1"/>
      <c r="E98" s="3"/>
      <c r="M98" s="48"/>
      <c r="X98" s="3"/>
    </row>
    <row r="99" spans="1:24" x14ac:dyDescent="0.3">
      <c r="A99" s="1"/>
      <c r="E99" s="3"/>
      <c r="M99" s="48"/>
      <c r="X99" s="3"/>
    </row>
    <row r="100" spans="1:24" x14ac:dyDescent="0.3">
      <c r="A100" s="1"/>
      <c r="E100" s="3"/>
      <c r="M100" s="48"/>
      <c r="X100" s="3"/>
    </row>
    <row r="101" spans="1:24" x14ac:dyDescent="0.3">
      <c r="A101" s="1"/>
      <c r="E101" s="3"/>
      <c r="M101" s="48"/>
      <c r="X101" s="3"/>
    </row>
    <row r="102" spans="1:24" x14ac:dyDescent="0.3">
      <c r="A102" s="1"/>
      <c r="E102" s="3"/>
      <c r="M102" s="48"/>
      <c r="X102" s="3"/>
    </row>
    <row r="103" spans="1:24" x14ac:dyDescent="0.3">
      <c r="A103" s="1"/>
      <c r="E103" s="3"/>
      <c r="M103" s="48"/>
      <c r="X103" s="3"/>
    </row>
    <row r="104" spans="1:24" x14ac:dyDescent="0.3">
      <c r="A104" s="1"/>
      <c r="E104" s="3"/>
      <c r="L104" s="3"/>
      <c r="M104" s="48"/>
      <c r="X104" s="3"/>
    </row>
    <row r="105" spans="1:24" x14ac:dyDescent="0.3">
      <c r="A105" s="1"/>
      <c r="E105" s="3"/>
      <c r="M105" s="48"/>
      <c r="X105" s="3"/>
    </row>
    <row r="106" spans="1:24" x14ac:dyDescent="0.3">
      <c r="A106" s="1"/>
      <c r="E106" s="3"/>
      <c r="M106" s="48"/>
      <c r="X106" s="3"/>
    </row>
    <row r="107" spans="1:24" x14ac:dyDescent="0.3">
      <c r="A107" s="1"/>
      <c r="E107" s="3"/>
      <c r="M107" s="48"/>
      <c r="X107" s="3"/>
    </row>
    <row r="108" spans="1:24" x14ac:dyDescent="0.3">
      <c r="A108" s="1"/>
      <c r="E108" s="3"/>
      <c r="M108" s="48"/>
      <c r="X108" s="3"/>
    </row>
    <row r="109" spans="1:24" x14ac:dyDescent="0.3">
      <c r="A109" s="1"/>
      <c r="E109" s="3"/>
      <c r="M109" s="48"/>
      <c r="X109" s="3"/>
    </row>
    <row r="110" spans="1:24" x14ac:dyDescent="0.3">
      <c r="A110" s="1"/>
      <c r="E110" s="3"/>
      <c r="M110" s="48"/>
      <c r="X110" s="3"/>
    </row>
    <row r="111" spans="1:24" x14ac:dyDescent="0.3">
      <c r="A111" s="1"/>
      <c r="E111" s="3"/>
      <c r="M111" s="48"/>
      <c r="X111" s="3"/>
    </row>
    <row r="112" spans="1:24" x14ac:dyDescent="0.3">
      <c r="A112" s="1"/>
      <c r="E112" s="3"/>
      <c r="M112" s="48"/>
      <c r="X112" s="3"/>
    </row>
    <row r="113" spans="1:24" x14ac:dyDescent="0.3">
      <c r="A113" s="1"/>
      <c r="E113" s="3"/>
      <c r="M113" s="48"/>
      <c r="X113" s="3"/>
    </row>
    <row r="114" spans="1:24" x14ac:dyDescent="0.3">
      <c r="A114" s="1"/>
      <c r="E114" s="3"/>
      <c r="M114" s="48"/>
      <c r="X114" s="3"/>
    </row>
    <row r="115" spans="1:24" x14ac:dyDescent="0.3">
      <c r="A115" s="1"/>
      <c r="E115" s="3"/>
      <c r="M115" s="48"/>
      <c r="X115" s="3"/>
    </row>
    <row r="116" spans="1:24" x14ac:dyDescent="0.3">
      <c r="A116" s="1"/>
      <c r="E116" s="3"/>
      <c r="M116" s="48"/>
      <c r="X116" s="3"/>
    </row>
  </sheetData>
  <autoFilter ref="A2:X34" xr:uid="{98ECB1FE-D6B6-4641-9D1A-4D13516E174C}"/>
  <mergeCells count="4">
    <mergeCell ref="A1:E1"/>
    <mergeCell ref="P1:Q1"/>
    <mergeCell ref="S1:U1"/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9CEC-EE00-4ADE-80BD-C35FB118BE4C}">
  <dimension ref="A1:C64"/>
  <sheetViews>
    <sheetView tabSelected="1" workbookViewId="0">
      <selection activeCell="B8" sqref="B8"/>
    </sheetView>
  </sheetViews>
  <sheetFormatPr defaultRowHeight="14.4" x14ac:dyDescent="0.3"/>
  <cols>
    <col min="1" max="1" width="40.33203125" bestFit="1" customWidth="1"/>
    <col min="2" max="2" width="23.44140625" customWidth="1"/>
    <col min="3" max="3" width="38" bestFit="1" customWidth="1"/>
  </cols>
  <sheetData>
    <row r="1" spans="1:3" x14ac:dyDescent="0.3">
      <c r="A1" s="51" t="s">
        <v>95</v>
      </c>
      <c r="B1" s="51" t="s">
        <v>96</v>
      </c>
      <c r="C1" s="57"/>
    </row>
    <row r="2" spans="1:3" x14ac:dyDescent="0.3">
      <c r="A2" s="50" t="s">
        <v>5</v>
      </c>
      <c r="B2" s="52">
        <f>AVERAGE(B3:B6)</f>
        <v>2.7249999999999996</v>
      </c>
      <c r="C2" s="57"/>
    </row>
    <row r="3" spans="1:3" x14ac:dyDescent="0.3">
      <c r="A3" s="41" t="s">
        <v>11</v>
      </c>
      <c r="B3" s="41">
        <v>2.4</v>
      </c>
      <c r="C3" s="57"/>
    </row>
    <row r="4" spans="1:3" x14ac:dyDescent="0.3">
      <c r="A4" s="41" t="s">
        <v>24</v>
      </c>
      <c r="B4" s="41">
        <v>3.7</v>
      </c>
      <c r="C4" s="57" t="s">
        <v>99</v>
      </c>
    </row>
    <row r="5" spans="1:3" x14ac:dyDescent="0.3">
      <c r="A5" s="41" t="s">
        <v>90</v>
      </c>
      <c r="B5" s="41">
        <v>2.2999999999999998</v>
      </c>
      <c r="C5" s="57"/>
    </row>
    <row r="6" spans="1:3" x14ac:dyDescent="0.3">
      <c r="A6" s="41" t="s">
        <v>117</v>
      </c>
      <c r="B6" s="41">
        <v>2.5</v>
      </c>
      <c r="C6" s="57"/>
    </row>
    <row r="7" spans="1:3" x14ac:dyDescent="0.3">
      <c r="A7" s="50" t="s">
        <v>3</v>
      </c>
      <c r="B7" s="52">
        <f>AVERAGE(B8:B17)</f>
        <v>3.22</v>
      </c>
      <c r="C7" s="57"/>
    </row>
    <row r="8" spans="1:3" x14ac:dyDescent="0.3">
      <c r="A8" s="41" t="s">
        <v>86</v>
      </c>
      <c r="B8" s="41">
        <v>3.8</v>
      </c>
      <c r="C8" s="57"/>
    </row>
    <row r="9" spans="1:3" x14ac:dyDescent="0.3">
      <c r="A9" s="41" t="s">
        <v>42</v>
      </c>
      <c r="B9" s="41">
        <v>3.9</v>
      </c>
      <c r="C9" s="57"/>
    </row>
    <row r="10" spans="1:3" ht="28.8" x14ac:dyDescent="0.3">
      <c r="A10" s="41" t="s">
        <v>83</v>
      </c>
      <c r="B10" s="41">
        <v>3.4</v>
      </c>
      <c r="C10" s="57" t="s">
        <v>107</v>
      </c>
    </row>
    <row r="11" spans="1:3" x14ac:dyDescent="0.3">
      <c r="A11" s="41" t="s">
        <v>101</v>
      </c>
      <c r="B11" s="41">
        <v>2.6</v>
      </c>
      <c r="C11" s="57"/>
    </row>
    <row r="12" spans="1:3" x14ac:dyDescent="0.3">
      <c r="A12" s="41" t="s">
        <v>44</v>
      </c>
      <c r="B12" s="41">
        <v>3.5</v>
      </c>
      <c r="C12" s="57" t="s">
        <v>99</v>
      </c>
    </row>
    <row r="13" spans="1:3" x14ac:dyDescent="0.3">
      <c r="A13" s="41" t="s">
        <v>109</v>
      </c>
      <c r="B13" s="41">
        <v>2.7</v>
      </c>
      <c r="C13" s="57"/>
    </row>
    <row r="14" spans="1:3" x14ac:dyDescent="0.3">
      <c r="A14" s="41" t="s">
        <v>46</v>
      </c>
      <c r="B14" s="41">
        <v>2.6</v>
      </c>
      <c r="C14" s="57"/>
    </row>
    <row r="15" spans="1:3" x14ac:dyDescent="0.3">
      <c r="A15" s="41" t="s">
        <v>39</v>
      </c>
      <c r="B15" s="41">
        <v>3.9</v>
      </c>
      <c r="C15" s="57"/>
    </row>
    <row r="16" spans="1:3" x14ac:dyDescent="0.3">
      <c r="A16" s="41" t="s">
        <v>113</v>
      </c>
      <c r="B16" s="41">
        <v>2.2999999999999998</v>
      </c>
      <c r="C16" s="57"/>
    </row>
    <row r="17" spans="1:3" x14ac:dyDescent="0.3">
      <c r="A17" s="41" t="s">
        <v>9</v>
      </c>
      <c r="B17" s="41">
        <v>3.5</v>
      </c>
      <c r="C17" s="57"/>
    </row>
    <row r="18" spans="1:3" x14ac:dyDescent="0.3">
      <c r="A18" s="50" t="s">
        <v>6</v>
      </c>
      <c r="B18" s="52">
        <f>AVERAGE(B19:B32)</f>
        <v>3.3142857142857141</v>
      </c>
      <c r="C18" s="57"/>
    </row>
    <row r="19" spans="1:3" x14ac:dyDescent="0.3">
      <c r="A19" s="41" t="s">
        <v>88</v>
      </c>
      <c r="B19" s="41">
        <v>2.4</v>
      </c>
      <c r="C19" s="57"/>
    </row>
    <row r="20" spans="1:3" x14ac:dyDescent="0.3">
      <c r="A20" s="41" t="s">
        <v>82</v>
      </c>
      <c r="B20" s="41">
        <v>2.6</v>
      </c>
      <c r="C20" s="57"/>
    </row>
    <row r="21" spans="1:3" x14ac:dyDescent="0.3">
      <c r="A21" s="41" t="s">
        <v>23</v>
      </c>
      <c r="B21" s="41">
        <v>3.6</v>
      </c>
      <c r="C21" s="57"/>
    </row>
    <row r="22" spans="1:3" x14ac:dyDescent="0.3">
      <c r="A22" s="41" t="s">
        <v>8</v>
      </c>
      <c r="B22" s="41">
        <v>3.6</v>
      </c>
      <c r="C22" s="57"/>
    </row>
    <row r="23" spans="1:3" x14ac:dyDescent="0.3">
      <c r="A23" s="41" t="s">
        <v>89</v>
      </c>
      <c r="B23" s="41">
        <v>2.9</v>
      </c>
      <c r="C23" s="57"/>
    </row>
    <row r="24" spans="1:3" x14ac:dyDescent="0.3">
      <c r="A24" s="41" t="s">
        <v>71</v>
      </c>
      <c r="B24" s="41">
        <v>3.9</v>
      </c>
      <c r="C24" s="57" t="s">
        <v>99</v>
      </c>
    </row>
    <row r="25" spans="1:3" x14ac:dyDescent="0.3">
      <c r="A25" s="41" t="s">
        <v>98</v>
      </c>
      <c r="B25" s="41">
        <v>2.8</v>
      </c>
      <c r="C25" s="57"/>
    </row>
    <row r="26" spans="1:3" x14ac:dyDescent="0.3">
      <c r="A26" s="41" t="s">
        <v>100</v>
      </c>
      <c r="B26" s="41">
        <v>2.6</v>
      </c>
      <c r="C26" s="57"/>
    </row>
    <row r="27" spans="1:3" x14ac:dyDescent="0.3">
      <c r="A27" s="41" t="s">
        <v>103</v>
      </c>
      <c r="B27" s="41">
        <v>3.6</v>
      </c>
      <c r="C27" s="57" t="s">
        <v>102</v>
      </c>
    </row>
    <row r="28" spans="1:3" x14ac:dyDescent="0.3">
      <c r="A28" s="41" t="s">
        <v>46</v>
      </c>
      <c r="B28" s="41">
        <v>3.9</v>
      </c>
      <c r="C28" s="57"/>
    </row>
    <row r="29" spans="1:3" x14ac:dyDescent="0.3">
      <c r="A29" s="41" t="s">
        <v>111</v>
      </c>
      <c r="B29" s="41">
        <v>3.7</v>
      </c>
      <c r="C29" s="57"/>
    </row>
    <row r="30" spans="1:3" x14ac:dyDescent="0.3">
      <c r="A30" s="41" t="s">
        <v>45</v>
      </c>
      <c r="B30" s="53">
        <v>4</v>
      </c>
      <c r="C30" s="57"/>
    </row>
    <row r="31" spans="1:3" x14ac:dyDescent="0.3">
      <c r="A31" s="41" t="s">
        <v>114</v>
      </c>
      <c r="B31" s="53">
        <v>2.9</v>
      </c>
      <c r="C31" s="57"/>
    </row>
    <row r="32" spans="1:3" ht="28.8" x14ac:dyDescent="0.3">
      <c r="A32" s="41" t="s">
        <v>38</v>
      </c>
      <c r="B32" s="53">
        <v>3.9</v>
      </c>
      <c r="C32" s="57" t="s">
        <v>112</v>
      </c>
    </row>
    <row r="33" spans="1:3" x14ac:dyDescent="0.3">
      <c r="A33" s="50" t="s">
        <v>2</v>
      </c>
      <c r="B33" s="52">
        <f>AVERAGE(B34:B44)</f>
        <v>3.290909090909091</v>
      </c>
      <c r="C33" s="57"/>
    </row>
    <row r="34" spans="1:3" x14ac:dyDescent="0.3">
      <c r="A34" s="41" t="s">
        <v>36</v>
      </c>
      <c r="B34" s="41">
        <v>3.5</v>
      </c>
      <c r="C34" s="57"/>
    </row>
    <row r="35" spans="1:3" x14ac:dyDescent="0.3">
      <c r="A35" s="41" t="s">
        <v>76</v>
      </c>
      <c r="B35" s="41">
        <v>3.4</v>
      </c>
      <c r="C35" s="57"/>
    </row>
    <row r="36" spans="1:3" x14ac:dyDescent="0.3">
      <c r="A36" s="41" t="s">
        <v>26</v>
      </c>
      <c r="B36" s="41">
        <v>3.7</v>
      </c>
      <c r="C36" s="57"/>
    </row>
    <row r="37" spans="1:3" x14ac:dyDescent="0.3">
      <c r="A37" s="41" t="s">
        <v>75</v>
      </c>
      <c r="B37" s="41">
        <v>2.6</v>
      </c>
      <c r="C37" s="57"/>
    </row>
    <row r="38" spans="1:3" x14ac:dyDescent="0.3">
      <c r="A38" s="41" t="s">
        <v>37</v>
      </c>
      <c r="B38" s="41">
        <v>3.8</v>
      </c>
      <c r="C38" s="57"/>
    </row>
    <row r="39" spans="1:3" x14ac:dyDescent="0.3">
      <c r="A39" s="41" t="s">
        <v>97</v>
      </c>
      <c r="B39" s="41">
        <v>2.6</v>
      </c>
      <c r="C39" s="57"/>
    </row>
    <row r="40" spans="1:3" x14ac:dyDescent="0.3">
      <c r="A40" s="41" t="s">
        <v>52</v>
      </c>
      <c r="B40" s="41">
        <v>3.6</v>
      </c>
      <c r="C40" s="57"/>
    </row>
    <row r="41" spans="1:3" x14ac:dyDescent="0.3">
      <c r="A41" s="41" t="s">
        <v>108</v>
      </c>
      <c r="B41" s="41">
        <v>2.6</v>
      </c>
      <c r="C41" s="57"/>
    </row>
    <row r="42" spans="1:3" x14ac:dyDescent="0.3">
      <c r="A42" s="41" t="s">
        <v>110</v>
      </c>
      <c r="B42" s="41">
        <v>3.6</v>
      </c>
      <c r="C42" s="57"/>
    </row>
    <row r="43" spans="1:3" x14ac:dyDescent="0.3">
      <c r="A43" s="41" t="s">
        <v>116</v>
      </c>
      <c r="B43" s="41">
        <v>2.9</v>
      </c>
      <c r="C43" s="57"/>
    </row>
    <row r="44" spans="1:3" x14ac:dyDescent="0.3">
      <c r="A44" s="41" t="s">
        <v>119</v>
      </c>
      <c r="B44" s="41">
        <v>3.9</v>
      </c>
      <c r="C44" s="57"/>
    </row>
    <row r="45" spans="1:3" x14ac:dyDescent="0.3">
      <c r="A45" s="50" t="s">
        <v>87</v>
      </c>
      <c r="B45" s="52">
        <f>AVERAGE(B46:B50)</f>
        <v>3.2800000000000002</v>
      </c>
      <c r="C45" s="57"/>
    </row>
    <row r="46" spans="1:3" x14ac:dyDescent="0.3">
      <c r="A46" s="41" t="s">
        <v>85</v>
      </c>
      <c r="B46" s="41">
        <v>3.6</v>
      </c>
      <c r="C46" s="57" t="s">
        <v>102</v>
      </c>
    </row>
    <row r="47" spans="1:3" x14ac:dyDescent="0.3">
      <c r="A47" s="41" t="s">
        <v>71</v>
      </c>
      <c r="B47" s="41">
        <v>3.3</v>
      </c>
      <c r="C47" s="57" t="s">
        <v>102</v>
      </c>
    </row>
    <row r="48" spans="1:3" x14ac:dyDescent="0.3">
      <c r="A48" s="41" t="s">
        <v>93</v>
      </c>
      <c r="B48" s="41">
        <v>3.2</v>
      </c>
      <c r="C48" s="57"/>
    </row>
    <row r="49" spans="1:3" ht="28.8" x14ac:dyDescent="0.3">
      <c r="A49" s="41" t="s">
        <v>105</v>
      </c>
      <c r="B49" s="41">
        <v>3.9</v>
      </c>
      <c r="C49" s="57" t="s">
        <v>112</v>
      </c>
    </row>
    <row r="50" spans="1:3" x14ac:dyDescent="0.3">
      <c r="A50" s="41" t="s">
        <v>115</v>
      </c>
      <c r="B50" s="41">
        <v>2.4</v>
      </c>
      <c r="C50" s="57"/>
    </row>
    <row r="51" spans="1:3" x14ac:dyDescent="0.3">
      <c r="A51" s="50" t="s">
        <v>4</v>
      </c>
      <c r="B51" s="52">
        <f>AVERAGE(B52:B56)</f>
        <v>3.4200000000000004</v>
      </c>
      <c r="C51" s="57"/>
    </row>
    <row r="52" spans="1:3" x14ac:dyDescent="0.3">
      <c r="A52" s="41" t="s">
        <v>47</v>
      </c>
      <c r="B52" s="41">
        <v>3.6</v>
      </c>
      <c r="C52" s="57"/>
    </row>
    <row r="53" spans="1:3" x14ac:dyDescent="0.3">
      <c r="A53" s="41" t="s">
        <v>91</v>
      </c>
      <c r="B53" s="41">
        <v>3.8</v>
      </c>
      <c r="C53" s="57"/>
    </row>
    <row r="54" spans="1:3" x14ac:dyDescent="0.3">
      <c r="A54" s="41" t="s">
        <v>92</v>
      </c>
      <c r="B54" s="41">
        <v>2.7</v>
      </c>
      <c r="C54" s="57"/>
    </row>
    <row r="55" spans="1:3" x14ac:dyDescent="0.3">
      <c r="A55" s="41" t="s">
        <v>80</v>
      </c>
      <c r="B55" s="41">
        <v>3.3</v>
      </c>
      <c r="C55" s="57"/>
    </row>
    <row r="56" spans="1:3" x14ac:dyDescent="0.3">
      <c r="A56" s="41" t="s">
        <v>79</v>
      </c>
      <c r="B56" s="41">
        <v>3.7</v>
      </c>
      <c r="C56" s="57"/>
    </row>
    <row r="57" spans="1:3" x14ac:dyDescent="0.3">
      <c r="A57" s="50" t="s">
        <v>73</v>
      </c>
      <c r="B57" s="52">
        <f>AVERAGE(B58:B59)</f>
        <v>3.05</v>
      </c>
      <c r="C57" s="57"/>
    </row>
    <row r="58" spans="1:3" x14ac:dyDescent="0.3">
      <c r="A58" s="41" t="s">
        <v>26</v>
      </c>
      <c r="B58" s="41">
        <v>2.7</v>
      </c>
      <c r="C58" s="57"/>
    </row>
    <row r="59" spans="1:3" x14ac:dyDescent="0.3">
      <c r="A59" s="41" t="s">
        <v>84</v>
      </c>
      <c r="B59" s="41">
        <v>3.4</v>
      </c>
      <c r="C59" s="57"/>
    </row>
    <row r="60" spans="1:3" x14ac:dyDescent="0.3">
      <c r="A60" s="41" t="s">
        <v>104</v>
      </c>
      <c r="B60" s="53">
        <v>1</v>
      </c>
      <c r="C60" s="57"/>
    </row>
    <row r="61" spans="1:3" x14ac:dyDescent="0.3">
      <c r="A61" s="50" t="s">
        <v>49</v>
      </c>
      <c r="B61" s="52">
        <f>AVERAGE(B62:B63)</f>
        <v>2.35</v>
      </c>
      <c r="C61" s="57"/>
    </row>
    <row r="62" spans="1:3" x14ac:dyDescent="0.3">
      <c r="A62" s="41" t="s">
        <v>50</v>
      </c>
      <c r="B62" s="41">
        <v>2.5</v>
      </c>
      <c r="C62" s="57"/>
    </row>
    <row r="63" spans="1:3" x14ac:dyDescent="0.3">
      <c r="A63" s="41" t="s">
        <v>106</v>
      </c>
      <c r="B63" s="41">
        <v>2.2000000000000002</v>
      </c>
      <c r="C63" s="57"/>
    </row>
    <row r="64" spans="1:3" x14ac:dyDescent="0.3">
      <c r="A64" s="41" t="s">
        <v>118</v>
      </c>
      <c r="B64" s="41">
        <v>2.4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21C01-74C8-4B39-8A98-A9995A31B797}">
  <dimension ref="A1:D54"/>
  <sheetViews>
    <sheetView workbookViewId="0">
      <selection activeCell="D2" sqref="D2:D36"/>
    </sheetView>
  </sheetViews>
  <sheetFormatPr defaultRowHeight="14.4" x14ac:dyDescent="0.3"/>
  <cols>
    <col min="1" max="1" width="29.88671875" bestFit="1" customWidth="1"/>
    <col min="2" max="2" width="18.88671875" bestFit="1" customWidth="1"/>
    <col min="3" max="3" width="17.77734375" bestFit="1" customWidth="1"/>
    <col min="4" max="4" width="23.77734375" customWidth="1"/>
  </cols>
  <sheetData>
    <row r="1" spans="1:4" x14ac:dyDescent="0.3">
      <c r="A1" s="42" t="s">
        <v>18</v>
      </c>
      <c r="B1" t="s">
        <v>78</v>
      </c>
      <c r="C1" t="s">
        <v>77</v>
      </c>
      <c r="D1" s="58" t="s">
        <v>58</v>
      </c>
    </row>
    <row r="2" spans="1:4" x14ac:dyDescent="0.3">
      <c r="A2" s="43" t="s">
        <v>5</v>
      </c>
      <c r="B2">
        <v>7</v>
      </c>
      <c r="C2">
        <v>2</v>
      </c>
      <c r="D2" s="45">
        <f t="shared" ref="D2:D36" si="0">C2/B2</f>
        <v>0.2857142857142857</v>
      </c>
    </row>
    <row r="3" spans="1:4" x14ac:dyDescent="0.3">
      <c r="A3" s="44" t="s">
        <v>11</v>
      </c>
      <c r="B3">
        <v>3</v>
      </c>
      <c r="C3">
        <v>1</v>
      </c>
      <c r="D3" s="36">
        <f t="shared" si="0"/>
        <v>0.33333333333333331</v>
      </c>
    </row>
    <row r="4" spans="1:4" x14ac:dyDescent="0.3">
      <c r="A4" s="44" t="s">
        <v>90</v>
      </c>
      <c r="B4">
        <v>3</v>
      </c>
      <c r="C4">
        <v>1</v>
      </c>
      <c r="D4" s="36">
        <f t="shared" si="0"/>
        <v>0.33333333333333331</v>
      </c>
    </row>
    <row r="5" spans="1:4" x14ac:dyDescent="0.3">
      <c r="A5" s="44" t="s">
        <v>117</v>
      </c>
      <c r="B5">
        <v>1</v>
      </c>
      <c r="C5">
        <v>0</v>
      </c>
      <c r="D5" s="36">
        <f t="shared" si="0"/>
        <v>0</v>
      </c>
    </row>
    <row r="6" spans="1:4" x14ac:dyDescent="0.3">
      <c r="A6" s="43" t="s">
        <v>3</v>
      </c>
      <c r="B6">
        <v>13</v>
      </c>
      <c r="C6">
        <v>3</v>
      </c>
      <c r="D6" s="45">
        <f t="shared" si="0"/>
        <v>0.23076923076923078</v>
      </c>
    </row>
    <row r="7" spans="1:4" x14ac:dyDescent="0.3">
      <c r="A7" s="44" t="s">
        <v>113</v>
      </c>
      <c r="B7">
        <v>5</v>
      </c>
      <c r="C7">
        <v>0</v>
      </c>
      <c r="D7" s="36">
        <f t="shared" si="0"/>
        <v>0</v>
      </c>
    </row>
    <row r="8" spans="1:4" x14ac:dyDescent="0.3">
      <c r="A8" s="44" t="s">
        <v>86</v>
      </c>
      <c r="B8">
        <v>4</v>
      </c>
      <c r="C8">
        <v>2</v>
      </c>
      <c r="D8" s="36">
        <f t="shared" si="0"/>
        <v>0.5</v>
      </c>
    </row>
    <row r="9" spans="1:4" x14ac:dyDescent="0.3">
      <c r="A9" s="44" t="s">
        <v>109</v>
      </c>
      <c r="B9">
        <v>2</v>
      </c>
      <c r="C9">
        <v>0</v>
      </c>
      <c r="D9" s="36">
        <f t="shared" si="0"/>
        <v>0</v>
      </c>
    </row>
    <row r="10" spans="1:4" x14ac:dyDescent="0.3">
      <c r="A10" s="44" t="s">
        <v>39</v>
      </c>
      <c r="B10">
        <v>1</v>
      </c>
      <c r="C10">
        <v>1</v>
      </c>
      <c r="D10" s="36">
        <f t="shared" si="0"/>
        <v>1</v>
      </c>
    </row>
    <row r="11" spans="1:4" x14ac:dyDescent="0.3">
      <c r="A11" s="44" t="s">
        <v>9</v>
      </c>
      <c r="B11">
        <v>1</v>
      </c>
      <c r="C11">
        <v>0</v>
      </c>
      <c r="D11" s="36">
        <f t="shared" si="0"/>
        <v>0</v>
      </c>
    </row>
    <row r="12" spans="1:4" x14ac:dyDescent="0.3">
      <c r="A12" s="43" t="s">
        <v>6</v>
      </c>
      <c r="B12">
        <v>12</v>
      </c>
      <c r="C12">
        <v>5</v>
      </c>
      <c r="D12" s="45">
        <f t="shared" si="0"/>
        <v>0.41666666666666669</v>
      </c>
    </row>
    <row r="13" spans="1:4" x14ac:dyDescent="0.3">
      <c r="A13" s="44" t="s">
        <v>111</v>
      </c>
      <c r="B13">
        <v>4</v>
      </c>
      <c r="C13">
        <v>0</v>
      </c>
      <c r="D13" s="36">
        <f t="shared" si="0"/>
        <v>0</v>
      </c>
    </row>
    <row r="14" spans="1:4" x14ac:dyDescent="0.3">
      <c r="A14" s="44" t="s">
        <v>45</v>
      </c>
      <c r="B14">
        <v>1</v>
      </c>
      <c r="C14">
        <v>1</v>
      </c>
      <c r="D14" s="36">
        <f t="shared" si="0"/>
        <v>1</v>
      </c>
    </row>
    <row r="15" spans="1:4" x14ac:dyDescent="0.3">
      <c r="A15" s="44" t="s">
        <v>23</v>
      </c>
      <c r="B15">
        <v>1</v>
      </c>
      <c r="C15">
        <v>0</v>
      </c>
      <c r="D15" s="36">
        <f t="shared" si="0"/>
        <v>0</v>
      </c>
    </row>
    <row r="16" spans="1:4" x14ac:dyDescent="0.3">
      <c r="A16" s="44" t="s">
        <v>46</v>
      </c>
      <c r="B16">
        <v>1</v>
      </c>
      <c r="C16">
        <v>1</v>
      </c>
      <c r="D16" s="36">
        <f t="shared" si="0"/>
        <v>1</v>
      </c>
    </row>
    <row r="17" spans="1:4" x14ac:dyDescent="0.3">
      <c r="A17" s="44" t="s">
        <v>114</v>
      </c>
      <c r="B17">
        <v>3</v>
      </c>
      <c r="C17">
        <v>2</v>
      </c>
      <c r="D17" s="36">
        <f t="shared" si="0"/>
        <v>0.66666666666666663</v>
      </c>
    </row>
    <row r="18" spans="1:4" x14ac:dyDescent="0.3">
      <c r="A18" s="44" t="s">
        <v>38</v>
      </c>
      <c r="B18">
        <v>1</v>
      </c>
      <c r="C18">
        <v>1</v>
      </c>
      <c r="D18" s="36">
        <f t="shared" si="0"/>
        <v>1</v>
      </c>
    </row>
    <row r="19" spans="1:4" x14ac:dyDescent="0.3">
      <c r="A19" s="44" t="s">
        <v>103</v>
      </c>
      <c r="B19">
        <v>1</v>
      </c>
      <c r="C19">
        <v>0</v>
      </c>
      <c r="D19" s="36">
        <f t="shared" si="0"/>
        <v>0</v>
      </c>
    </row>
    <row r="20" spans="1:4" x14ac:dyDescent="0.3">
      <c r="A20" s="43" t="s">
        <v>2</v>
      </c>
      <c r="B20">
        <v>10</v>
      </c>
      <c r="C20">
        <v>3</v>
      </c>
      <c r="D20" s="45">
        <f t="shared" si="0"/>
        <v>0.3</v>
      </c>
    </row>
    <row r="21" spans="1:4" x14ac:dyDescent="0.3">
      <c r="A21" s="44" t="s">
        <v>37</v>
      </c>
      <c r="B21">
        <v>1</v>
      </c>
      <c r="C21">
        <v>1</v>
      </c>
      <c r="D21" s="36">
        <f t="shared" si="0"/>
        <v>1</v>
      </c>
    </row>
    <row r="22" spans="1:4" x14ac:dyDescent="0.3">
      <c r="A22" s="44" t="s">
        <v>110</v>
      </c>
      <c r="B22">
        <v>2</v>
      </c>
      <c r="C22">
        <v>0</v>
      </c>
      <c r="D22" s="36">
        <f t="shared" si="0"/>
        <v>0</v>
      </c>
    </row>
    <row r="23" spans="1:4" x14ac:dyDescent="0.3">
      <c r="A23" s="44" t="s">
        <v>76</v>
      </c>
      <c r="B23">
        <v>1</v>
      </c>
      <c r="C23">
        <v>0</v>
      </c>
      <c r="D23" s="36">
        <f t="shared" si="0"/>
        <v>0</v>
      </c>
    </row>
    <row r="24" spans="1:4" x14ac:dyDescent="0.3">
      <c r="A24" s="44" t="s">
        <v>116</v>
      </c>
      <c r="B24">
        <v>2</v>
      </c>
      <c r="C24">
        <v>1</v>
      </c>
      <c r="D24" s="36">
        <f t="shared" si="0"/>
        <v>0.5</v>
      </c>
    </row>
    <row r="25" spans="1:4" x14ac:dyDescent="0.3">
      <c r="A25" s="44" t="s">
        <v>97</v>
      </c>
      <c r="B25">
        <v>1</v>
      </c>
      <c r="C25">
        <v>0</v>
      </c>
      <c r="D25" s="36">
        <f t="shared" si="0"/>
        <v>0</v>
      </c>
    </row>
    <row r="26" spans="1:4" x14ac:dyDescent="0.3">
      <c r="A26" s="44" t="s">
        <v>52</v>
      </c>
      <c r="B26">
        <v>1</v>
      </c>
      <c r="C26">
        <v>0</v>
      </c>
      <c r="D26" s="36">
        <f t="shared" si="0"/>
        <v>0</v>
      </c>
    </row>
    <row r="27" spans="1:4" x14ac:dyDescent="0.3">
      <c r="A27" s="44" t="s">
        <v>119</v>
      </c>
      <c r="B27">
        <v>2</v>
      </c>
      <c r="C27">
        <v>1</v>
      </c>
      <c r="D27" s="36">
        <f t="shared" si="0"/>
        <v>0.5</v>
      </c>
    </row>
    <row r="28" spans="1:4" x14ac:dyDescent="0.3">
      <c r="A28" s="43" t="s">
        <v>87</v>
      </c>
      <c r="B28">
        <v>2</v>
      </c>
      <c r="C28">
        <v>0</v>
      </c>
      <c r="D28" s="45">
        <f t="shared" si="0"/>
        <v>0</v>
      </c>
    </row>
    <row r="29" spans="1:4" x14ac:dyDescent="0.3">
      <c r="A29" s="44" t="s">
        <v>71</v>
      </c>
      <c r="B29">
        <v>1</v>
      </c>
      <c r="C29">
        <v>0</v>
      </c>
      <c r="D29" s="36">
        <f t="shared" si="0"/>
        <v>0</v>
      </c>
    </row>
    <row r="30" spans="1:4" x14ac:dyDescent="0.3">
      <c r="A30" s="44" t="s">
        <v>115</v>
      </c>
      <c r="B30">
        <v>1</v>
      </c>
      <c r="C30">
        <v>0</v>
      </c>
      <c r="D30" s="36">
        <f t="shared" si="0"/>
        <v>0</v>
      </c>
    </row>
    <row r="31" spans="1:4" x14ac:dyDescent="0.3">
      <c r="A31" s="43" t="s">
        <v>49</v>
      </c>
      <c r="B31">
        <v>3</v>
      </c>
      <c r="C31">
        <v>0</v>
      </c>
      <c r="D31" s="45">
        <f t="shared" si="0"/>
        <v>0</v>
      </c>
    </row>
    <row r="32" spans="1:4" x14ac:dyDescent="0.3">
      <c r="A32" s="44" t="s">
        <v>50</v>
      </c>
      <c r="B32">
        <v>2</v>
      </c>
      <c r="C32">
        <v>0</v>
      </c>
      <c r="D32" s="36">
        <f t="shared" si="0"/>
        <v>0</v>
      </c>
    </row>
    <row r="33" spans="1:4" x14ac:dyDescent="0.3">
      <c r="A33" s="44" t="s">
        <v>118</v>
      </c>
      <c r="B33">
        <v>1</v>
      </c>
      <c r="C33">
        <v>0</v>
      </c>
      <c r="D33" s="36">
        <f t="shared" si="0"/>
        <v>0</v>
      </c>
    </row>
    <row r="34" spans="1:4" x14ac:dyDescent="0.3">
      <c r="A34" s="43" t="s">
        <v>4</v>
      </c>
      <c r="B34">
        <v>1</v>
      </c>
      <c r="C34">
        <v>0</v>
      </c>
      <c r="D34" s="45">
        <f t="shared" si="0"/>
        <v>0</v>
      </c>
    </row>
    <row r="35" spans="1:4" x14ac:dyDescent="0.3">
      <c r="A35" s="44" t="s">
        <v>79</v>
      </c>
      <c r="B35">
        <v>1</v>
      </c>
      <c r="C35">
        <v>0</v>
      </c>
      <c r="D35" s="36">
        <f t="shared" si="0"/>
        <v>0</v>
      </c>
    </row>
    <row r="36" spans="1:4" x14ac:dyDescent="0.3">
      <c r="A36" s="43" t="s">
        <v>19</v>
      </c>
      <c r="B36">
        <v>48</v>
      </c>
      <c r="C36">
        <v>13</v>
      </c>
      <c r="D36" s="46">
        <f t="shared" si="0"/>
        <v>0.27083333333333331</v>
      </c>
    </row>
    <row r="37" spans="1:4" x14ac:dyDescent="0.3">
      <c r="D37" s="54"/>
    </row>
    <row r="38" spans="1:4" x14ac:dyDescent="0.3">
      <c r="D38" s="48"/>
    </row>
    <row r="39" spans="1:4" x14ac:dyDescent="0.3">
      <c r="D39" s="48"/>
    </row>
    <row r="40" spans="1:4" x14ac:dyDescent="0.3">
      <c r="D40" s="48"/>
    </row>
    <row r="41" spans="1:4" x14ac:dyDescent="0.3">
      <c r="D41" s="48"/>
    </row>
    <row r="42" spans="1:4" x14ac:dyDescent="0.3">
      <c r="D42" s="54"/>
    </row>
    <row r="43" spans="1:4" x14ac:dyDescent="0.3">
      <c r="D43" s="48"/>
    </row>
    <row r="44" spans="1:4" x14ac:dyDescent="0.3">
      <c r="D44" s="48"/>
    </row>
    <row r="45" spans="1:4" x14ac:dyDescent="0.3">
      <c r="D45" s="48"/>
    </row>
    <row r="46" spans="1:4" x14ac:dyDescent="0.3">
      <c r="D46" s="48"/>
    </row>
    <row r="47" spans="1:4" x14ac:dyDescent="0.3">
      <c r="D47" s="54"/>
    </row>
    <row r="48" spans="1:4" x14ac:dyDescent="0.3">
      <c r="D48" s="48"/>
    </row>
    <row r="49" spans="4:4" x14ac:dyDescent="0.3">
      <c r="D49" s="48"/>
    </row>
    <row r="50" spans="4:4" x14ac:dyDescent="0.3">
      <c r="D50" s="48"/>
    </row>
    <row r="51" spans="4:4" x14ac:dyDescent="0.3">
      <c r="D51" s="54"/>
    </row>
    <row r="52" spans="4:4" x14ac:dyDescent="0.3">
      <c r="D52" s="48"/>
    </row>
    <row r="53" spans="4:4" x14ac:dyDescent="0.3">
      <c r="D53" s="48"/>
    </row>
    <row r="54" spans="4:4" x14ac:dyDescent="0.3">
      <c r="D54" s="5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312C-C763-4774-82F1-8CC301C693F6}">
  <dimension ref="A1:L9"/>
  <sheetViews>
    <sheetView workbookViewId="0">
      <pane xSplit="1" topLeftCell="B1" activePane="topRight" state="frozen"/>
      <selection pane="topRight" activeCell="F19" sqref="F19"/>
    </sheetView>
  </sheetViews>
  <sheetFormatPr defaultRowHeight="14.4" x14ac:dyDescent="0.3"/>
  <cols>
    <col min="1" max="1" width="14.88671875" customWidth="1"/>
    <col min="2" max="2" width="22" bestFit="1" customWidth="1"/>
    <col min="3" max="3" width="9.5546875" customWidth="1"/>
    <col min="4" max="4" width="10.109375" customWidth="1"/>
    <col min="5" max="5" width="8.33203125" bestFit="1" customWidth="1"/>
    <col min="6" max="6" width="27.77734375" bestFit="1" customWidth="1"/>
    <col min="7" max="7" width="28.109375" bestFit="1" customWidth="1"/>
    <col min="8" max="8" width="26.5546875" bestFit="1" customWidth="1"/>
    <col min="9" max="9" width="28.109375" bestFit="1" customWidth="1"/>
    <col min="10" max="10" width="29.33203125" bestFit="1" customWidth="1"/>
    <col min="11" max="11" width="29.88671875" bestFit="1" customWidth="1"/>
    <col min="12" max="12" width="41.33203125" bestFit="1" customWidth="1"/>
  </cols>
  <sheetData>
    <row r="1" spans="1:12" ht="15.6" thickTop="1" thickBot="1" x14ac:dyDescent="0.35">
      <c r="A1" s="35" t="s">
        <v>55</v>
      </c>
      <c r="B1" s="35" t="s">
        <v>63</v>
      </c>
      <c r="C1" s="35" t="s">
        <v>56</v>
      </c>
      <c r="D1" s="35" t="s">
        <v>57</v>
      </c>
      <c r="E1" s="35" t="s">
        <v>58</v>
      </c>
      <c r="F1" s="35" t="s">
        <v>60</v>
      </c>
      <c r="G1" s="35" t="s">
        <v>61</v>
      </c>
      <c r="H1" s="35" t="s">
        <v>59</v>
      </c>
      <c r="I1" s="35" t="s">
        <v>66</v>
      </c>
      <c r="J1" s="35" t="s">
        <v>64</v>
      </c>
      <c r="K1" s="35" t="s">
        <v>65</v>
      </c>
      <c r="L1" s="35" t="s">
        <v>67</v>
      </c>
    </row>
    <row r="2" spans="1:12" ht="15" thickTop="1" x14ac:dyDescent="0.3">
      <c r="A2" t="s">
        <v>6</v>
      </c>
      <c r="B2" s="36">
        <f t="shared" ref="B2:B9" si="0">(H2*0.3)+(I2*0.2)+(L2*0.5)</f>
        <v>0.37198890246790206</v>
      </c>
      <c r="C2">
        <f>COUNTIFS('Game Log Season 3'!$C$3:$C$126, "Mateo", 'Game Log Season 3'!$F$3:$F$126, 1)</f>
        <v>5</v>
      </c>
      <c r="D2">
        <f>COUNTIFS('Game Log Season 3'!$C$3:$C$126, "Mateo", 'Game Log Season 3'!$F$3:$F$126, 0)</f>
        <v>7</v>
      </c>
      <c r="E2" s="36">
        <f t="shared" ref="E2:E9" si="1">IFERROR(C2/(C2+D2),0)</f>
        <v>0.41666666666666669</v>
      </c>
      <c r="F2">
        <f>SUMIFS('Game Log Season 3'!$J$3:$J$126, 'Game Log Season 3'!$C$3:$C$126, "Mateo", 'Game Log Season 3'!$F$3:$F$126, 1)</f>
        <v>3.5500000000000007</v>
      </c>
      <c r="G2">
        <f>IFERROR((1-(AVERAGEIFS('Game Log Season 3'!$J$3:$J$126, 'Game Log Season 3'!$C$3:$C$126, "Mateo", 'Game Log Season 3'!$F$3:$F$126, 0)*-1))*D2,0)</f>
        <v>5.1333333333333337</v>
      </c>
      <c r="H2" s="36">
        <f t="shared" ref="H2:H9" si="2">IFERROR(F2/(F2+G2),0)</f>
        <v>0.40882917466410756</v>
      </c>
      <c r="I2" s="36">
        <f>IF(C2&lt;&gt;0,AVERAGEIF('Game Log Season 3'!$C$3:$C$126, "Mateo", 'Game Log Season 3'!$K$3:$K$126),0)</f>
        <v>0.23861111111111113</v>
      </c>
      <c r="J2">
        <f>IFERROR((1-(AVERAGEIFS('Game Log Season 3'!$M$3:$M$126, 'Game Log Season 3'!$C$3:$C$126, "Mateo", 'Game Log Season 3'!$F$3:$F$126, 1)-0.5))*C2, 0)</f>
        <v>5.0157499999999997</v>
      </c>
      <c r="K2">
        <f>IFERROR((1+(AVERAGEIFS('Game Log Season 3'!$M$3:$M$126, 'Game Log Season 3'!$C$3:$C$126, "Mateo", 'Game Log Season 3'!$F$3:$F$126, 0)-0.5))*D2, 0)</f>
        <v>7.423</v>
      </c>
      <c r="L2" s="36">
        <f t="shared" ref="L2:L9" si="3">IFERROR(J2/(J2+K2),0)</f>
        <v>0.40323585569289522</v>
      </c>
    </row>
    <row r="3" spans="1:12" x14ac:dyDescent="0.3">
      <c r="A3" t="s">
        <v>2</v>
      </c>
      <c r="B3" s="36">
        <f t="shared" si="0"/>
        <v>0.27472520353960433</v>
      </c>
      <c r="C3">
        <f>COUNTIFS('Game Log Season 3'!$C$3:$C$126, "Ryan", 'Game Log Season 3'!$F$3:$F$126, 1)</f>
        <v>3</v>
      </c>
      <c r="D3">
        <f>COUNTIFS('Game Log Season 3'!$C$3:$C$126, "Ryan", 'Game Log Season 3'!$F$3:$F$126, 0)</f>
        <v>7</v>
      </c>
      <c r="E3" s="36">
        <f t="shared" si="1"/>
        <v>0.3</v>
      </c>
      <c r="F3">
        <f>SUMIFS('Game Log Season 3'!$J$3:$J$126, 'Game Log Season 3'!$C$3:$C$126, "Ryan", 'Game Log Season 3'!$F$3:$F$126, 1)</f>
        <v>2.1333333333333337</v>
      </c>
      <c r="G3">
        <f>IFERROR((1-(AVERAGEIFS('Game Log Season 3'!$J$3:$J$126, 'Game Log Season 3'!$C$3:$C$126, "Ryan", 'Game Log Season 3'!$F$3:$F$126, 0)*-1))*D3,0)</f>
        <v>5.0500000000000007</v>
      </c>
      <c r="H3" s="36">
        <f t="shared" si="2"/>
        <v>0.29698375870069604</v>
      </c>
      <c r="I3" s="36">
        <f>IF(C3&lt;&gt;0,AVERAGEIF('Game Log Season 3'!$C$3:$C$126, "Ryan", 'Game Log Season 3'!$K$3:$K$126),0)</f>
        <v>0.20300000000000007</v>
      </c>
      <c r="J3">
        <f>IFERROR((1-(AVERAGEIFS('Game Log Season 3'!$M$3:$M$126, 'Game Log Season 3'!$C$3:$C$126, "Ryan", 'Game Log Season 3'!$F$3:$F$126, 1)-0.5))*C3, 0)</f>
        <v>2.9415</v>
      </c>
      <c r="K3">
        <f>IFERROR((1+(AVERAGEIFS('Game Log Season 3'!$M$3:$M$126, 'Game Log Season 3'!$C$3:$C$126, "Ryan", 'Game Log Season 3'!$F$3:$F$126, 0)-0.5))*D3, 0)</f>
        <v>7.1994999999999996</v>
      </c>
      <c r="L3" s="36">
        <f t="shared" si="3"/>
        <v>0.29006015185879103</v>
      </c>
    </row>
    <row r="4" spans="1:12" x14ac:dyDescent="0.3">
      <c r="A4" t="s">
        <v>5</v>
      </c>
      <c r="B4" s="36">
        <f t="shared" si="0"/>
        <v>0.25765597019802633</v>
      </c>
      <c r="C4">
        <f>COUNTIFS('Game Log Season 3'!$C$3:$C$126, "Becca", 'Game Log Season 3'!$F$3:$F$126, 1)</f>
        <v>2</v>
      </c>
      <c r="D4">
        <f>COUNTIFS('Game Log Season 3'!$C$3:$C$126, "Becca", 'Game Log Season 3'!$F$3:$F$126, 0)</f>
        <v>5</v>
      </c>
      <c r="E4" s="36">
        <f t="shared" si="1"/>
        <v>0.2857142857142857</v>
      </c>
      <c r="F4">
        <f>SUMIFS('Game Log Season 3'!$J$3:$J$126, 'Game Log Season 3'!$C$3:$C$126, "Becca", 'Game Log Season 3'!$F$3:$F$126, 1)</f>
        <v>1.5</v>
      </c>
      <c r="G4">
        <f>IFERROR((1-(AVERAGEIFS('Game Log Season 3'!$J$3:$J$126, 'Game Log Season 3'!$C$3:$C$126, "Becca", 'Game Log Season 3'!$F$3:$F$126, 0)*-1))*D4,0)</f>
        <v>3.6333333333333333</v>
      </c>
      <c r="H4" s="36">
        <f t="shared" si="2"/>
        <v>0.29220779220779225</v>
      </c>
      <c r="I4" s="36">
        <f>IF(C4&lt;&gt;0,AVERAGEIF('Game Log Season 3'!$C$3:$C$126, "Becca", 'Game Log Season 3'!$K$3:$K$126),0)</f>
        <v>7.7142857142857166E-2</v>
      </c>
      <c r="J4">
        <f>IFERROR((1-(AVERAGEIFS('Game Log Season 3'!$M$3:$M$126, 'Game Log Season 3'!$C$3:$C$126, "Becca", 'Game Log Season 3'!$F$3:$F$126, 1)-0.5))*C4, 0)</f>
        <v>2.1500000000000004</v>
      </c>
      <c r="K4">
        <f>IFERROR((1+(AVERAGEIFS('Game Log Season 3'!$M$3:$M$126, 'Game Log Season 3'!$C$3:$C$126, "Becca", 'Game Log Season 3'!$F$3:$F$126, 0)-0.5))*D4, 0)</f>
        <v>4.8049999999999997</v>
      </c>
      <c r="L4" s="36">
        <f t="shared" si="3"/>
        <v>0.30913012221423442</v>
      </c>
    </row>
    <row r="5" spans="1:12" x14ac:dyDescent="0.3">
      <c r="A5" t="s">
        <v>3</v>
      </c>
      <c r="B5" s="36">
        <f t="shared" si="0"/>
        <v>0.20924751206541659</v>
      </c>
      <c r="C5">
        <f>COUNTIFS('Game Log Season 3'!$C$3:$C$126, "Manny", 'Game Log Season 3'!$F$3:$F$126, 1)</f>
        <v>3</v>
      </c>
      <c r="D5">
        <f>COUNTIFS('Game Log Season 3'!$C$3:$C$126, "Manny", 'Game Log Season 3'!$F$3:$F$126, 0)</f>
        <v>10</v>
      </c>
      <c r="E5" s="36">
        <f t="shared" si="1"/>
        <v>0.23076923076923078</v>
      </c>
      <c r="F5">
        <f>SUMIFS('Game Log Season 3'!$J$3:$J$126, 'Game Log Season 3'!$C$3:$C$126, "Manny", 'Game Log Season 3'!$F$3:$F$126, 1)</f>
        <v>2.166666666666667</v>
      </c>
      <c r="G5">
        <f>IFERROR((1-(AVERAGEIFS('Game Log Season 3'!$J$3:$J$126, 'Game Log Season 3'!$C$3:$C$126, "Manny", 'Game Log Season 3'!$F$3:$F$126, 0)*-1))*D5,0)</f>
        <v>7.1833333333333327</v>
      </c>
      <c r="H5" s="36">
        <f t="shared" si="2"/>
        <v>0.23172905525846707</v>
      </c>
      <c r="I5" s="36">
        <f>IF(C5&lt;&gt;0,AVERAGEIF('Game Log Season 3'!$C$3:$C$126, "Manny", 'Game Log Season 3'!$K$3:$K$126),0)</f>
        <v>0.14589743589743592</v>
      </c>
      <c r="J5">
        <f>IFERROR((1-(AVERAGEIFS('Game Log Season 3'!$M$3:$M$126, 'Game Log Season 3'!$C$3:$C$126, "Manny", 'Game Log Season 3'!$F$3:$F$126, 1)-0.5))*C5, 0)</f>
        <v>2.7330000000000001</v>
      </c>
      <c r="K5">
        <f>IFERROR((1+(AVERAGEIFS('Game Log Season 3'!$M$3:$M$126, 'Game Log Season 3'!$C$3:$C$126, "Manny", 'Game Log Season 3'!$F$3:$F$126, 0)-0.5))*D5, 0)</f>
        <v>9.6280000000000001</v>
      </c>
      <c r="L5" s="36">
        <f t="shared" si="3"/>
        <v>0.22109861661677857</v>
      </c>
    </row>
    <row r="6" spans="1:12" x14ac:dyDescent="0.3">
      <c r="A6" t="s">
        <v>87</v>
      </c>
      <c r="B6" s="36">
        <f t="shared" si="0"/>
        <v>0</v>
      </c>
      <c r="C6">
        <f>COUNTIFS('Game Log Season 3'!$C$3:$C$126, "Kristy", 'Game Log Season 3'!$F$3:$F$126, 1)</f>
        <v>0</v>
      </c>
      <c r="D6">
        <f>COUNTIFS('Game Log Season 3'!$C$3:$C$126, "Kristy", 'Game Log Season 3'!$F$3:$F$126, 0)</f>
        <v>2</v>
      </c>
      <c r="E6" s="36">
        <f t="shared" si="1"/>
        <v>0</v>
      </c>
      <c r="F6">
        <f>SUMIFS('Game Log Season 3'!$J$3:$J$126, 'Game Log Season 3'!$C$3:$C$126, "Kristy", 'Game Log Season 3'!$F$3:$F$126, 1)</f>
        <v>0</v>
      </c>
      <c r="G6">
        <f>IFERROR((1-(AVERAGEIFS('Game Log Season 3'!$J$3:$J$126, 'Game Log Season 3'!$C$3:$C$126, "Kristy", 'Game Log Season 3'!$F$3:$F$126, 0)*-1))*D6,0)</f>
        <v>1.6</v>
      </c>
      <c r="H6" s="36">
        <f t="shared" si="2"/>
        <v>0</v>
      </c>
      <c r="I6" s="36">
        <f>IF(C6&lt;&gt;0,AVERAGEIF('Game Log Season 3'!$C$3:$C$126, "Kristy", 'Game Log Season 3'!$K$3:$K$126),0)</f>
        <v>0</v>
      </c>
      <c r="J6">
        <f>IFERROR((1-(AVERAGEIFS('Game Log Season 3'!$M$3:$M$126, 'Game Log Season 3'!$C$3:$C$126, "Kristy", 'Game Log Season 3'!$F$3:$F$126, 1)-0.5))*C6, 0)</f>
        <v>0</v>
      </c>
      <c r="K6">
        <f>IFERROR((1+(AVERAGEIFS('Game Log Season 3'!$M$3:$M$126, 'Game Log Season 3'!$C$3:$C$126, "Kristy", 'Game Log Season 3'!$F$3:$F$126, 0)-0.5))*D6, 0)</f>
        <v>1.9550000000000001</v>
      </c>
      <c r="L6" s="36">
        <f t="shared" si="3"/>
        <v>0</v>
      </c>
    </row>
    <row r="7" spans="1:12" x14ac:dyDescent="0.3">
      <c r="A7" t="s">
        <v>4</v>
      </c>
      <c r="B7" s="36">
        <f t="shared" si="0"/>
        <v>0</v>
      </c>
      <c r="C7">
        <f>COUNTIFS('Game Log Season 3'!$C$3:$C$126, "Joseph", 'Game Log Season 3'!$F$3:$F$126, 1)</f>
        <v>0</v>
      </c>
      <c r="D7">
        <f>COUNTIFS('Game Log Season 3'!$C$3:$C$126, "Joseph", 'Game Log Season 3'!$F$3:$F$126, 0)</f>
        <v>1</v>
      </c>
      <c r="E7" s="36">
        <f t="shared" si="1"/>
        <v>0</v>
      </c>
      <c r="F7">
        <f>SUMIFS('Game Log Season 3'!$J$3:$J$126, 'Game Log Season 3'!$C$3:$C$126, "Joseph", 'Game Log Season 3'!$F$3:$F$126, 1)</f>
        <v>0</v>
      </c>
      <c r="G7">
        <f>IFERROR((1-(AVERAGEIFS('Game Log Season 3'!$J$3:$J$126, 'Game Log Season 3'!$C$3:$C$126, "Joseph", 'Game Log Season 3'!$F$3:$F$126, 0)*-1))*D7,0)</f>
        <v>0.8</v>
      </c>
      <c r="H7" s="36">
        <f t="shared" si="2"/>
        <v>0</v>
      </c>
      <c r="I7" s="36">
        <f>IF(C7&lt;&gt;0,AVERAGEIF('Game Log Season 3'!$C$3:$C$126, "Joseph", 'Game Log Season 3'!$K$3:$K$126),0)</f>
        <v>0</v>
      </c>
      <c r="J7">
        <f>IFERROR((1-(AVERAGEIFS('Game Log Season 3'!$M$3:$M$126, 'Game Log Season 3'!$C$3:$C$126, "Joseph", 'Game Log Season 3'!$F$3:$F$126, 1)-0.5))*C7, 0)</f>
        <v>0</v>
      </c>
      <c r="K7">
        <f>IFERROR((1+(AVERAGEIFS('Game Log Season 3'!$M$3:$M$126, 'Game Log Season 3'!$C$3:$C$126, "Joseph", 'Game Log Season 3'!$F$3:$F$126, 0)-0.5))*D7, 0)</f>
        <v>1.0427499999999998</v>
      </c>
      <c r="L7" s="36">
        <f t="shared" si="3"/>
        <v>0</v>
      </c>
    </row>
    <row r="8" spans="1:12" x14ac:dyDescent="0.3">
      <c r="A8" t="s">
        <v>49</v>
      </c>
      <c r="B8" s="36">
        <f t="shared" si="0"/>
        <v>0</v>
      </c>
      <c r="C8">
        <f>COUNTIFS('Game Log Season 3'!$C$3:$C$126, "Michelle", 'Game Log Season 3'!$F$3:$F$126, 1)</f>
        <v>0</v>
      </c>
      <c r="D8">
        <f>COUNTIFS('Game Log Season 3'!$C$3:$C$126, "Michelle", 'Game Log Season 3'!$F$3:$F$126, 0)</f>
        <v>3</v>
      </c>
      <c r="E8" s="36">
        <f t="shared" si="1"/>
        <v>0</v>
      </c>
      <c r="F8">
        <f>SUMIFS('Game Log Season 3'!$J$3:$J$126, 'Game Log Season 3'!$C$3:$C$126, "Michelle", 'Game Log Season 3'!$F$3:$F$126, 1)</f>
        <v>0</v>
      </c>
      <c r="G8">
        <f>IFERROR((1-(AVERAGEIFS('Game Log Season 3'!$J$3:$J$126, 'Game Log Season 3'!$C$3:$C$126, "Michelle", 'Game Log Season 3'!$F$3:$F$126, 0)*-1))*D8,0)</f>
        <v>2.25</v>
      </c>
      <c r="H8" s="36">
        <f t="shared" si="2"/>
        <v>0</v>
      </c>
      <c r="I8" s="36">
        <f>IF(C8&lt;&gt;0,AVERAGEIF('Game Log Season 3'!$C$3:$C$126, "Michelle", 'Game Log Season 3'!$K$3:$K$126),0)</f>
        <v>0</v>
      </c>
      <c r="J8">
        <f>IFERROR((1-(AVERAGEIFS('Game Log Season 3'!$M$3:$M$126, 'Game Log Season 3'!$C$3:$C$126, "Michelle", 'Game Log Season 3'!$F$3:$F$126, 1)-0.5))*C8, 0)</f>
        <v>0</v>
      </c>
      <c r="K8">
        <f>IFERROR((1+(AVERAGEIFS('Game Log Season 3'!$M$3:$M$126, 'Game Log Season 3'!$C$3:$C$126, "Michelle", 'Game Log Season 3'!$F$3:$F$126, 0)-0.5))*D8, 0)</f>
        <v>2.7869999999999999</v>
      </c>
      <c r="L8" s="36">
        <f t="shared" si="3"/>
        <v>0</v>
      </c>
    </row>
    <row r="9" spans="1:12" x14ac:dyDescent="0.3">
      <c r="A9" t="s">
        <v>73</v>
      </c>
      <c r="B9" s="36">
        <f t="shared" si="0"/>
        <v>0</v>
      </c>
      <c r="C9">
        <f>COUNTIFS('Game Log Season 3'!$C$3:$C$126, "Red", 'Game Log Season 3'!$F$3:$F$126, 1)</f>
        <v>0</v>
      </c>
      <c r="D9">
        <f>COUNTIFS('Game Log Season 3'!$C$3:$C$126, "Red", 'Game Log Season 3'!$F$3:$F$126, 0)</f>
        <v>0</v>
      </c>
      <c r="E9" s="36">
        <f t="shared" si="1"/>
        <v>0</v>
      </c>
      <c r="F9">
        <f>SUMIFS('Game Log Season 3'!$J$3:$J$126, 'Game Log Season 3'!$C$3:$C$126, "Red", 'Game Log Season 3'!$F$3:$F$126, 1)</f>
        <v>0</v>
      </c>
      <c r="G9">
        <f>IFERROR((1-(AVERAGEIFS('Game Log Season 3'!$J$3:$J$126, 'Game Log Season 3'!$C$3:$C$126, "Red", 'Game Log Season 3'!$F$3:$F$126, 0)*-1))*D9,0)</f>
        <v>0</v>
      </c>
      <c r="H9" s="36">
        <f t="shared" si="2"/>
        <v>0</v>
      </c>
      <c r="I9" s="36">
        <f>IF(C9&lt;&gt;0,AVERAGEIF('Game Log Season 3'!$C$3:$C$126, "Red", 'Game Log Season 3'!$K$3:$K$126),0)</f>
        <v>0</v>
      </c>
      <c r="J9">
        <f>IFERROR((1-(AVERAGEIFS('Game Log Season 3'!$M$3:$M$126, 'Game Log Season 3'!$C$3:$C$126, "Red", 'Game Log Season 3'!$F$3:$F$126, 1)-0.5))*C9, 0)</f>
        <v>0</v>
      </c>
      <c r="K9">
        <f>IFERROR((1+(AVERAGEIFS('Game Log Season 3'!$M$3:$M$126, 'Game Log Season 3'!$C$3:$C$126, "Red", 'Game Log Season 3'!$F$3:$F$126, 0)-0.5))*D9, 0)</f>
        <v>0</v>
      </c>
      <c r="L9" s="36">
        <f t="shared" si="3"/>
        <v>0</v>
      </c>
    </row>
  </sheetData>
  <sortState xmlns:xlrd2="http://schemas.microsoft.com/office/spreadsheetml/2017/richdata2" ref="A2:L9">
    <sortCondition descending="1" ref="B2:B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Game Log Season 1</vt:lpstr>
      <vt:lpstr>Game Log Season 2</vt:lpstr>
      <vt:lpstr>Game Log Season 3</vt:lpstr>
      <vt:lpstr>Current Deck Strength</vt:lpstr>
      <vt:lpstr>Deck Win Rates</vt:lpstr>
      <vt:lpstr>Player Adjusted Ranks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Munden</dc:creator>
  <cp:lastModifiedBy>Ryan Munden</cp:lastModifiedBy>
  <dcterms:created xsi:type="dcterms:W3CDTF">2025-12-30T00:21:53Z</dcterms:created>
  <dcterms:modified xsi:type="dcterms:W3CDTF">2026-08-05T17:17:49Z</dcterms:modified>
</cp:coreProperties>
</file>