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Game Log Season 4" sheetId="4" state="visible" r:id="rId6"/>
    <sheet name="Current Deck Strength" sheetId="5" state="visible" r:id="rId7"/>
    <sheet name="Deck Win Rates" sheetId="6" state="visible" r:id="rId8"/>
    <sheet name="Player Adjusted Ranks" sheetId="7" state="visible" r:id="rId9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<sst xmlns="http://schemas.openxmlformats.org/spreadsheetml/2006/main" count="863" uniqueCount="120">
  <si>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</si>
  <si>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</si>
  <si>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</si>
  <si>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</si>
  <si>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</si>
  <si>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</si>
  <si>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</si>
  <si>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</si>
  <si>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</si>
  <si>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</si>
  <si>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</si>
  <si>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</si>
  <si>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</si>
  <si>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</si>
  <si>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</si>
  <si>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</si>
  <si>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</si>
  <si>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</si>
  <si>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</si>
  <si>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</si>
  <si>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</si>
  <si>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</si>
  <si>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</si>
  <si>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</si>
  <si>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</si>
  <si>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</si>
  <si>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</si>
  <si>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</si>
  <si>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</si>
  <si>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</si>
  <si>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</si>
  <si>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</si>
  <si>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</si>
  <si>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</si>
  <si>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</si>
  <si>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</si>
  <si>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</si>
  <si>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</si>
  <si>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</si>
  <si>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</si>
  <si>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</si>
  <si>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</si>
  <si>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</si>
  <si>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</si>
  <si>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</si>
  <si>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</si>
  <si>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</si>
  <si>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</si>
  <si>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</si>
  <si>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</si>
  <si>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</si>
  <si>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</si>
  <si>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</si>
  <si>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</si>
  <si>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</si>
  <si>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</si>
  <si>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</si>
  <si>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</si>
  <si>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</si>
  <si>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</si>
  <si>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</si>
  <si>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</si>
  <si>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</si>
  <si>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</si>
  <si>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</si>
  <si>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</si>
  <si>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</si>
  <si>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</si>
  <si>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</si>
  <si>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</si>
  <si>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</si>
  <si>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</si>
  <si>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</si>
  <si>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</si>
  <si>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</si>
  <si>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</si>
  <si>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</si>
  <si>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</si>
  <si>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</si>
  <si>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</si>
  <si>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</si>
  <si>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</si>
  <si>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</si>
  <si>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</si>
  <si>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</si>
  <si>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</si>
  <si>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</si>
  <si>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</si>
  <si>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</si>
  <si>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</si>
  <si>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</si>
  <si>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</si>
  <si>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</si>
  <si>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</si>
  <si>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</si>
  <si>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</si>
  <si>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</si>
  <si>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</si>
  <si>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</si>
  <si>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</si>
  <si>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</si>
  <si>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*Bracket 4 review (1 game no infinite combos)</t>
  </si>
  <si>
    <t xml:space="preserve">*Bracket 4 review (2 games no infinite combos)</t>
  </si>
  <si>
    <t xml:space="preserve">*Bracket 3</t>
  </si>
  <si>
    <t xml:space="preserve">*Bracket 4 review (1 game infinite combo round 9)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</si>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</sst>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"/>
  <sheetViews>
    <sheetView showFormulas="false" showGridLines="true" showRowColHeaders="true" showZeros="true" rightToLeft="false" tabSelected="tru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</sheetData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</row>
    <row r="2" customFormat="false" ht="14.25" hidden="false" customHeight="false" outlineLevel="0" collapsed="false">
      <c r="A2" s="47" t="s">
        <v>26</v>
      </c>
      <c r="B2" s="48" t="n">
        <f aca="false">AVERAGE(B3:B6)</f>
        <v>2.72288194444445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4'!$C$3:$C$1000="Becca")*('Game Log Season 4'!$D$3:$D$1000=A3)*('Game Log Season 4'!$X$3:$X$1000&lt;&gt;"")),'Game Log Season 4'!$X$3:$X$1000), D3)</f>
        <v>2.40388888888889</v>
      </c>
      <c r="C3" s="46"/>
      <c r="D3" s="49" t="n">
        <v>2.40388888888889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4'!$C$3:$C$1000="Becca")*('Game Log Season 4'!$D$3:$D$1000=A4)*('Game Log Season 4'!$X$3:$X$1000&lt;&gt;"")),'Game Log Season 4'!$X$3:$X$1000), D4)</f>
        <v>3.7</v>
      </c>
      <c r="C4" s="46" t="s">
        <v>101</v>
      </c>
      <c r="D4" s="49" t="n">
        <v>3.7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4'!$C$3:$C$1000="Becca")*('Game Log Season 4'!$D$3:$D$1000=A5)*('Game Log Season 4'!$X$3:$X$1000&lt;&gt;"")),'Game Log Season 4'!$X$3:$X$1000), D5)</f>
        <v>2.30388888888889</v>
      </c>
      <c r="C5" s="46"/>
      <c r="D5" s="49" t="n">
        <v>2.30388888888889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4'!$C$3:$C$1000="Becca")*('Game Log Season 4'!$D$3:$D$1000=A6)*('Game Log Season 4'!$X$3:$X$1000&lt;&gt;"")),'Game Log Season 4'!$X$3:$X$1000), D6)</f>
        <v>2.48375</v>
      </c>
      <c r="C6" s="46"/>
      <c r="D6" s="49" t="n">
        <v>2.48375</v>
      </c>
    </row>
    <row r="7" customFormat="false" ht="14.25" hidden="false" customHeight="false" outlineLevel="0" collapsed="false">
      <c r="A7" s="47" t="s">
        <v>28</v>
      </c>
      <c r="B7" s="48" t="n">
        <f aca="false">AVERAGE(B8:B17)</f>
        <v>3.28381944444444</v>
      </c>
      <c r="C7" s="46"/>
    </row>
    <row r="8" customFormat="false" ht="14.25" hidden="false" customHeight="false" outlineLevel="0" collapsed="false">
      <c r="A8" s="49" t="s">
        <v>68</v>
      </c>
      <c r="B8" s="49" t="n">
        <f aca="false">IFERROR(LOOKUP(2,1/(('Game Log Season 4'!$C$3:$C$1000="Manny")*('Game Log Season 4'!$D$3:$D$1000=A8)*('Game Log Season 4'!$X$3:$X$1000&lt;&gt;"")),'Game Log Season 4'!$X$3:$X$1000), D8)</f>
        <v>3.83916666666667</v>
      </c>
      <c r="C8" s="46"/>
      <c r="D8" s="49" t="n">
        <v>3.83916666666667</v>
      </c>
    </row>
    <row r="9" customFormat="false" ht="14.25" hidden="false" customHeight="false" outlineLevel="0" collapsed="false">
      <c r="A9" s="49" t="s">
        <v>42</v>
      </c>
      <c r="B9" s="49" t="n">
        <f aca="false">IFERROR(LOOKUP(2,1/(('Game Log Season 4'!$C$3:$C$1000="Manny")*('Game Log Season 4'!$D$3:$D$1000=A9)*('Game Log Season 4'!$X$3:$X$1000&lt;&gt;"")),'Game Log Season 4'!$X$3:$X$1000), D9)</f>
        <v>3.9</v>
      </c>
      <c r="C9" s="46"/>
      <c r="D9" s="49" t="n">
        <v>3.9</v>
      </c>
    </row>
    <row r="10" customFormat="false" ht="28.35" hidden="false" customHeight="false" outlineLevel="0" collapsed="false">
      <c r="A10" s="49" t="s">
        <v>67</v>
      </c>
      <c r="B10" s="49" t="n">
        <f aca="false">IFERROR(LOOKUP(2,1/(('Game Log Season 4'!$C$3:$C$1000="Manny")*('Game Log Season 4'!$D$3:$D$1000=A10)*('Game Log Season 4'!$X$3:$X$1000&lt;&gt;"")),'Game Log Season 4'!$X$3:$X$1000), D10)</f>
        <v>3.4</v>
      </c>
      <c r="C10" s="46" t="s">
        <v>102</v>
      </c>
      <c r="D10" s="49" t="n">
        <v>3.4</v>
      </c>
    </row>
    <row r="11" customFormat="false" ht="14.25" hidden="false" customHeight="false" outlineLevel="0" collapsed="false">
      <c r="A11" s="49" t="s">
        <v>82</v>
      </c>
      <c r="B11" s="49" t="n">
        <f aca="false">IFERROR(LOOKUP(2,1/(('Game Log Season 4'!$C$3:$C$1000="Manny")*('Game Log Season 4'!$D$3:$D$1000=A11)*('Game Log Season 4'!$X$3:$X$1000&lt;&gt;"")),'Game Log Season 4'!$X$3:$X$1000), D11)</f>
        <v>2.6</v>
      </c>
      <c r="C11" s="46"/>
      <c r="D11" s="49" t="n">
        <v>2.6</v>
      </c>
    </row>
    <row r="12" customFormat="false" ht="28.35" hidden="false" customHeight="false" outlineLevel="0" collapsed="false">
      <c r="A12" s="49" t="s">
        <v>44</v>
      </c>
      <c r="B12" s="49" t="n">
        <f aca="false">IFERROR(LOOKUP(2,1/(('Game Log Season 4'!$C$3:$C$1000="Manny")*('Game Log Season 4'!$D$3:$D$1000=A12)*('Game Log Season 4'!$X$3:$X$1000&lt;&gt;"")),'Game Log Season 4'!$X$3:$X$1000), D12)</f>
        <v>3.5</v>
      </c>
      <c r="C12" s="46" t="s">
        <v>101</v>
      </c>
      <c r="D12" s="49" t="n">
        <v>3.5</v>
      </c>
    </row>
    <row r="13" customFormat="false" ht="14.25" hidden="false" customHeight="false" outlineLevel="0" collapsed="false">
      <c r="A13" s="49" t="s">
        <v>88</v>
      </c>
      <c r="B13" s="49" t="n">
        <f aca="false">IFERROR(LOOKUP(2,1/(('Game Log Season 4'!$C$3:$C$1000="Manny")*('Game Log Season 4'!$D$3:$D$1000=A13)*('Game Log Season 4'!$X$3:$X$1000&lt;&gt;"")),'Game Log Season 4'!$X$3:$X$1000), D13)</f>
        <v>2.65388888888889</v>
      </c>
      <c r="C13" s="46"/>
      <c r="D13" s="49" t="n">
        <v>2.65388888888889</v>
      </c>
    </row>
    <row r="14" customFormat="false" ht="14.25" hidden="false" customHeight="false" outlineLevel="0" collapsed="false">
      <c r="A14" s="49" t="s">
        <v>48</v>
      </c>
      <c r="B14" s="49" t="n">
        <f aca="false">IFERROR(LOOKUP(2,1/(('Game Log Season 4'!$C$3:$C$1000="Manny")*('Game Log Season 4'!$D$3:$D$1000=A14)*('Game Log Season 4'!$X$3:$X$1000&lt;&gt;"")),'Game Log Season 4'!$X$3:$X$1000), D14)</f>
        <v>2.6</v>
      </c>
      <c r="C14" s="46"/>
      <c r="D14" s="49" t="n">
        <v>2.6</v>
      </c>
    </row>
    <row r="15" customFormat="false" ht="14.25" hidden="false" customHeight="false" outlineLevel="0" collapsed="false">
      <c r="A15" s="49" t="s">
        <v>37</v>
      </c>
      <c r="B15" s="49" t="n">
        <f aca="false">IFERROR(LOOKUP(2,1/(('Game Log Season 4'!$C$3:$C$1000="Manny")*('Game Log Season 4'!$D$3:$D$1000=A15)*('Game Log Season 4'!$X$3:$X$1000&lt;&gt;"")),'Game Log Season 4'!$X$3:$X$1000), D15)</f>
        <v>3.91083333333333</v>
      </c>
      <c r="C15" s="46"/>
      <c r="D15" s="49" t="n">
        <v>3.91083333333333</v>
      </c>
    </row>
    <row r="16" customFormat="false" ht="14.25" hidden="false" customHeight="false" outlineLevel="0" collapsed="false">
      <c r="A16" s="49" t="s">
        <v>91</v>
      </c>
      <c r="B16" s="49" t="n">
        <f aca="false">IFERROR(LOOKUP(2,1/(('Game Log Season 4'!$C$3:$C$1000="Manny")*('Game Log Season 4'!$D$3:$D$1000=A16)*('Game Log Season 4'!$X$3:$X$1000&lt;&gt;"")),'Game Log Season 4'!$X$3:$X$1000), D16)</f>
        <v>2.94083333333333</v>
      </c>
      <c r="C16" s="46"/>
      <c r="D16" s="49" t="n">
        <v>2.94083333333333</v>
      </c>
    </row>
    <row r="17" customFormat="false" ht="14.25" hidden="false" customHeight="false" outlineLevel="0" collapsed="false">
      <c r="A17" s="49" t="s">
        <v>47</v>
      </c>
      <c r="B17" s="49" t="n">
        <f aca="false">IFERROR(LOOKUP(2,1/(('Game Log Season 4'!$C$3:$C$1000="Manny")*('Game Log Season 4'!$D$3:$D$1000=A17)*('Game Log Season 4'!$X$3:$X$1000&lt;&gt;"")),'Game Log Season 4'!$X$3:$X$1000), D17)</f>
        <v>3.49347222222222</v>
      </c>
      <c r="C17" s="46"/>
      <c r="D17" s="49" t="n">
        <v>3.49347222222222</v>
      </c>
    </row>
    <row r="18" customFormat="false" ht="14.25" hidden="false" customHeight="false" outlineLevel="0" collapsed="false">
      <c r="A18" s="47" t="s">
        <v>30</v>
      </c>
      <c r="B18" s="48" t="n">
        <f aca="false">AVERAGE(B19:B32)</f>
        <v>3.31464285714286</v>
      </c>
      <c r="C18" s="46"/>
    </row>
    <row r="19" customFormat="false" ht="14.25" hidden="false" customHeight="false" outlineLevel="0" collapsed="false">
      <c r="A19" s="49" t="s">
        <v>73</v>
      </c>
      <c r="B19" s="49" t="n">
        <f aca="false">IFERROR(LOOKUP(2,1/(('Game Log Season 4'!$C$3:$C$1000="Mateo")*('Game Log Season 4'!$D$3:$D$1000=A19)*('Game Log Season 4'!$X$3:$X$1000&lt;&gt;"")),'Game Log Season 4'!$X$3:$X$1000), D19)</f>
        <v>2.4</v>
      </c>
      <c r="C19" s="46"/>
      <c r="D19" s="49" t="n">
        <v>2.4</v>
      </c>
    </row>
    <row r="20" customFormat="false" ht="14.25" hidden="false" customHeight="false" outlineLevel="0" collapsed="false">
      <c r="A20" s="49" t="s">
        <v>66</v>
      </c>
      <c r="B20" s="49" t="n">
        <f aca="false">IFERROR(LOOKUP(2,1/(('Game Log Season 4'!$C$3:$C$1000="Mateo")*('Game Log Season 4'!$D$3:$D$1000=A20)*('Game Log Season 4'!$X$3:$X$1000&lt;&gt;"")),'Game Log Season 4'!$X$3:$X$1000), D20)</f>
        <v>2.6</v>
      </c>
      <c r="C20" s="46"/>
      <c r="D20" s="49" t="n">
        <v>2.6</v>
      </c>
    </row>
    <row r="21" customFormat="false" ht="14.25" hidden="false" customHeight="false" outlineLevel="0" collapsed="false">
      <c r="A21" s="49" t="s">
        <v>31</v>
      </c>
      <c r="B21" s="49" t="n">
        <f aca="false">IFERROR(LOOKUP(2,1/(('Game Log Season 4'!$C$3:$C$1000="Mateo")*('Game Log Season 4'!$D$3:$D$1000=A21)*('Game Log Season 4'!$X$3:$X$1000&lt;&gt;"")),'Game Log Season 4'!$X$3:$X$1000), D21)</f>
        <v>3.57402777777778</v>
      </c>
      <c r="C21" s="46"/>
      <c r="D21" s="49" t="n">
        <v>3.57402777777778</v>
      </c>
    </row>
    <row r="22" customFormat="false" ht="14.25" hidden="false" customHeight="false" outlineLevel="0" collapsed="false">
      <c r="A22" s="49" t="s">
        <v>34</v>
      </c>
      <c r="B22" s="49" t="n">
        <f aca="false">IFERROR(LOOKUP(2,1/(('Game Log Season 4'!$C$3:$C$1000="Mateo")*('Game Log Season 4'!$D$3:$D$1000=A22)*('Game Log Season 4'!$X$3:$X$1000&lt;&gt;"")),'Game Log Season 4'!$X$3:$X$1000), D22)</f>
        <v>3.6</v>
      </c>
      <c r="C22" s="46"/>
      <c r="D22" s="49" t="n">
        <v>3.6</v>
      </c>
    </row>
    <row r="23" customFormat="false" ht="14.25" hidden="false" customHeight="false" outlineLevel="0" collapsed="false">
      <c r="A23" s="49" t="s">
        <v>74</v>
      </c>
      <c r="B23" s="49" t="n">
        <f aca="false">IFERROR(LOOKUP(2,1/(('Game Log Season 4'!$C$3:$C$1000="Mateo")*('Game Log Season 4'!$D$3:$D$1000=A23)*('Game Log Season 4'!$X$3:$X$1000&lt;&gt;"")),'Game Log Season 4'!$X$3:$X$1000), D23)</f>
        <v>2.9</v>
      </c>
      <c r="C23" s="46"/>
      <c r="D23" s="49" t="n">
        <v>2.9</v>
      </c>
    </row>
    <row r="24" customFormat="false" ht="28.35" hidden="false" customHeight="false" outlineLevel="0" collapsed="false">
      <c r="A24" s="49" t="s">
        <v>57</v>
      </c>
      <c r="B24" s="49" t="n">
        <f aca="false">IFERROR(LOOKUP(2,1/(('Game Log Season 4'!$C$3:$C$1000="Mateo")*('Game Log Season 4'!$D$3:$D$1000=A24)*('Game Log Season 4'!$X$3:$X$1000&lt;&gt;"")),'Game Log Season 4'!$X$3:$X$1000), D24)</f>
        <v>3.9</v>
      </c>
      <c r="C24" s="46" t="s">
        <v>101</v>
      </c>
      <c r="D24" s="49" t="n">
        <v>3.9</v>
      </c>
    </row>
    <row r="25" customFormat="false" ht="14.25" hidden="false" customHeight="false" outlineLevel="0" collapsed="false">
      <c r="A25" s="49" t="s">
        <v>80</v>
      </c>
      <c r="B25" s="49" t="n">
        <f aca="false">IFERROR(LOOKUP(2,1/(('Game Log Season 4'!$C$3:$C$1000="Mateo")*('Game Log Season 4'!$D$3:$D$1000=A25)*('Game Log Season 4'!$X$3:$X$1000&lt;&gt;"")),'Game Log Season 4'!$X$3:$X$1000), D25)</f>
        <v>2.8</v>
      </c>
      <c r="C25" s="46"/>
      <c r="D25" s="49" t="n">
        <v>2.8</v>
      </c>
    </row>
    <row r="26" customFormat="false" ht="14.25" hidden="false" customHeight="false" outlineLevel="0" collapsed="false">
      <c r="A26" s="49" t="s">
        <v>81</v>
      </c>
      <c r="B26" s="49" t="n">
        <f aca="false">IFERROR(LOOKUP(2,1/(('Game Log Season 4'!$C$3:$C$1000="Mateo")*('Game Log Season 4'!$D$3:$D$1000=A26)*('Game Log Season 4'!$X$3:$X$1000&lt;&gt;"")),'Game Log Season 4'!$X$3:$X$1000), D26)</f>
        <v>2.6</v>
      </c>
      <c r="C26" s="46"/>
      <c r="D26" s="49" t="n">
        <v>2.6</v>
      </c>
    </row>
    <row r="27" customFormat="false" ht="14.25" hidden="false" customHeight="false" outlineLevel="0" collapsed="false">
      <c r="A27" s="49" t="s">
        <v>83</v>
      </c>
      <c r="B27" s="49" t="n">
        <f aca="false">IFERROR(LOOKUP(2,1/(('Game Log Season 4'!$C$3:$C$1000="Mateo")*('Game Log Season 4'!$D$3:$D$1000=A27)*('Game Log Season 4'!$X$3:$X$1000&lt;&gt;"")),'Game Log Season 4'!$X$3:$X$1000), D27)</f>
        <v>3.59875</v>
      </c>
      <c r="C27" s="46" t="s">
        <v>103</v>
      </c>
      <c r="D27" s="49" t="n">
        <v>3.59875</v>
      </c>
    </row>
    <row r="28" customFormat="false" ht="14.25" hidden="false" customHeight="false" outlineLevel="0" collapsed="false">
      <c r="A28" s="49" t="s">
        <v>48</v>
      </c>
      <c r="B28" s="49" t="n">
        <f aca="false">IFERROR(LOOKUP(2,1/(('Game Log Season 4'!$C$3:$C$1000="Mateo")*('Game Log Season 4'!$D$3:$D$1000=A28)*('Game Log Season 4'!$X$3:$X$1000&lt;&gt;"")),'Game Log Season 4'!$X$3:$X$1000), D28)</f>
        <v>3.94083333333333</v>
      </c>
      <c r="C28" s="46"/>
      <c r="D28" s="49" t="n">
        <v>3.94083333333333</v>
      </c>
    </row>
    <row r="29" customFormat="false" ht="14.25" hidden="false" customHeight="false" outlineLevel="0" collapsed="false">
      <c r="A29" s="49" t="s">
        <v>90</v>
      </c>
      <c r="B29" s="49" t="n">
        <f aca="false">IFERROR(LOOKUP(2,1/(('Game Log Season 4'!$C$3:$C$1000="Mateo")*('Game Log Season 4'!$D$3:$D$1000=A29)*('Game Log Season 4'!$X$3:$X$1000&lt;&gt;"")),'Game Log Season 4'!$X$3:$X$1000), D29)</f>
        <v>3.65388888888889</v>
      </c>
      <c r="C29" s="46"/>
      <c r="D29" s="49" t="n">
        <v>3.65388888888889</v>
      </c>
    </row>
    <row r="30" customFormat="false" ht="14.25" hidden="false" customHeight="false" outlineLevel="0" collapsed="false">
      <c r="A30" s="49" t="s">
        <v>46</v>
      </c>
      <c r="B30" s="50" t="n">
        <f aca="false">IFERROR(LOOKUP(2,1/(('Game Log Season 4'!$C$3:$C$1000="Mateo")*('Game Log Season 4'!$D$3:$D$1000=A30)*('Game Log Season 4'!$X$3:$X$1000&lt;&gt;"")),'Game Log Season 4'!$X$3:$X$1000), D30)</f>
        <v>3.95583333333333</v>
      </c>
      <c r="C30" s="46"/>
      <c r="D30" s="50" t="n">
        <v>3.95583333333333</v>
      </c>
    </row>
    <row r="31" customFormat="false" ht="14.25" hidden="false" customHeight="false" outlineLevel="0" collapsed="false">
      <c r="A31" s="49" t="s">
        <v>92</v>
      </c>
      <c r="B31" s="50" t="n">
        <f aca="false">IFERROR(LOOKUP(2,1/(('Game Log Season 4'!$C$3:$C$1000="Mateo")*('Game Log Season 4'!$D$3:$D$1000=A31)*('Game Log Season 4'!$X$3:$X$1000&lt;&gt;"")),'Game Log Season 4'!$X$3:$X$1000), D31)</f>
        <v>2.94666666666667</v>
      </c>
      <c r="C31" s="46"/>
      <c r="D31" s="50" t="n">
        <v>2.94666666666667</v>
      </c>
    </row>
    <row r="32" customFormat="false" ht="28.35" hidden="false" customHeight="false" outlineLevel="0" collapsed="false">
      <c r="A32" s="49" t="s">
        <v>40</v>
      </c>
      <c r="B32" s="50" t="n">
        <f aca="false">IFERROR(LOOKUP(2,1/(('Game Log Season 4'!$C$3:$C$1000="Mateo")*('Game Log Season 4'!$D$3:$D$1000=A32)*('Game Log Season 4'!$X$3:$X$1000&lt;&gt;"")),'Game Log Season 4'!$X$3:$X$1000), D32)</f>
        <v>3.935</v>
      </c>
      <c r="C32" s="46" t="s">
        <v>104</v>
      </c>
      <c r="D32" s="50" t="n">
        <v>3.935</v>
      </c>
    </row>
    <row r="33" customFormat="false" ht="14.25" hidden="false" customHeight="false" outlineLevel="0" collapsed="false">
      <c r="A33" s="47" t="s">
        <v>32</v>
      </c>
      <c r="B33" s="48" t="n">
        <f aca="false">AVERAGE(B34:B44)</f>
        <v>3.26275505050505</v>
      </c>
      <c r="C33" s="46"/>
    </row>
    <row r="34" customFormat="false" ht="14.25" hidden="false" customHeight="false" outlineLevel="0" collapsed="false">
      <c r="A34" s="49" t="s">
        <v>36</v>
      </c>
      <c r="B34" s="49" t="n">
        <f aca="false">IFERROR(LOOKUP(2,1/(('Game Log Season 4'!$C$3:$C$1000="Ryan")*('Game Log Season 4'!$D$3:$D$1000=A34)*('Game Log Season 4'!$X$3:$X$1000&lt;&gt;"")),'Game Log Season 4'!$X$3:$X$1000), D34)</f>
        <v>3.5</v>
      </c>
      <c r="C34" s="46"/>
      <c r="D34" s="49" t="n">
        <v>3.5</v>
      </c>
    </row>
    <row r="35" customFormat="false" ht="14.25" hidden="false" customHeight="false" outlineLevel="0" collapsed="false">
      <c r="A35" s="49" t="s">
        <v>62</v>
      </c>
      <c r="B35" s="49" t="n">
        <f aca="false">IFERROR(LOOKUP(2,1/(('Game Log Season 4'!$C$3:$C$1000="Ryan")*('Game Log Season 4'!$D$3:$D$1000=A35)*('Game Log Season 4'!$X$3:$X$1000&lt;&gt;"")),'Game Log Season 4'!$X$3:$X$1000), D35)</f>
        <v>3.43088888888889</v>
      </c>
      <c r="C35" s="46"/>
      <c r="D35" s="49" t="n">
        <v>3.43088888888889</v>
      </c>
    </row>
    <row r="36" customFormat="false" ht="14.25" hidden="false" customHeight="false" outlineLevel="0" collapsed="false">
      <c r="A36" s="49" t="s">
        <v>33</v>
      </c>
      <c r="B36" s="49" t="n">
        <f aca="false">IFERROR(LOOKUP(2,1/(('Game Log Season 4'!$C$3:$C$1000="Ryan")*('Game Log Season 4'!$D$3:$D$1000=A36)*('Game Log Season 4'!$X$3:$X$1000&lt;&gt;"")),'Game Log Season 4'!$X$3:$X$1000), D36)</f>
        <v>3.7</v>
      </c>
      <c r="C36" s="46"/>
      <c r="D36" s="49" t="n">
        <v>3.7</v>
      </c>
    </row>
    <row r="37" customFormat="false" ht="14.25" hidden="false" customHeight="false" outlineLevel="0" collapsed="false">
      <c r="A37" s="49" t="s">
        <v>61</v>
      </c>
      <c r="B37" s="49" t="n">
        <f aca="false">IFERROR(LOOKUP(2,1/(('Game Log Season 4'!$C$3:$C$1000="Ryan")*('Game Log Season 4'!$D$3:$D$1000=A37)*('Game Log Season 4'!$X$3:$X$1000&lt;&gt;"")),'Game Log Season 4'!$X$3:$X$1000), D37)</f>
        <v>2.6</v>
      </c>
      <c r="C37" s="46"/>
      <c r="D37" s="49" t="n">
        <v>2.6</v>
      </c>
    </row>
    <row r="38" customFormat="false" ht="14.25" hidden="false" customHeight="false" outlineLevel="0" collapsed="false">
      <c r="A38" s="49" t="s">
        <v>41</v>
      </c>
      <c r="B38" s="49" t="n">
        <f aca="false">IFERROR(LOOKUP(2,1/(('Game Log Season 4'!$C$3:$C$1000="Ryan")*('Game Log Season 4'!$D$3:$D$1000=A38)*('Game Log Season 4'!$X$3:$X$1000&lt;&gt;"")),'Game Log Season 4'!$X$3:$X$1000), D38)</f>
        <v>3.77816666666667</v>
      </c>
      <c r="C38" s="46"/>
      <c r="D38" s="49" t="n">
        <v>3.77816666666667</v>
      </c>
    </row>
    <row r="39" customFormat="false" ht="14.25" hidden="false" customHeight="false" outlineLevel="0" collapsed="false">
      <c r="A39" s="49" t="s">
        <v>79</v>
      </c>
      <c r="B39" s="49" t="n">
        <f aca="false">IFERROR(LOOKUP(2,1/(('Game Log Season 4'!$C$3:$C$1000="Ryan")*('Game Log Season 4'!$D$3:$D$1000=A39)*('Game Log Season 4'!$X$3:$X$1000&lt;&gt;"")),'Game Log Season 4'!$X$3:$X$1000), D39)</f>
        <v>2.59388888888889</v>
      </c>
      <c r="C39" s="46"/>
      <c r="D39" s="49" t="n">
        <v>2.59388888888889</v>
      </c>
    </row>
    <row r="40" customFormat="false" ht="14.25" hidden="false" customHeight="false" outlineLevel="0" collapsed="false">
      <c r="A40" s="49" t="s">
        <v>54</v>
      </c>
      <c r="B40" s="49" t="n">
        <f aca="false">IFERROR(LOOKUP(2,1/(('Game Log Season 4'!$C$3:$C$1000="Ryan")*('Game Log Season 4'!$D$3:$D$1000=A40)*('Game Log Season 4'!$X$3:$X$1000&lt;&gt;"")),'Game Log Season 4'!$X$3:$X$1000), D40)</f>
        <v>3.23902777777778</v>
      </c>
      <c r="C40" s="46"/>
      <c r="D40" s="49" t="n">
        <v>3.23902777777778</v>
      </c>
    </row>
    <row r="41" customFormat="false" ht="14.25" hidden="false" customHeight="false" outlineLevel="0" collapsed="false">
      <c r="A41" s="49" t="s">
        <v>87</v>
      </c>
      <c r="B41" s="49" t="n">
        <f aca="false">IFERROR(LOOKUP(2,1/(('Game Log Season 4'!$C$3:$C$1000="Ryan")*('Game Log Season 4'!$D$3:$D$1000=A41)*('Game Log Season 4'!$X$3:$X$1000&lt;&gt;"")),'Game Log Season 4'!$X$3:$X$1000), D41)</f>
        <v>2.6</v>
      </c>
      <c r="C41" s="46"/>
      <c r="D41" s="49" t="n">
        <v>2.6</v>
      </c>
    </row>
    <row r="42" customFormat="false" ht="14.25" hidden="false" customHeight="false" outlineLevel="0" collapsed="false">
      <c r="A42" s="49" t="s">
        <v>89</v>
      </c>
      <c r="B42" s="49" t="n">
        <f aca="false">IFERROR(LOOKUP(2,1/(('Game Log Season 4'!$C$3:$C$1000="Ryan")*('Game Log Season 4'!$D$3:$D$1000=A42)*('Game Log Season 4'!$X$3:$X$1000&lt;&gt;"")),'Game Log Season 4'!$X$3:$X$1000), D42)</f>
        <v>3.58416666666667</v>
      </c>
      <c r="C42" s="46"/>
      <c r="D42" s="49" t="n">
        <v>3.58416666666667</v>
      </c>
    </row>
    <row r="43" customFormat="false" ht="14.25" hidden="false" customHeight="false" outlineLevel="0" collapsed="false">
      <c r="A43" s="49" t="s">
        <v>94</v>
      </c>
      <c r="B43" s="49" t="n">
        <f aca="false">IFERROR(LOOKUP(2,1/(('Game Log Season 4'!$C$3:$C$1000="Ryan")*('Game Log Season 4'!$D$3:$D$1000=A43)*('Game Log Season 4'!$X$3:$X$1000&lt;&gt;"")),'Game Log Season 4'!$X$3:$X$1000), D43)</f>
        <v>2.94083333333333</v>
      </c>
      <c r="C43" s="46"/>
      <c r="D43" s="49" t="n">
        <v>2.94083333333333</v>
      </c>
    </row>
    <row r="44" customFormat="false" ht="14.25" hidden="false" customHeight="false" outlineLevel="0" collapsed="false">
      <c r="A44" s="49" t="s">
        <v>97</v>
      </c>
      <c r="B44" s="49" t="n">
        <f aca="false">IFERROR(LOOKUP(2,1/(('Game Log Season 4'!$C$3:$C$1000="Ryan")*('Game Log Season 4'!$D$3:$D$1000=A44)*('Game Log Season 4'!$X$3:$X$1000&lt;&gt;"")),'Game Log Season 4'!$X$3:$X$1000), D44)</f>
        <v>3.92333333333333</v>
      </c>
      <c r="C44" s="46"/>
      <c r="D44" s="49" t="n">
        <v>3.92333333333333</v>
      </c>
    </row>
    <row r="45" customFormat="false" ht="14.25" hidden="false" customHeight="false" outlineLevel="0" collapsed="false">
      <c r="A45" s="47" t="s">
        <v>70</v>
      </c>
      <c r="B45" s="48" t="n">
        <f aca="false">AVERAGE(B46:B50)</f>
        <v>3.2865</v>
      </c>
      <c r="C45" s="46"/>
    </row>
    <row r="46" customFormat="false" ht="14.25" hidden="false" customHeight="false" outlineLevel="0" collapsed="false">
      <c r="A46" s="49" t="s">
        <v>71</v>
      </c>
      <c r="B46" s="49" t="n">
        <f aca="false">IFERROR(LOOKUP(2,1/(('Game Log Season 4'!$C$3:$C$1000="Kristy")*('Game Log Season 4'!$D$3:$D$1000=A46)*('Game Log Season 4'!$X$3:$X$1000&lt;&gt;"")),'Game Log Season 4'!$X$3:$X$1000), D46)</f>
        <v>3.6</v>
      </c>
      <c r="C46" s="46" t="s">
        <v>103</v>
      </c>
      <c r="D46" s="49" t="n">
        <v>3.6</v>
      </c>
    </row>
    <row r="47" customFormat="false" ht="14.25" hidden="false" customHeight="false" outlineLevel="0" collapsed="false">
      <c r="A47" s="49" t="s">
        <v>57</v>
      </c>
      <c r="B47" s="49" t="n">
        <f aca="false">IFERROR(LOOKUP(2,1/(('Game Log Season 4'!$C$3:$C$1000="Kristy")*('Game Log Season 4'!$D$3:$D$1000=A47)*('Game Log Season 4'!$X$3:$X$1000&lt;&gt;"")),'Game Log Season 4'!$X$3:$X$1000), D47)</f>
        <v>3.33761111111111</v>
      </c>
      <c r="C47" s="46" t="s">
        <v>103</v>
      </c>
      <c r="D47" s="49" t="n">
        <v>3.33761111111111</v>
      </c>
    </row>
    <row r="48" customFormat="false" ht="14.25" hidden="false" customHeight="false" outlineLevel="0" collapsed="false">
      <c r="A48" s="49" t="s">
        <v>78</v>
      </c>
      <c r="B48" s="49" t="n">
        <f aca="false">IFERROR(LOOKUP(2,1/(('Game Log Season 4'!$C$3:$C$1000="Kristy")*('Game Log Season 4'!$D$3:$D$1000=A48)*('Game Log Season 4'!$X$3:$X$1000&lt;&gt;"")),'Game Log Season 4'!$X$3:$X$1000), D48)</f>
        <v>3.2</v>
      </c>
      <c r="C48" s="46"/>
      <c r="D48" s="49" t="n">
        <v>3.2</v>
      </c>
    </row>
    <row r="49" customFormat="false" ht="28.35" hidden="false" customHeight="false" outlineLevel="0" collapsed="false">
      <c r="A49" s="49" t="s">
        <v>85</v>
      </c>
      <c r="B49" s="49" t="n">
        <f aca="false">IFERROR(LOOKUP(2,1/(('Game Log Season 4'!$C$3:$C$1000="Kristy")*('Game Log Season 4'!$D$3:$D$1000=A49)*('Game Log Season 4'!$X$3:$X$1000&lt;&gt;"")),'Game Log Season 4'!$X$3:$X$1000), D49)</f>
        <v>3.9</v>
      </c>
      <c r="C49" s="46" t="s">
        <v>104</v>
      </c>
      <c r="D49" s="49" t="n">
        <v>3.9</v>
      </c>
    </row>
    <row r="50" customFormat="false" ht="14.25" hidden="false" customHeight="false" outlineLevel="0" collapsed="false">
      <c r="A50" s="49" t="s">
        <v>93</v>
      </c>
      <c r="B50" s="49" t="n">
        <f aca="false">IFERROR(LOOKUP(2,1/(('Game Log Season 4'!$C$3:$C$1000="Kristy")*('Game Log Season 4'!$D$3:$D$1000=A50)*('Game Log Season 4'!$X$3:$X$1000&lt;&gt;"")),'Game Log Season 4'!$X$3:$X$1000), D50)</f>
        <v>2.39488888888889</v>
      </c>
      <c r="C50" s="46"/>
      <c r="D50" s="49" t="n">
        <v>2.39488888888889</v>
      </c>
    </row>
    <row r="51" customFormat="false" ht="14.25" hidden="false" customHeight="false" outlineLevel="0" collapsed="false">
      <c r="A51" s="47" t="s">
        <v>38</v>
      </c>
      <c r="B51" s="48" t="n">
        <f aca="false">AVERAGE(B52:B56)</f>
        <v>3.42807</v>
      </c>
      <c r="C51" s="46"/>
    </row>
    <row r="52" customFormat="false" ht="14.25" hidden="false" customHeight="false" outlineLevel="0" collapsed="false">
      <c r="A52" s="49" t="s">
        <v>49</v>
      </c>
      <c r="B52" s="49" t="n">
        <f aca="false">IFERROR(LOOKUP(2,1/(('Game Log Season 4'!$C$3:$C$1000="Joseph")*('Game Log Season 4'!$D$3:$D$1000=A52)*('Game Log Season 4'!$X$3:$X$1000&lt;&gt;"")),'Game Log Season 4'!$X$3:$X$1000), D52)</f>
        <v>3.6</v>
      </c>
      <c r="C52" s="46"/>
      <c r="D52" s="49" t="n">
        <v>3.6</v>
      </c>
    </row>
    <row r="53" customFormat="false" ht="14.25" hidden="false" customHeight="false" outlineLevel="0" collapsed="false">
      <c r="A53" s="49" t="s">
        <v>76</v>
      </c>
      <c r="B53" s="49" t="n">
        <f aca="false">IFERROR(LOOKUP(2,1/(('Game Log Season 4'!$C$3:$C$1000="Joseph")*('Game Log Season 4'!$D$3:$D$1000=A53)*('Game Log Season 4'!$X$3:$X$1000&lt;&gt;"")),'Game Log Season 4'!$X$3:$X$1000), D53)</f>
        <v>3.8</v>
      </c>
      <c r="C53" s="46"/>
      <c r="D53" s="49" t="n">
        <v>3.8</v>
      </c>
    </row>
    <row r="54" customFormat="false" ht="14.25" hidden="false" customHeight="false" outlineLevel="0" collapsed="false">
      <c r="A54" s="49" t="s">
        <v>77</v>
      </c>
      <c r="B54" s="49" t="n">
        <f aca="false">IFERROR(LOOKUP(2,1/(('Game Log Season 4'!$C$3:$C$1000="Joseph")*('Game Log Season 4'!$D$3:$D$1000=A54)*('Game Log Season 4'!$X$3:$X$1000&lt;&gt;"")),'Game Log Season 4'!$X$3:$X$1000), D54)</f>
        <v>2.7</v>
      </c>
      <c r="C54" s="46"/>
      <c r="D54" s="49" t="n">
        <v>2.7</v>
      </c>
    </row>
    <row r="55" customFormat="false" ht="14.25" hidden="false" customHeight="false" outlineLevel="0" collapsed="false">
      <c r="A55" s="49" t="s">
        <v>64</v>
      </c>
      <c r="B55" s="49" t="n">
        <f aca="false">IFERROR(LOOKUP(2,1/(('Game Log Season 4'!$C$3:$C$1000="Joseph")*('Game Log Season 4'!$D$3:$D$1000=A55)*('Game Log Season 4'!$X$3:$X$1000&lt;&gt;"")),'Game Log Season 4'!$X$3:$X$1000), D55)</f>
        <v>3.3</v>
      </c>
      <c r="C55" s="46"/>
      <c r="D55" s="49" t="n">
        <v>3.3</v>
      </c>
    </row>
    <row r="56" customFormat="false" ht="14.25" hidden="false" customHeight="false" outlineLevel="0" collapsed="false">
      <c r="A56" s="49" t="s">
        <v>63</v>
      </c>
      <c r="B56" s="49" t="n">
        <f aca="false">IFERROR(LOOKUP(2,1/(('Game Log Season 4'!$C$3:$C$1000="Joseph")*('Game Log Season 4'!$D$3:$D$1000=A56)*('Game Log Season 4'!$X$3:$X$1000&lt;&gt;"")),'Game Log Season 4'!$X$3:$X$1000), D56)</f>
        <v>3.74035</v>
      </c>
      <c r="C56" s="46"/>
      <c r="D56" s="49" t="n">
        <v>3.74035</v>
      </c>
    </row>
    <row r="57" customFormat="false" ht="14.25" hidden="false" customHeight="false" outlineLevel="0" collapsed="false">
      <c r="A57" s="47" t="s">
        <v>59</v>
      </c>
      <c r="B57" s="48" t="n">
        <f aca="false">AVERAGE(B58:B59)</f>
        <v>3.05</v>
      </c>
      <c r="C57" s="46"/>
    </row>
    <row r="58" customFormat="false" ht="14.25" hidden="false" customHeight="false" outlineLevel="0" collapsed="false">
      <c r="A58" s="49" t="s">
        <v>33</v>
      </c>
      <c r="B58" s="49" t="n">
        <f aca="false">IFERROR(LOOKUP(2,1/(('Game Log Season 4'!$C$3:$C$1000="Red")*('Game Log Season 4'!$D$3:$D$1000=A58)*('Game Log Season 4'!$X$3:$X$1000&lt;&gt;"")),'Game Log Season 4'!$X$3:$X$1000), D58)</f>
        <v>2.7</v>
      </c>
      <c r="C58" s="46"/>
      <c r="D58" s="49" t="n">
        <v>2.7</v>
      </c>
    </row>
    <row r="59" customFormat="false" ht="14.25" hidden="false" customHeight="false" outlineLevel="0" collapsed="false">
      <c r="A59" s="49" t="s">
        <v>69</v>
      </c>
      <c r="B59" s="49" t="n">
        <f aca="false">IFERROR(LOOKUP(2,1/(('Game Log Season 4'!$C$3:$C$1000="Red")*('Game Log Season 4'!$D$3:$D$1000=A59)*('Game Log Season 4'!$X$3:$X$1000&lt;&gt;"")),'Game Log Season 4'!$X$3:$X$1000), D59)</f>
        <v>3.4</v>
      </c>
      <c r="C59" s="46"/>
      <c r="D59" s="49" t="n">
        <v>3.4</v>
      </c>
    </row>
    <row r="60" customFormat="false" ht="14.25" hidden="false" customHeight="false" outlineLevel="0" collapsed="false">
      <c r="A60" s="49" t="s">
        <v>84</v>
      </c>
      <c r="B60" s="50" t="n">
        <f aca="false">IFERROR(LOOKUP(2,1/(('Game Log Season 4'!$C$3:$C$1000="Red")*('Game Log Season 4'!$D$3:$D$1000=A60)*('Game Log Season 4'!$X$3:$X$1000&lt;&gt;"")),'Game Log Season 4'!$X$3:$X$1000), D60)</f>
        <v>1</v>
      </c>
      <c r="C60" s="46"/>
      <c r="D60" s="50" t="n">
        <v>1</v>
      </c>
    </row>
    <row r="61" customFormat="false" ht="14.25" hidden="false" customHeight="false" outlineLevel="0" collapsed="false">
      <c r="A61" s="47" t="s">
        <v>51</v>
      </c>
      <c r="B61" s="48" t="n">
        <f aca="false">AVERAGE(B62:B63)</f>
        <v>2.25194444444445</v>
      </c>
      <c r="C61" s="46"/>
    </row>
    <row r="62" customFormat="false" ht="14.25" hidden="false" customHeight="false" outlineLevel="0" collapsed="false">
      <c r="A62" s="49" t="s">
        <v>52</v>
      </c>
      <c r="B62" s="49" t="n">
        <f aca="false">IFERROR(LOOKUP(2,1/(('Game Log Season 4'!$C$3:$C$1000="Michelle")*('Game Log Season 4'!$D$3:$D$1000=A62)*('Game Log Season 4'!$X$3:$X$1000&lt;&gt;"")),'Game Log Season 4'!$X$3:$X$1000), D62)</f>
        <v>2.30388888888889</v>
      </c>
      <c r="C62" s="46"/>
      <c r="D62" s="49" t="n">
        <v>2.30388888888889</v>
      </c>
    </row>
    <row r="63" customFormat="false" ht="14.25" hidden="false" customHeight="false" outlineLevel="0" collapsed="false">
      <c r="A63" s="49" t="s">
        <v>86</v>
      </c>
      <c r="B63" s="49" t="n">
        <f aca="false">IFERROR(LOOKUP(2,1/(('Game Log Season 4'!$C$3:$C$1000="Michelle")*('Game Log Season 4'!$D$3:$D$1000=A63)*('Game Log Season 4'!$X$3:$X$1000&lt;&gt;"")),'Game Log Season 4'!$X$3:$X$1000), D63)</f>
        <v>2.2</v>
      </c>
      <c r="C63" s="46"/>
      <c r="D63" s="49" t="n">
        <v>2.2</v>
      </c>
    </row>
    <row r="64" customFormat="false" ht="14.25" hidden="false" customHeight="false" outlineLevel="0" collapsed="false">
      <c r="A64" s="49" t="s">
        <v>96</v>
      </c>
      <c r="B64" s="49" t="n">
        <f aca="false">IFERROR(LOOKUP(2,1/(('Game Log Season 4'!$C$3:$C$1000="Michelle")*('Game Log Season 4'!$D$3:$D$1000=A64)*('Game Log Season 4'!$X$3:$X$1000&lt;&gt;"")),'Game Log Season 4'!$X$3:$X$1000), D64)</f>
        <v>2.43069444444444</v>
      </c>
      <c r="D64" s="49" t="n">
        <v>2.43069444444444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105</v>
      </c>
      <c r="B1" s="45" t="s">
        <v>106</v>
      </c>
      <c r="C1" s="45" t="s">
        <v>107</v>
      </c>
      <c r="D1" s="45" t="s">
        <v>108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4'!$C$3:$C$1000,A2)</f>
        <v>0</v>
      </c>
      <c r="C2" s="48" t="n">
        <f aca="false">COUNTIFS('Game Log Season 4'!$C$3:$C$1000,A2,'Game Log Season 4'!$F$3:$F$1000,1)</f>
        <v>0</v>
      </c>
      <c r="D2" s="48" t="n">
        <f aca="false">IFERROR(C2/B2,0)</f>
        <v>0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4'!$C$3:$C$1000,"Becca",'Game Log Season 4'!$D$3:$D$1000,A3)</f>
        <v>0</v>
      </c>
      <c r="C3" s="49" t="n">
        <f aca="false">COUNTIFS('Game Log Season 4'!$C$3:$C$1000,"Becca",'Game Log Season 4'!$D$3:$D$1000,A3,'Game Log Season 4'!$F$3:$F$1000,1)</f>
        <v>0</v>
      </c>
      <c r="D3" s="49" t="n">
        <f aca="false">IFERROR(C3/B3,0)</f>
        <v>0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4'!$C$3:$C$1000,"Becca",'Game Log Season 4'!$D$3:$D$1000,A4)</f>
        <v>0</v>
      </c>
      <c r="C4" s="49" t="n">
        <f aca="false">COUNTIFS('Game Log Season 4'!$C$3:$C$1000,"Becca",'Game Log Season 4'!$D$3:$D$1000,A4,'Game Log Season 4'!$F$3:$F$1000,1)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4'!$C$3:$C$1000,"Becca",'Game Log Season 4'!$D$3:$D$1000,A5)</f>
        <v>0</v>
      </c>
      <c r="C5" s="49" t="n">
        <f aca="false">COUNTIFS('Game Log Season 4'!$C$3:$C$1000,"Becca",'Game Log Season 4'!$D$3:$D$1000,A5,'Game Log Season 4'!$F$3:$F$1000,1)</f>
        <v>0</v>
      </c>
      <c r="D5" s="49" t="n">
        <f aca="false">IFERROR(C5/B5,0)</f>
        <v>0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4'!$C$3:$C$1000,"Becca",'Game Log Season 4'!$D$3:$D$1000,A6)</f>
        <v>0</v>
      </c>
      <c r="C6" s="49" t="n">
        <f aca="false">COUNTIFS('Game Log Season 4'!$C$3:$C$1000,"Becca",'Game Log Season 4'!$D$3:$D$1000,A6,'Game Log Season 4'!$F$3:$F$1000,1)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7" t="s">
        <v>28</v>
      </c>
      <c r="B7" s="48" t="n">
        <f aca="false">COUNTIFS('Game Log Season 4'!$C$3:$C$1000,A7)</f>
        <v>0</v>
      </c>
      <c r="C7" s="48" t="n">
        <f aca="false">COUNTIFS('Game Log Season 4'!$C$3:$C$1000,A7,'Game Log Season 4'!$F$3:$F$1000,1)</f>
        <v>0</v>
      </c>
      <c r="D7" s="48" t="n">
        <f aca="false">IFERROR(C7/B7,0)</f>
        <v>0</v>
      </c>
    </row>
    <row r="8" customFormat="false" ht="14.25" hidden="false" customHeight="false" outlineLevel="0" collapsed="false">
      <c r="A8" s="49" t="s">
        <v>68</v>
      </c>
      <c r="B8" s="49" t="n">
        <f aca="false">COUNTIFS('Game Log Season 4'!$C$3:$C$1000,"Manny",'Game Log Season 4'!$D$3:$D$1000,A8)</f>
        <v>0</v>
      </c>
      <c r="C8" s="49" t="n">
        <f aca="false">COUNTIFS('Game Log Season 4'!$C$3:$C$1000,"Manny",'Game Log Season 4'!$D$3:$D$1000,A8,'Game Log Season 4'!$F$3:$F$1000,1)</f>
        <v>0</v>
      </c>
      <c r="D8" s="49" t="n">
        <f aca="false">IFERROR(C8/B8,0)</f>
        <v>0</v>
      </c>
    </row>
    <row r="9" customFormat="false" ht="14.25" hidden="false" customHeight="false" outlineLevel="0" collapsed="false">
      <c r="A9" s="49" t="s">
        <v>42</v>
      </c>
      <c r="B9" s="49" t="n">
        <f aca="false">COUNTIFS('Game Log Season 4'!$C$3:$C$1000,"Manny",'Game Log Season 4'!$D$3:$D$1000,A9)</f>
        <v>0</v>
      </c>
      <c r="C9" s="49" t="n">
        <f aca="false">COUNTIFS('Game Log Season 4'!$C$3:$C$1000,"Manny",'Game Log Season 4'!$D$3:$D$1000,A9,'Game Log Season 4'!$F$3:$F$1000,1)</f>
        <v>0</v>
      </c>
      <c r="D9" s="49" t="n">
        <f aca="false">IFERROR(C9/B9,0)</f>
        <v>0</v>
      </c>
    </row>
    <row r="10" customFormat="false" ht="14.25" hidden="false" customHeight="false" outlineLevel="0" collapsed="false">
      <c r="A10" s="49" t="s">
        <v>67</v>
      </c>
      <c r="B10" s="49" t="n">
        <f aca="false">COUNTIFS('Game Log Season 4'!$C$3:$C$1000,"Manny",'Game Log Season 4'!$D$3:$D$1000,A10)</f>
        <v>0</v>
      </c>
      <c r="C10" s="49" t="n">
        <f aca="false">COUNTIFS('Game Log Season 4'!$C$3:$C$1000,"Manny",'Game Log Season 4'!$D$3:$D$1000,A10,'Game Log Season 4'!$F$3:$F$1000,1)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82</v>
      </c>
      <c r="B11" s="49" t="n">
        <f aca="false">COUNTIFS('Game Log Season 4'!$C$3:$C$1000,"Manny",'Game Log Season 4'!$D$3:$D$1000,A11)</f>
        <v>0</v>
      </c>
      <c r="C11" s="49" t="n">
        <f aca="false">COUNTIFS('Game Log Season 4'!$C$3:$C$1000,"Manny",'Game Log Season 4'!$D$3:$D$1000,A11,'Game Log Season 4'!$F$3:$F$1000,1)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44</v>
      </c>
      <c r="B12" s="49" t="n">
        <f aca="false">COUNTIFS('Game Log Season 4'!$C$3:$C$1000,"Manny",'Game Log Season 4'!$D$3:$D$1000,A12)</f>
        <v>0</v>
      </c>
      <c r="C12" s="49" t="n">
        <f aca="false">COUNTIFS('Game Log Season 4'!$C$3:$C$1000,"Manny",'Game Log Season 4'!$D$3:$D$1000,A12,'Game Log Season 4'!$F$3:$F$1000,1)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88</v>
      </c>
      <c r="B13" s="49" t="n">
        <f aca="false">COUNTIFS('Game Log Season 4'!$C$3:$C$1000,"Manny",'Game Log Season 4'!$D$3:$D$1000,A13)</f>
        <v>0</v>
      </c>
      <c r="C13" s="49" t="n">
        <f aca="false">COUNTIFS('Game Log Season 4'!$C$3:$C$1000,"Manny",'Game Log Season 4'!$D$3:$D$1000,A13,'Game Log Season 4'!$F$3:$F$1000,1)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48</v>
      </c>
      <c r="B14" s="49" t="n">
        <f aca="false">COUNTIFS('Game Log Season 4'!$C$3:$C$1000,"Manny",'Game Log Season 4'!$D$3:$D$1000,A14)</f>
        <v>0</v>
      </c>
      <c r="C14" s="49" t="n">
        <f aca="false">COUNTIFS('Game Log Season 4'!$C$3:$C$1000,"Manny",'Game Log Season 4'!$D$3:$D$1000,A14,'Game Log Season 4'!$F$3:$F$1000,1)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37</v>
      </c>
      <c r="B15" s="49" t="n">
        <f aca="false">COUNTIFS('Game Log Season 4'!$C$3:$C$1000,"Manny",'Game Log Season 4'!$D$3:$D$1000,A15)</f>
        <v>0</v>
      </c>
      <c r="C15" s="49" t="n">
        <f aca="false">COUNTIFS('Game Log Season 4'!$C$3:$C$1000,"Manny",'Game Log Season 4'!$D$3:$D$1000,A15,'Game Log Season 4'!$F$3:$F$1000,1)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91</v>
      </c>
      <c r="B16" s="49" t="n">
        <f aca="false">COUNTIFS('Game Log Season 4'!$C$3:$C$1000,"Manny",'Game Log Season 4'!$D$3:$D$1000,A16)</f>
        <v>0</v>
      </c>
      <c r="C16" s="49" t="n">
        <f aca="false">COUNTIFS('Game Log Season 4'!$C$3:$C$1000,"Manny",'Game Log Season 4'!$D$3:$D$1000,A16,'Game Log Season 4'!$F$3:$F$1000,1)</f>
        <v>0</v>
      </c>
      <c r="D16" s="49" t="n">
        <f aca="false">IFERROR(C16/B16,0)</f>
        <v>0</v>
      </c>
    </row>
    <row r="17" customFormat="false" ht="14.25" hidden="false" customHeight="false" outlineLevel="0" collapsed="false">
      <c r="A17" s="49" t="s">
        <v>47</v>
      </c>
      <c r="B17" s="49" t="n">
        <f aca="false">COUNTIFS('Game Log Season 4'!$C$3:$C$1000,"Manny",'Game Log Season 4'!$D$3:$D$1000,A17)</f>
        <v>0</v>
      </c>
      <c r="C17" s="49" t="n">
        <f aca="false">COUNTIFS('Game Log Season 4'!$C$3:$C$1000,"Manny",'Game Log Season 4'!$D$3:$D$1000,A17,'Game Log Season 4'!$F$3:$F$1000,1)</f>
        <v>0</v>
      </c>
      <c r="D17" s="49" t="n">
        <f aca="false">IFERROR(C17/B17,0)</f>
        <v>0</v>
      </c>
    </row>
    <row r="18" customFormat="false" ht="14.25" hidden="false" customHeight="false" outlineLevel="0" collapsed="false">
      <c r="A18" s="47" t="s">
        <v>30</v>
      </c>
      <c r="B18" s="48" t="n">
        <f aca="false">COUNTIFS('Game Log Season 4'!$C$3:$C$1000,A18)</f>
        <v>0</v>
      </c>
      <c r="C18" s="48" t="n">
        <f aca="false">COUNTIFS('Game Log Season 4'!$C$3:$C$1000,A18,'Game Log Season 4'!$F$3:$F$1000,1)</f>
        <v>0</v>
      </c>
      <c r="D18" s="48" t="n">
        <f aca="false">IFERROR(C18/B18,0)</f>
        <v>0</v>
      </c>
    </row>
    <row r="19" customFormat="false" ht="14.25" hidden="false" customHeight="false" outlineLevel="0" collapsed="false">
      <c r="A19" s="49" t="s">
        <v>73</v>
      </c>
      <c r="B19" s="49" t="n">
        <f aca="false">COUNTIFS('Game Log Season 4'!$C$3:$C$1000,"Mateo",'Game Log Season 4'!$D$3:$D$1000,A19)</f>
        <v>0</v>
      </c>
      <c r="C19" s="49" t="n">
        <f aca="false">COUNTIFS('Game Log Season 4'!$C$3:$C$1000,"Mateo",'Game Log Season 4'!$D$3:$D$1000,A19,'Game Log Season 4'!$F$3:$F$1000,1)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66</v>
      </c>
      <c r="B20" s="49" t="n">
        <f aca="false">COUNTIFS('Game Log Season 4'!$C$3:$C$1000,"Mateo",'Game Log Season 4'!$D$3:$D$1000,A20)</f>
        <v>0</v>
      </c>
      <c r="C20" s="49" t="n">
        <f aca="false">COUNTIFS('Game Log Season 4'!$C$3:$C$1000,"Mateo",'Game Log Season 4'!$D$3:$D$1000,A20,'Game Log Season 4'!$F$3:$F$1000,1)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31</v>
      </c>
      <c r="B21" s="49" t="n">
        <f aca="false">COUNTIFS('Game Log Season 4'!$C$3:$C$1000,"Mateo",'Game Log Season 4'!$D$3:$D$1000,A21)</f>
        <v>0</v>
      </c>
      <c r="C21" s="49" t="n">
        <f aca="false">COUNTIFS('Game Log Season 4'!$C$3:$C$1000,"Mateo",'Game Log Season 4'!$D$3:$D$1000,A21,'Game Log Season 4'!$F$3:$F$1000,1)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34</v>
      </c>
      <c r="B22" s="49" t="n">
        <f aca="false">COUNTIFS('Game Log Season 4'!$C$3:$C$1000,"Mateo",'Game Log Season 4'!$D$3:$D$1000,A22)</f>
        <v>0</v>
      </c>
      <c r="C22" s="49" t="n">
        <f aca="false">COUNTIFS('Game Log Season 4'!$C$3:$C$1000,"Mateo",'Game Log Season 4'!$D$3:$D$1000,A22,'Game Log Season 4'!$F$3:$F$1000,1)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74</v>
      </c>
      <c r="B23" s="49" t="n">
        <f aca="false">COUNTIFS('Game Log Season 4'!$C$3:$C$1000,"Mateo",'Game Log Season 4'!$D$3:$D$1000,A23)</f>
        <v>0</v>
      </c>
      <c r="C23" s="49" t="n">
        <f aca="false">COUNTIFS('Game Log Season 4'!$C$3:$C$1000,"Mateo",'Game Log Season 4'!$D$3:$D$1000,A23,'Game Log Season 4'!$F$3:$F$1000,1)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57</v>
      </c>
      <c r="B24" s="49" t="n">
        <f aca="false">COUNTIFS('Game Log Season 4'!$C$3:$C$1000,"Mateo",'Game Log Season 4'!$D$3:$D$1000,A24)</f>
        <v>0</v>
      </c>
      <c r="C24" s="49" t="n">
        <f aca="false">COUNTIFS('Game Log Season 4'!$C$3:$C$1000,"Mateo",'Game Log Season 4'!$D$3:$D$1000,A24,'Game Log Season 4'!$F$3:$F$1000,1)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80</v>
      </c>
      <c r="B25" s="49" t="n">
        <f aca="false">COUNTIFS('Game Log Season 4'!$C$3:$C$1000,"Mateo",'Game Log Season 4'!$D$3:$D$1000,A25)</f>
        <v>0</v>
      </c>
      <c r="C25" s="49" t="n">
        <f aca="false">COUNTIFS('Game Log Season 4'!$C$3:$C$1000,"Mateo",'Game Log Season 4'!$D$3:$D$1000,A25,'Game Log Season 4'!$F$3:$F$1000,1)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81</v>
      </c>
      <c r="B26" s="49" t="n">
        <f aca="false">COUNTIFS('Game Log Season 4'!$C$3:$C$1000,"Mateo",'Game Log Season 4'!$D$3:$D$1000,A26)</f>
        <v>0</v>
      </c>
      <c r="C26" s="49" t="n">
        <f aca="false">COUNTIFS('Game Log Season 4'!$C$3:$C$1000,"Mateo",'Game Log Season 4'!$D$3:$D$1000,A26,'Game Log Season 4'!$F$3:$F$1000,1)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83</v>
      </c>
      <c r="B27" s="49" t="n">
        <f aca="false">COUNTIFS('Game Log Season 4'!$C$3:$C$1000,"Mateo",'Game Log Season 4'!$D$3:$D$1000,A27)</f>
        <v>0</v>
      </c>
      <c r="C27" s="49" t="n">
        <f aca="false">COUNTIFS('Game Log Season 4'!$C$3:$C$1000,"Mateo",'Game Log Season 4'!$D$3:$D$1000,A27,'Game Log Season 4'!$F$3:$F$1000,1)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48</v>
      </c>
      <c r="B28" s="49" t="n">
        <f aca="false">COUNTIFS('Game Log Season 4'!$C$3:$C$1000,"Mateo",'Game Log Season 4'!$D$3:$D$1000,A28)</f>
        <v>0</v>
      </c>
      <c r="C28" s="49" t="n">
        <f aca="false">COUNTIFS('Game Log Season 4'!$C$3:$C$1000,"Mateo",'Game Log Season 4'!$D$3:$D$1000,A28,'Game Log Season 4'!$F$3:$F$1000,1)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90</v>
      </c>
      <c r="B29" s="49" t="n">
        <f aca="false">COUNTIFS('Game Log Season 4'!$C$3:$C$1000,"Mateo",'Game Log Season 4'!$D$3:$D$1000,A29)</f>
        <v>0</v>
      </c>
      <c r="C29" s="49" t="n">
        <f aca="false">COUNTIFS('Game Log Season 4'!$C$3:$C$1000,"Mateo",'Game Log Season 4'!$D$3:$D$1000,A29,'Game Log Season 4'!$F$3:$F$1000,1)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46</v>
      </c>
      <c r="B30" s="49" t="n">
        <f aca="false">COUNTIFS('Game Log Season 4'!$C$3:$C$1000,"Mateo",'Game Log Season 4'!$D$3:$D$1000,A30)</f>
        <v>0</v>
      </c>
      <c r="C30" s="49" t="n">
        <f aca="false">COUNTIFS('Game Log Season 4'!$C$3:$C$1000,"Mateo",'Game Log Season 4'!$D$3:$D$1000,A30,'Game Log Season 4'!$F$3:$F$1000,1)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92</v>
      </c>
      <c r="B31" s="49" t="n">
        <f aca="false">COUNTIFS('Game Log Season 4'!$C$3:$C$1000,"Mateo",'Game Log Season 4'!$D$3:$D$1000,A31)</f>
        <v>0</v>
      </c>
      <c r="C31" s="49" t="n">
        <f aca="false">COUNTIFS('Game Log Season 4'!$C$3:$C$1000,"Mateo",'Game Log Season 4'!$D$3:$D$1000,A31,'Game Log Season 4'!$F$3:$F$1000,1)</f>
        <v>0</v>
      </c>
      <c r="D31" s="49" t="n">
        <f aca="false">IFERROR(C31/B31,0)</f>
        <v>0</v>
      </c>
    </row>
    <row r="32" customFormat="false" ht="14.25" hidden="false" customHeight="false" outlineLevel="0" collapsed="false">
      <c r="A32" s="49" t="s">
        <v>40</v>
      </c>
      <c r="B32" s="49" t="n">
        <f aca="false">COUNTIFS('Game Log Season 4'!$C$3:$C$1000,"Mateo",'Game Log Season 4'!$D$3:$D$1000,A32)</f>
        <v>0</v>
      </c>
      <c r="C32" s="49" t="n">
        <f aca="false">COUNTIFS('Game Log Season 4'!$C$3:$C$1000,"Mateo",'Game Log Season 4'!$D$3:$D$1000,A32,'Game Log Season 4'!$F$3:$F$1000,1)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7" t="s">
        <v>32</v>
      </c>
      <c r="B33" s="48" t="n">
        <f aca="false">COUNTIFS('Game Log Season 4'!$C$3:$C$1000,A33)</f>
        <v>0</v>
      </c>
      <c r="C33" s="48" t="n">
        <f aca="false">COUNTIFS('Game Log Season 4'!$C$3:$C$1000,A33,'Game Log Season 4'!$F$3:$F$1000,1)</f>
        <v>0</v>
      </c>
      <c r="D33" s="48" t="n">
        <f aca="false">IFERROR(C33/B33,0)</f>
        <v>0</v>
      </c>
    </row>
    <row r="34" customFormat="false" ht="14.25" hidden="false" customHeight="false" outlineLevel="0" collapsed="false">
      <c r="A34" s="49" t="s">
        <v>36</v>
      </c>
      <c r="B34" s="49" t="n">
        <f aca="false">COUNTIFS('Game Log Season 4'!$C$3:$C$1000,"Ryan",'Game Log Season 4'!$D$3:$D$1000,A34)</f>
        <v>0</v>
      </c>
      <c r="C34" s="49" t="n">
        <f aca="false">COUNTIFS('Game Log Season 4'!$C$3:$C$1000,"Ryan",'Game Log Season 4'!$D$3:$D$1000,A34,'Game Log Season 4'!$F$3:$F$1000,1)</f>
        <v>0</v>
      </c>
      <c r="D34" s="49" t="n">
        <f aca="false">IFERROR(C34/B34,0)</f>
        <v>0</v>
      </c>
    </row>
    <row r="35" customFormat="false" ht="14.25" hidden="false" customHeight="false" outlineLevel="0" collapsed="false">
      <c r="A35" s="49" t="s">
        <v>62</v>
      </c>
      <c r="B35" s="49" t="n">
        <f aca="false">COUNTIFS('Game Log Season 4'!$C$3:$C$1000,"Ryan",'Game Log Season 4'!$D$3:$D$1000,A35)</f>
        <v>0</v>
      </c>
      <c r="C35" s="49" t="n">
        <f aca="false">COUNTIFS('Game Log Season 4'!$C$3:$C$1000,"Ryan",'Game Log Season 4'!$D$3:$D$1000,A35,'Game Log Season 4'!$F$3:$F$1000,1)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33</v>
      </c>
      <c r="B36" s="49" t="n">
        <f aca="false">COUNTIFS('Game Log Season 4'!$C$3:$C$1000,"Ryan",'Game Log Season 4'!$D$3:$D$1000,A36)</f>
        <v>0</v>
      </c>
      <c r="C36" s="49" t="n">
        <f aca="false">COUNTIFS('Game Log Season 4'!$C$3:$C$1000,"Ryan",'Game Log Season 4'!$D$3:$D$1000,A36,'Game Log Season 4'!$F$3:$F$1000,1)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61</v>
      </c>
      <c r="B37" s="49" t="n">
        <f aca="false">COUNTIFS('Game Log Season 4'!$C$3:$C$1000,"Ryan",'Game Log Season 4'!$D$3:$D$1000,A37)</f>
        <v>0</v>
      </c>
      <c r="C37" s="49" t="n">
        <f aca="false">COUNTIFS('Game Log Season 4'!$C$3:$C$1000,"Ryan",'Game Log Season 4'!$D$3:$D$1000,A37,'Game Log Season 4'!$F$3:$F$1000,1)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41</v>
      </c>
      <c r="B38" s="49" t="n">
        <f aca="false">COUNTIFS('Game Log Season 4'!$C$3:$C$1000,"Ryan",'Game Log Season 4'!$D$3:$D$1000,A38)</f>
        <v>0</v>
      </c>
      <c r="C38" s="49" t="n">
        <f aca="false">COUNTIFS('Game Log Season 4'!$C$3:$C$1000,"Ryan",'Game Log Season 4'!$D$3:$D$1000,A38,'Game Log Season 4'!$F$3:$F$1000,1)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79</v>
      </c>
      <c r="B39" s="49" t="n">
        <f aca="false">COUNTIFS('Game Log Season 4'!$C$3:$C$1000,"Ryan",'Game Log Season 4'!$D$3:$D$1000,A39)</f>
        <v>0</v>
      </c>
      <c r="C39" s="49" t="n">
        <f aca="false">COUNTIFS('Game Log Season 4'!$C$3:$C$1000,"Ryan",'Game Log Season 4'!$D$3:$D$1000,A39,'Game Log Season 4'!$F$3:$F$1000,1)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9" t="s">
        <v>54</v>
      </c>
      <c r="B40" s="49" t="n">
        <f aca="false">COUNTIFS('Game Log Season 4'!$C$3:$C$1000,"Ryan",'Game Log Season 4'!$D$3:$D$1000,A40)</f>
        <v>0</v>
      </c>
      <c r="C40" s="49" t="n">
        <f aca="false">COUNTIFS('Game Log Season 4'!$C$3:$C$1000,"Ryan",'Game Log Season 4'!$D$3:$D$1000,A40,'Game Log Season 4'!$F$3:$F$1000,1)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87</v>
      </c>
      <c r="B41" s="49" t="n">
        <f aca="false">COUNTIFS('Game Log Season 4'!$C$3:$C$1000,"Ryan",'Game Log Season 4'!$D$3:$D$1000,A41)</f>
        <v>0</v>
      </c>
      <c r="C41" s="49" t="n">
        <f aca="false">COUNTIFS('Game Log Season 4'!$C$3:$C$1000,"Ryan",'Game Log Season 4'!$D$3:$D$1000,A41,'Game Log Season 4'!$F$3:$F$1000,1)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89</v>
      </c>
      <c r="B42" s="49" t="n">
        <f aca="false">COUNTIFS('Game Log Season 4'!$C$3:$C$1000,"Ryan",'Game Log Season 4'!$D$3:$D$1000,A42)</f>
        <v>0</v>
      </c>
      <c r="C42" s="49" t="n">
        <f aca="false">COUNTIFS('Game Log Season 4'!$C$3:$C$1000,"Ryan",'Game Log Season 4'!$D$3:$D$1000,A42,'Game Log Season 4'!$F$3:$F$1000,1)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94</v>
      </c>
      <c r="B43" s="49" t="n">
        <f aca="false">COUNTIFS('Game Log Season 4'!$C$3:$C$1000,"Ryan",'Game Log Season 4'!$D$3:$D$1000,A43)</f>
        <v>0</v>
      </c>
      <c r="C43" s="49" t="n">
        <f aca="false">COUNTIFS('Game Log Season 4'!$C$3:$C$1000,"Ryan",'Game Log Season 4'!$D$3:$D$1000,A43,'Game Log Season 4'!$F$3:$F$1000,1)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97</v>
      </c>
      <c r="B44" s="49" t="n">
        <f aca="false">COUNTIFS('Game Log Season 4'!$C$3:$C$1000,"Ryan",'Game Log Season 4'!$D$3:$D$1000,A44)</f>
        <v>0</v>
      </c>
      <c r="C44" s="49" t="n">
        <f aca="false">COUNTIFS('Game Log Season 4'!$C$3:$C$1000,"Ryan",'Game Log Season 4'!$D$3:$D$1000,A44,'Game Log Season 4'!$F$3:$F$1000,1)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7" t="s">
        <v>70</v>
      </c>
      <c r="B45" s="48" t="n">
        <f aca="false">COUNTIFS('Game Log Season 4'!$C$3:$C$1000,A45)</f>
        <v>0</v>
      </c>
      <c r="C45" s="48" t="n">
        <f aca="false">COUNTIFS('Game Log Season 4'!$C$3:$C$1000,A45,'Game Log Season 4'!$F$3:$F$1000,1)</f>
        <v>0</v>
      </c>
      <c r="D45" s="48" t="n">
        <f aca="false">IFERROR(C45/B45,0)</f>
        <v>0</v>
      </c>
    </row>
    <row r="46" customFormat="false" ht="14.25" hidden="false" customHeight="false" outlineLevel="0" collapsed="false">
      <c r="A46" s="49" t="s">
        <v>71</v>
      </c>
      <c r="B46" s="49" t="n">
        <f aca="false">COUNTIFS('Game Log Season 4'!$C$3:$C$1000,"Kristy",'Game Log Season 4'!$D$3:$D$1000,A46)</f>
        <v>0</v>
      </c>
      <c r="C46" s="49" t="n">
        <f aca="false">COUNTIFS('Game Log Season 4'!$C$3:$C$1000,"Kristy",'Game Log Season 4'!$D$3:$D$1000,A46,'Game Log Season 4'!$F$3:$F$1000,1)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57</v>
      </c>
      <c r="B47" s="49" t="n">
        <f aca="false">COUNTIFS('Game Log Season 4'!$C$3:$C$1000,"Kristy",'Game Log Season 4'!$D$3:$D$1000,A47)</f>
        <v>0</v>
      </c>
      <c r="C47" s="49" t="n">
        <f aca="false">COUNTIFS('Game Log Season 4'!$C$3:$C$1000,"Kristy",'Game Log Season 4'!$D$3:$D$1000,A47,'Game Log Season 4'!$F$3:$F$1000,1)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78</v>
      </c>
      <c r="B48" s="49" t="n">
        <f aca="false">COUNTIFS('Game Log Season 4'!$C$3:$C$1000,"Kristy",'Game Log Season 4'!$D$3:$D$1000,A48)</f>
        <v>0</v>
      </c>
      <c r="C48" s="49" t="n">
        <f aca="false">COUNTIFS('Game Log Season 4'!$C$3:$C$1000,"Kristy",'Game Log Season 4'!$D$3:$D$1000,A48,'Game Log Season 4'!$F$3:$F$1000,1)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85</v>
      </c>
      <c r="B49" s="49" t="n">
        <f aca="false">COUNTIFS('Game Log Season 4'!$C$3:$C$1000,"Kristy",'Game Log Season 4'!$D$3:$D$1000,A49)</f>
        <v>0</v>
      </c>
      <c r="C49" s="49" t="n">
        <f aca="false">COUNTIFS('Game Log Season 4'!$C$3:$C$1000,"Kristy",'Game Log Season 4'!$D$3:$D$1000,A49,'Game Log Season 4'!$F$3:$F$1000,1)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93</v>
      </c>
      <c r="B50" s="49" t="n">
        <f aca="false">COUNTIFS('Game Log Season 4'!$C$3:$C$1000,"Kristy",'Game Log Season 4'!$D$3:$D$1000,A50)</f>
        <v>0</v>
      </c>
      <c r="C50" s="49" t="n">
        <f aca="false">COUNTIFS('Game Log Season 4'!$C$3:$C$1000,"Kristy",'Game Log Season 4'!$D$3:$D$1000,A50,'Game Log Season 4'!$F$3:$F$1000,1)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7" t="s">
        <v>38</v>
      </c>
      <c r="B51" s="48" t="n">
        <f aca="false">COUNTIFS('Game Log Season 4'!$C$3:$C$1000,A51)</f>
        <v>0</v>
      </c>
      <c r="C51" s="48" t="n">
        <f aca="false">COUNTIFS('Game Log Season 4'!$C$3:$C$1000,A51,'Game Log Season 4'!$F$3:$F$1000,1)</f>
        <v>0</v>
      </c>
      <c r="D51" s="48" t="n">
        <f aca="false">IFERROR(C51/B51,0)</f>
        <v>0</v>
      </c>
    </row>
    <row r="52" customFormat="false" ht="14.25" hidden="false" customHeight="false" outlineLevel="0" collapsed="false">
      <c r="A52" s="49" t="s">
        <v>49</v>
      </c>
      <c r="B52" s="49" t="n">
        <f aca="false">COUNTIFS('Game Log Season 4'!$C$3:$C$1000,"Joseph",'Game Log Season 4'!$D$3:$D$1000,A52)</f>
        <v>0</v>
      </c>
      <c r="C52" s="49" t="n">
        <f aca="false">COUNTIFS('Game Log Season 4'!$C$3:$C$1000,"Joseph",'Game Log Season 4'!$D$3:$D$1000,A52,'Game Log Season 4'!$F$3:$F$1000,1)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76</v>
      </c>
      <c r="B53" s="49" t="n">
        <f aca="false">COUNTIFS('Game Log Season 4'!$C$3:$C$1000,"Joseph",'Game Log Season 4'!$D$3:$D$1000,A53)</f>
        <v>0</v>
      </c>
      <c r="C53" s="49" t="n">
        <f aca="false">COUNTIFS('Game Log Season 4'!$C$3:$C$1000,"Joseph",'Game Log Season 4'!$D$3:$D$1000,A53,'Game Log Season 4'!$F$3:$F$1000,1)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77</v>
      </c>
      <c r="B54" s="49" t="n">
        <f aca="false">COUNTIFS('Game Log Season 4'!$C$3:$C$1000,"Joseph",'Game Log Season 4'!$D$3:$D$1000,A54)</f>
        <v>0</v>
      </c>
      <c r="C54" s="49" t="n">
        <f aca="false">COUNTIFS('Game Log Season 4'!$C$3:$C$1000,"Joseph",'Game Log Season 4'!$D$3:$D$1000,A54,'Game Log Season 4'!$F$3:$F$1000,1)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64</v>
      </c>
      <c r="B55" s="49" t="n">
        <f aca="false">COUNTIFS('Game Log Season 4'!$C$3:$C$1000,"Joseph",'Game Log Season 4'!$D$3:$D$1000,A55)</f>
        <v>0</v>
      </c>
      <c r="C55" s="49" t="n">
        <f aca="false">COUNTIFS('Game Log Season 4'!$C$3:$C$1000,"Joseph",'Game Log Season 4'!$D$3:$D$1000,A55,'Game Log Season 4'!$F$3:$F$1000,1)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63</v>
      </c>
      <c r="B56" s="49" t="n">
        <f aca="false">COUNTIFS('Game Log Season 4'!$C$3:$C$1000,"Joseph",'Game Log Season 4'!$D$3:$D$1000,A56)</f>
        <v>0</v>
      </c>
      <c r="C56" s="49" t="n">
        <f aca="false">COUNTIFS('Game Log Season 4'!$C$3:$C$1000,"Joseph",'Game Log Season 4'!$D$3:$D$1000,A56,'Game Log Season 4'!$F$3:$F$1000,1)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7" t="s">
        <v>59</v>
      </c>
      <c r="B57" s="48" t="n">
        <f aca="false">COUNTIFS('Game Log Season 4'!$C$3:$C$1000,A57)</f>
        <v>0</v>
      </c>
      <c r="C57" s="48" t="n">
        <f aca="false">COUNTIFS('Game Log Season 4'!$C$3:$C$1000,A57,'Game Log Season 4'!$F$3:$F$1000,1)</f>
        <v>0</v>
      </c>
      <c r="D57" s="48" t="n">
        <f aca="false">IFERROR(C57/B57,0)</f>
        <v>0</v>
      </c>
    </row>
    <row r="58" customFormat="false" ht="14.25" hidden="false" customHeight="false" outlineLevel="0" collapsed="false">
      <c r="A58" s="49" t="s">
        <v>33</v>
      </c>
      <c r="B58" s="49" t="n">
        <f aca="false">COUNTIFS('Game Log Season 4'!$C$3:$C$1000,"Red",'Game Log Season 4'!$D$3:$D$1000,A58)</f>
        <v>0</v>
      </c>
      <c r="C58" s="49" t="n">
        <f aca="false">COUNTIFS('Game Log Season 4'!$C$3:$C$1000,"Red",'Game Log Season 4'!$D$3:$D$1000,A58,'Game Log Season 4'!$F$3:$F$1000,1)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69</v>
      </c>
      <c r="B59" s="49" t="n">
        <f aca="false">COUNTIFS('Game Log Season 4'!$C$3:$C$1000,"Red",'Game Log Season 4'!$D$3:$D$1000,A59)</f>
        <v>0</v>
      </c>
      <c r="C59" s="49" t="n">
        <f aca="false">COUNTIFS('Game Log Season 4'!$C$3:$C$1000,"Red",'Game Log Season 4'!$D$3:$D$1000,A59,'Game Log Season 4'!$F$3:$F$1000,1)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84</v>
      </c>
      <c r="B60" s="49" t="n">
        <f aca="false">COUNTIFS('Game Log Season 4'!$C$3:$C$1000,"Red",'Game Log Season 4'!$D$3:$D$1000,A60)</f>
        <v>0</v>
      </c>
      <c r="C60" s="49" t="n">
        <f aca="false">COUNTIFS('Game Log Season 4'!$C$3:$C$1000,"Red",'Game Log Season 4'!$D$3:$D$1000,A60,'Game Log Season 4'!$F$3:$F$1000,1)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51</v>
      </c>
      <c r="B61" s="48" t="n">
        <f aca="false">COUNTIFS('Game Log Season 4'!$C$3:$C$1000,A61)</f>
        <v>0</v>
      </c>
      <c r="C61" s="48" t="n">
        <f aca="false">COUNTIFS('Game Log Season 4'!$C$3:$C$1000,A61,'Game Log Season 4'!$F$3:$F$1000,1)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52</v>
      </c>
      <c r="B62" s="49" t="n">
        <f aca="false">COUNTIFS('Game Log Season 4'!$C$3:$C$1000,"Michelle",'Game Log Season 4'!$D$3:$D$1000,A62)</f>
        <v>0</v>
      </c>
      <c r="C62" s="49" t="n">
        <f aca="false">COUNTIFS('Game Log Season 4'!$C$3:$C$1000,"Michelle",'Game Log Season 4'!$D$3:$D$1000,A62,'Game Log Season 4'!$F$3:$F$1000,1)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86</v>
      </c>
      <c r="B63" s="49" t="n">
        <f aca="false">COUNTIFS('Game Log Season 4'!$C$3:$C$1000,"Michelle",'Game Log Season 4'!$D$3:$D$1000,A63)</f>
        <v>0</v>
      </c>
      <c r="C63" s="49" t="n">
        <f aca="false">COUNTIFS('Game Log Season 4'!$C$3:$C$1000,"Michelle",'Game Log Season 4'!$D$3:$D$1000,A63,'Game Log Season 4'!$F$3:$F$1000,1)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96</v>
      </c>
      <c r="B64" s="49" t="n">
        <f aca="false">COUNTIFS('Game Log Season 4'!$C$3:$C$1000,"Michelle",'Game Log Season 4'!$D$3:$D$1000,A64)</f>
        <v>0</v>
      </c>
      <c r="C64" s="49" t="n">
        <f aca="false">COUNTIFS('Game Log Season 4'!$C$3:$C$1000,"Michelle",'Game Log Season 4'!$D$3:$D$1000,A64,'Game Log Season 4'!$F$3:$F$1000,1)</f>
        <v>0</v>
      </c>
      <c r="D64" s="49" t="n">
        <f aca="false">IFERROR(C64/B64,0)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109</v>
      </c>
      <c r="B1" s="51" t="s">
        <v>110</v>
      </c>
      <c r="C1" s="51" t="s">
        <v>111</v>
      </c>
      <c r="D1" s="51" t="s">
        <v>112</v>
      </c>
      <c r="E1" s="51" t="s">
        <v>108</v>
      </c>
      <c r="F1" s="51" t="s">
        <v>113</v>
      </c>
      <c r="G1" s="51" t="s">
        <v>114</v>
      </c>
      <c r="H1" s="51" t="s">
        <v>115</v>
      </c>
      <c r="I1" s="51" t="s">
        <v>116</v>
      </c>
      <c r="J1" s="51" t="s">
        <v>117</v>
      </c>
      <c r="K1" s="51" t="s">
        <v>118</v>
      </c>
      <c r="L1" s="51" t="s">
        <v>119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</v>
      </c>
      <c r="C2" s="15" t="n">
        <f aca="false">COUNTIFS('Game Log Season 4'!$C$3:$C$126, "Mateo", 'Game Log Season 4'!$F$3:$F$126, 1)</f>
        <v>0</v>
      </c>
      <c r="D2" s="15" t="n">
        <f aca="false">COUNTIFS('Game Log Season 4'!$C$3:$C$126, "Mateo", 'Game Log Season 4'!$F$3:$F$126, 0)</f>
        <v>0</v>
      </c>
      <c r="E2" s="18" t="n">
        <f aca="false">IFERROR(C2/(C2+D2),0)</f>
        <v>0</v>
      </c>
      <c r="F2" s="15" t="n">
        <f aca="false">SUMIFS('Game Log Season 4'!$J$3:$J$126, 'Game Log Season 4'!$C$3:$C$126, "Mateo", 'Game Log Season 4'!$F$3:$F$126, 1)</f>
        <v>0</v>
      </c>
      <c r="G2" s="15" t="n">
        <f aca="false">IFERROR((1-(AVERAGEIFS('Game Log Season 4'!$J$3:$J$126, 'Game Log Season 4'!$C$3:$C$126, "Mateo", 'Game Log Season 4'!$F$3:$F$126, 0)*-1))*D2,0)</f>
        <v>0</v>
      </c>
      <c r="H2" s="18" t="n">
        <f aca="false">IFERROR(F2/(F2+G2),0)</f>
        <v>0</v>
      </c>
      <c r="I2" s="18" t="n">
        <f aca="false">IF(C2&lt;&gt;0,AVERAGEIF('Game Log Season 4'!$C$3:$C$126, "Mateo", 'Game Log Season 4'!$K$3:$K$126),0)</f>
        <v>0</v>
      </c>
      <c r="J2" s="15" t="n">
        <f aca="false">IFERROR((1-(AVERAGEIFS('Game Log Season 4'!$M$3:$M$126, 'Game Log Season 4'!$C$3:$C$126, "Mateo", 'Game Log Season 4'!$F$3:$F$126, 1)-0.5))*C2, 0)</f>
        <v>0</v>
      </c>
      <c r="K2" s="15" t="n">
        <f aca="false">IFERROR((1+(AVERAGEIFS('Game Log Season 4'!$M$3:$M$126, 'Game Log Season 4'!$C$3:$C$126, "Mateo", 'Game Log Season 4'!$F$3:$F$126, 0)-0.5))*D2, 0)</f>
        <v>0</v>
      </c>
      <c r="L2" s="18" t="n">
        <f aca="false">IFERROR(J2/(J2+K2),0)</f>
        <v>0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</v>
      </c>
      <c r="C3" s="15" t="n">
        <f aca="false">COUNTIFS('Game Log Season 4'!$C$3:$C$126, "Ryan", 'Game Log Season 4'!$F$3:$F$126, 1)</f>
        <v>0</v>
      </c>
      <c r="D3" s="15" t="n">
        <f aca="false">COUNTIFS('Game Log Season 4'!$C$3:$C$126, "Ryan", 'Game Log Season 4'!$F$3:$F$126, 0)</f>
        <v>0</v>
      </c>
      <c r="E3" s="18" t="n">
        <f aca="false">IFERROR(C3/(C3+D3),0)</f>
        <v>0</v>
      </c>
      <c r="F3" s="15" t="n">
        <f aca="false">SUMIFS('Game Log Season 4'!$J$3:$J$126, 'Game Log Season 4'!$C$3:$C$126, "Ryan", 'Game Log Season 4'!$F$3:$F$126, 1)</f>
        <v>0</v>
      </c>
      <c r="G3" s="15" t="n">
        <f aca="false">IFERROR((1-(AVERAGEIFS('Game Log Season 4'!$J$3:$J$126, 'Game Log Season 4'!$C$3:$C$126, "Ryan", 'Game Log Season 4'!$F$3:$F$126, 0)*-1))*D3,0)</f>
        <v>0</v>
      </c>
      <c r="H3" s="18" t="n">
        <f aca="false">IFERROR(F3/(F3+G3),0)</f>
        <v>0</v>
      </c>
      <c r="I3" s="18" t="n">
        <f aca="false">IF(C3&lt;&gt;0,AVERAGEIF('Game Log Season 4'!$C$3:$C$126, "Ryan", 'Game Log Season 4'!$K$3:$K$126),0)</f>
        <v>0</v>
      </c>
      <c r="J3" s="15" t="n">
        <f aca="false">IFERROR((1-(AVERAGEIFS('Game Log Season 4'!$M$3:$M$126, 'Game Log Season 4'!$C$3:$C$126, "Ryan", 'Game Log Season 4'!$F$3:$F$126, 1)-0.5))*C3, 0)</f>
        <v>0</v>
      </c>
      <c r="K3" s="15" t="n">
        <f aca="false">IFERROR((1+(AVERAGEIFS('Game Log Season 4'!$M$3:$M$126, 'Game Log Season 4'!$C$3:$C$126, "Ryan", 'Game Log Season 4'!$F$3:$F$126, 0)-0.5))*D3, 0)</f>
        <v>0</v>
      </c>
      <c r="L3" s="18" t="n">
        <f aca="false">IFERROR(J3/(J3+K3),0)</f>
        <v>0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</v>
      </c>
      <c r="C4" s="15" t="n">
        <f aca="false">COUNTIFS('Game Log Season 4'!$C$3:$C$126, "Becca", 'Game Log Season 4'!$F$3:$F$126, 1)</f>
        <v>0</v>
      </c>
      <c r="D4" s="15" t="n">
        <f aca="false">COUNTIFS('Game Log Season 4'!$C$3:$C$126, "Becca", 'Game Log Season 4'!$F$3:$F$126, 0)</f>
        <v>0</v>
      </c>
      <c r="E4" s="18" t="n">
        <f aca="false">IFERROR(C4/(C4+D4),0)</f>
        <v>0</v>
      </c>
      <c r="F4" s="15" t="n">
        <f aca="false">SUMIFS('Game Log Season 4'!$J$3:$J$126, 'Game Log Season 4'!$C$3:$C$126, "Becca", 'Game Log Season 4'!$F$3:$F$126, 1)</f>
        <v>0</v>
      </c>
      <c r="G4" s="15" t="n">
        <f aca="false">IFERROR((1-(AVERAGEIFS('Game Log Season 4'!$J$3:$J$126, 'Game Log Season 4'!$C$3:$C$126, "Becca", 'Game Log Season 4'!$F$3:$F$126, 0)*-1))*D4,0)</f>
        <v>0</v>
      </c>
      <c r="H4" s="18" t="n">
        <f aca="false">IFERROR(F4/(F4+G4),0)</f>
        <v>0</v>
      </c>
      <c r="I4" s="18" t="n">
        <f aca="false">IF(C4&lt;&gt;0,AVERAGEIF('Game Log Season 4'!$C$3:$C$126, "Becca", 'Game Log Season 4'!$K$3:$K$126),0)</f>
        <v>0</v>
      </c>
      <c r="J4" s="15" t="n">
        <f aca="false">IFERROR((1-(AVERAGEIFS('Game Log Season 4'!$M$3:$M$126, 'Game Log Season 4'!$C$3:$C$126, "Becca", 'Game Log Season 4'!$F$3:$F$126, 1)-0.5))*C4, 0)</f>
        <v>0</v>
      </c>
      <c r="K4" s="15" t="n">
        <f aca="false">IFERROR((1+(AVERAGEIFS('Game Log Season 4'!$M$3:$M$126, 'Game Log Season 4'!$C$3:$C$126, "Becca", 'Game Log Season 4'!$F$3:$F$126, 0)-0.5))*D4, 0)</f>
        <v>0</v>
      </c>
      <c r="L4" s="18" t="n">
        <f aca="false">IFERROR(J4/(J4+K4),0)</f>
        <v>0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</v>
      </c>
      <c r="C5" s="15" t="n">
        <f aca="false">COUNTIFS('Game Log Season 4'!$C$3:$C$126, "Manny", 'Game Log Season 4'!$F$3:$F$126, 1)</f>
        <v>0</v>
      </c>
      <c r="D5" s="15" t="n">
        <f aca="false">COUNTIFS('Game Log Season 4'!$C$3:$C$126, "Manny", 'Game Log Season 4'!$F$3:$F$126, 0)</f>
        <v>0</v>
      </c>
      <c r="E5" s="18" t="n">
        <f aca="false">IFERROR(C5/(C5+D5),0)</f>
        <v>0</v>
      </c>
      <c r="F5" s="15" t="n">
        <f aca="false">SUMIFS('Game Log Season 4'!$J$3:$J$126, 'Game Log Season 4'!$C$3:$C$126, "Manny", 'Game Log Season 4'!$F$3:$F$126, 1)</f>
        <v>0</v>
      </c>
      <c r="G5" s="15" t="n">
        <f aca="false">IFERROR((1-(AVERAGEIFS('Game Log Season 4'!$J$3:$J$126, 'Game Log Season 4'!$C$3:$C$126, "Manny", 'Game Log Season 4'!$F$3:$F$126, 0)*-1))*D5,0)</f>
        <v>0</v>
      </c>
      <c r="H5" s="18" t="n">
        <f aca="false">IFERROR(F5/(F5+G5),0)</f>
        <v>0</v>
      </c>
      <c r="I5" s="18" t="n">
        <f aca="false">IF(C5&lt;&gt;0,AVERAGEIF('Game Log Season 4'!$C$3:$C$126, "Manny", 'Game Log Season 4'!$K$3:$K$126),0)</f>
        <v>0</v>
      </c>
      <c r="J5" s="15" t="n">
        <f aca="false">IFERROR((1-(AVERAGEIFS('Game Log Season 4'!$M$3:$M$126, 'Game Log Season 4'!$C$3:$C$126, "Manny", 'Game Log Season 4'!$F$3:$F$126, 1)-0.5))*C5, 0)</f>
        <v>0</v>
      </c>
      <c r="K5" s="15" t="n">
        <f aca="false">IFERROR((1+(AVERAGEIFS('Game Log Season 4'!$M$3:$M$126, 'Game Log Season 4'!$C$3:$C$126, "Manny", 'Game Log Season 4'!$F$3:$F$126, 0)-0.5))*D5, 0)</f>
        <v>0</v>
      </c>
      <c r="L5" s="18" t="n">
        <f aca="false">IFERROR(J5/(J5+K5),0)</f>
        <v>0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4'!$C$3:$C$126, "Kristy", 'Game Log Season 4'!$F$3:$F$126, 1)</f>
        <v>0</v>
      </c>
      <c r="D6" s="15" t="n">
        <f aca="false">COUNTIFS('Game Log Season 4'!$C$3:$C$126, "Kristy", 'Game Log Season 4'!$F$3:$F$126, 0)</f>
        <v>0</v>
      </c>
      <c r="E6" s="18" t="n">
        <f aca="false">IFERROR(C6/(C6+D6),0)</f>
        <v>0</v>
      </c>
      <c r="F6" s="15" t="n">
        <f aca="false">SUMIFS('Game Log Season 4'!$J$3:$J$126, 'Game Log Season 4'!$C$3:$C$126, "Kristy", 'Game Log Season 4'!$F$3:$F$126, 1)</f>
        <v>0</v>
      </c>
      <c r="G6" s="15" t="n">
        <f aca="false">IFERROR((1-(AVERAGEIFS('Game Log Season 4'!$J$3:$J$126, 'Game Log Season 4'!$C$3:$C$126, "Kristy", 'Game Log Season 4'!$F$3:$F$126, 0)*-1))*D6,0)</f>
        <v>0</v>
      </c>
      <c r="H6" s="18" t="n">
        <f aca="false">IFERROR(F6/(F6+G6),0)</f>
        <v>0</v>
      </c>
      <c r="I6" s="18" t="n">
        <f aca="false">IF(C6&lt;&gt;0,AVERAGEIF('Game Log Season 4'!$C$3:$C$126, "Kristy", 'Game Log Season 4'!$K$3:$K$126),0)</f>
        <v>0</v>
      </c>
      <c r="J6" s="15" t="n">
        <f aca="false">IFERROR((1-(AVERAGEIFS('Game Log Season 4'!$M$3:$M$126, 'Game Log Season 4'!$C$3:$C$126, "Kristy", 'Game Log Season 4'!$F$3:$F$126, 1)-0.5))*C6, 0)</f>
        <v>0</v>
      </c>
      <c r="K6" s="15" t="n">
        <f aca="false">IFERROR((1+(AVERAGEIFS('Game Log Season 4'!$M$3:$M$126, 'Game Log Season 4'!$C$3:$C$126, "Kristy", 'Game Log Season 4'!$F$3:$F$126, 0)-0.5))*D6, 0)</f>
        <v>0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4'!$C$3:$C$126, "Joseph", 'Game Log Season 4'!$F$3:$F$126, 1)</f>
        <v>0</v>
      </c>
      <c r="D7" s="15" t="n">
        <f aca="false">COUNTIFS('Game Log Season 4'!$C$3:$C$126, "Joseph", 'Game Log Season 4'!$F$3:$F$126, 0)</f>
        <v>0</v>
      </c>
      <c r="E7" s="18" t="n">
        <f aca="false">IFERROR(C7/(C7+D7),0)</f>
        <v>0</v>
      </c>
      <c r="F7" s="15" t="n">
        <f aca="false">SUMIFS('Game Log Season 4'!$J$3:$J$126, 'Game Log Season 4'!$C$3:$C$126, "Joseph", 'Game Log Season 4'!$F$3:$F$126, 1)</f>
        <v>0</v>
      </c>
      <c r="G7" s="15" t="n">
        <f aca="false">IFERROR((1-(AVERAGEIFS('Game Log Season 4'!$J$3:$J$126, 'Game Log Season 4'!$C$3:$C$126, "Joseph", 'Game Log Season 4'!$F$3:$F$126, 0)*-1))*D7,0)</f>
        <v>0</v>
      </c>
      <c r="H7" s="18" t="n">
        <f aca="false">IFERROR(F7/(F7+G7),0)</f>
        <v>0</v>
      </c>
      <c r="I7" s="18" t="n">
        <f aca="false">IF(C7&lt;&gt;0,AVERAGEIF('Game Log Season 4'!$C$3:$C$126, "Joseph", 'Game Log Season 4'!$K$3:$K$126),0)</f>
        <v>0</v>
      </c>
      <c r="J7" s="15" t="n">
        <f aca="false">IFERROR((1-(AVERAGEIFS('Game Log Season 4'!$M$3:$M$126, 'Game Log Season 4'!$C$3:$C$126, "Joseph", 'Game Log Season 4'!$F$3:$F$126, 1)-0.5))*C7, 0)</f>
        <v>0</v>
      </c>
      <c r="K7" s="15" t="n">
        <f aca="false">IFERROR((1+(AVERAGEIFS('Game Log Season 4'!$M$3:$M$126, 'Game Log Season 4'!$C$3:$C$126, "Joseph", 'Game Log Season 4'!$F$3:$F$126, 0)-0.5))*D7, 0)</f>
        <v>0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4'!$C$3:$C$126, "Michelle", 'Game Log Season 4'!$F$3:$F$126, 1)</f>
        <v>0</v>
      </c>
      <c r="D8" s="15" t="n">
        <f aca="false">COUNTIFS('Game Log Season 4'!$C$3:$C$126, "Michelle", 'Game Log Season 4'!$F$3:$F$126, 0)</f>
        <v>0</v>
      </c>
      <c r="E8" s="18" t="n">
        <f aca="false">IFERROR(C8/(C8+D8),0)</f>
        <v>0</v>
      </c>
      <c r="F8" s="15" t="n">
        <f aca="false">SUMIFS('Game Log Season 4'!$J$3:$J$126, 'Game Log Season 4'!$C$3:$C$126, "Michelle", 'Game Log Season 4'!$F$3:$F$126, 1)</f>
        <v>0</v>
      </c>
      <c r="G8" s="15" t="n">
        <f aca="false">IFERROR((1-(AVERAGEIFS('Game Log Season 4'!$J$3:$J$126, 'Game Log Season 4'!$C$3:$C$126, "Michelle", 'Game Log Season 4'!$F$3:$F$126, 0)*-1))*D8,0)</f>
        <v>0</v>
      </c>
      <c r="H8" s="18" t="n">
        <f aca="false">IFERROR(F8/(F8+G8),0)</f>
        <v>0</v>
      </c>
      <c r="I8" s="18" t="n">
        <f aca="false">IF(C8&lt;&gt;0,AVERAGEIF('Game Log Season 4'!$C$3:$C$126, "Michelle", 'Game Log Season 4'!$K$3:$K$126),0)</f>
        <v>0</v>
      </c>
      <c r="J8" s="15" t="n">
        <f aca="false">IFERROR((1-(AVERAGEIFS('Game Log Season 4'!$M$3:$M$126, 'Game Log Season 4'!$C$3:$C$126, "Michelle", 'Game Log Season 4'!$F$3:$F$126, 1)-0.5))*C8, 0)</f>
        <v>0</v>
      </c>
      <c r="K8" s="15" t="n">
        <f aca="false">IFERROR((1+(AVERAGEIFS('Game Log Season 4'!$M$3:$M$126, 'Game Log Season 4'!$C$3:$C$126, "Michelle", 'Game Log Season 4'!$F$3:$F$126, 0)-0.5))*D8, 0)</f>
        <v>0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4'!$C$3:$C$126, "Red", 'Game Log Season 4'!$F$3:$F$126, 1)</f>
        <v>0</v>
      </c>
      <c r="D9" s="15" t="n">
        <f aca="false">COUNTIFS('Game Log Season 4'!$C$3:$C$126, "Red", 'Game Log Season 4'!$F$3:$F$126, 0)</f>
        <v>0</v>
      </c>
      <c r="E9" s="18" t="n">
        <f aca="false">IFERROR(C9/(C9+D9),0)</f>
        <v>0</v>
      </c>
      <c r="F9" s="15" t="n">
        <f aca="false">SUMIFS('Game Log Season 4'!$J$3:$J$126, 'Game Log Season 4'!$C$3:$C$126, "Red", 'Game Log Season 4'!$F$3:$F$126, 1)</f>
        <v>0</v>
      </c>
      <c r="G9" s="15" t="n">
        <f aca="false">IFERROR((1-(AVERAGEIFS('Game Log Season 4'!$J$3:$J$126, 'Game Log Season 4'!$C$3:$C$126, "Red", 'Game Log Season 4'!$F$3:$F$126, 0)*-1))*D9,0)</f>
        <v>0</v>
      </c>
      <c r="H9" s="18" t="n">
        <f aca="false">IFERROR(F9/(F9+G9),0)</f>
        <v>0</v>
      </c>
      <c r="I9" s="18" t="n">
        <f aca="false">IF(C9&lt;&gt;0,AVERAGEIF('Game Log Season 4'!$C$3:$C$126, "Red", 'Game Log Season 4'!$K$3:$K$126),0)</f>
        <v>0</v>
      </c>
      <c r="J9" s="15" t="n">
        <f aca="false">IFERROR((1-(AVERAGEIFS('Game Log Season 4'!$M$3:$M$126, 'Game Log Season 4'!$C$3:$C$126, "Red", 'Game Log Season 4'!$F$3:$F$126, 1)-0.5))*C9, 0)</f>
        <v>0</v>
      </c>
      <c r="K9" s="15" t="n">
        <f aca="false">IFERROR((1+(AVERAGEIFS('Game Log Season 4'!$M$3:$M$126, 'Game Log Season 4'!$C$3:$C$126, "Red", 'Game Log Season 4'!$F$3:$F$126,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