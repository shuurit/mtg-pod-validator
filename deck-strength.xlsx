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Game Log Season 1" sheetId="1" state="visible" r:id="rId1"/>
    <sheet name="Game Log Season 2" sheetId="2" state="visible" r:id="rId2"/>
    <sheet name="Game Log Season 3" sheetId="3" state="visible" r:id="rId3"/>
    <sheet name="Current Deck Strength" sheetId="4" state="visible" r:id="rId4"/>
    <sheet name="Deck Win Rates" sheetId="5" state="visible" r:id="rId5"/>
    <sheet name="Player Adjusted Ranks" sheetId="6" state="visible" r:id="rId6"/>
  </sheets>
  <definedNames>
    <definedName name="_xlnm._FilterDatabase" localSheetId="0" hidden="1">'Game Log Season 1'!$A$2:$W$74</definedName>
    <definedName name="_xlnm._FilterDatabase" localSheetId="1" hidden="1">'Game Log Season 2'!$A$2:$X$34</definedName>
    <definedName name="_xlnm._FilterDatabase" localSheetId="2" hidden="1">'Game Log Season 3'!$A$2:$X$34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"/>
  </numFmts>
  <fonts count="6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b val="1"/>
      <color theme="0"/>
      <sz val="11"/>
    </font>
    <font>
      <name val="Aptos Narrow"/>
      <charset val="1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theme="4" tint="0.7999000000000001"/>
        <bgColor rgb="FFCCFFFF"/>
      </patternFill>
    </fill>
  </fills>
  <borders count="2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double">
        <color rgb="FF3F3F3F"/>
      </top>
      <bottom style="medium"/>
      <diagonal/>
    </border>
    <border>
      <left/>
      <right style="medium"/>
      <top style="double">
        <color rgb="FF3F3F3F"/>
      </top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medium"/>
      <bottom/>
      <diagonal/>
    </border>
    <border>
      <left style="thin"/>
      <right style="thin"/>
      <top style="thin"/>
      <bottom style="thin"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4" fillId="2" borderId="2" applyAlignment="1" pivotButton="0" quotePrefix="0" xfId="0">
      <alignment horizontal="general" vertical="bottom"/>
    </xf>
    <xf numFmtId="0" fontId="4" fillId="2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4" fillId="2" borderId="5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164" fontId="0" fillId="0" borderId="1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165" fontId="0" fillId="0" borderId="14" applyAlignment="1" pivotButton="0" quotePrefix="0" xfId="0">
      <alignment horizontal="general" vertical="bottom"/>
    </xf>
    <xf numFmtId="164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165" fontId="0" fillId="0" borderId="16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9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165" fontId="0" fillId="0" borderId="18" applyAlignment="1" pivotButton="0" quotePrefix="0" xfId="0">
      <alignment horizontal="general" vertical="bottom"/>
    </xf>
    <xf numFmtId="165" fontId="0" fillId="0" borderId="13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165" fontId="0" fillId="0" borderId="20" applyAlignment="1" pivotButton="0" quotePrefix="0" xfId="0">
      <alignment horizontal="general" vertical="bottom"/>
    </xf>
    <xf numFmtId="165" fontId="0" fillId="0" borderId="17" applyAlignment="1" pivotButton="0" quotePrefix="0" xfId="0">
      <alignment horizontal="general" vertical="bottom"/>
    </xf>
    <xf numFmtId="164" fontId="0" fillId="0" borderId="19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164" fontId="0" fillId="0" borderId="21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general" vertical="bottom"/>
    </xf>
    <xf numFmtId="164" fontId="0" fillId="0" borderId="16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21" applyAlignment="1" pivotButton="0" quotePrefix="0" xfId="0">
      <alignment horizontal="general" vertical="bottom"/>
    </xf>
    <xf numFmtId="0" fontId="0" fillId="0" borderId="23" applyAlignment="1" pivotButton="0" quotePrefix="0" xfId="0">
      <alignment horizontal="general" vertical="bottom"/>
    </xf>
    <xf numFmtId="165" fontId="0" fillId="0" borderId="22" applyAlignment="1" pivotButton="0" quotePrefix="0" xfId="0">
      <alignment horizontal="general" vertical="bottom"/>
    </xf>
    <xf numFmtId="0" fontId="5" fillId="3" borderId="2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24" applyAlignment="1" pivotButton="0" quotePrefix="0" xfId="0">
      <alignment horizontal="left" vertical="bottom"/>
    </xf>
    <xf numFmtId="165" fontId="5" fillId="0" borderId="24" applyAlignment="1" pivotButton="0" quotePrefix="0" xfId="0">
      <alignment horizontal="left" vertical="bottom"/>
    </xf>
    <xf numFmtId="0" fontId="0" fillId="0" borderId="24" applyAlignment="1" pivotButton="0" quotePrefix="0" xfId="0">
      <alignment horizontal="left" vertical="bottom" indent="1"/>
    </xf>
    <xf numFmtId="165" fontId="0" fillId="0" borderId="24" applyAlignment="1" pivotButton="0" quotePrefix="0" xfId="0">
      <alignment horizontal="left" vertical="bottom" indent="1"/>
    </xf>
    <xf numFmtId="0" fontId="4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0" fontId="0" fillId="0" borderId="3" pivotButton="0" quotePrefix="0" xfId="0"/>
    <xf numFmtId="0" fontId="0" fillId="0" borderId="4" pivotButton="0" quotePrefix="0" xfId="0"/>
    <xf numFmtId="0" fontId="4" fillId="2" borderId="2" applyAlignment="1" pivotButton="0" quotePrefix="0" xfId="0">
      <alignment horizontal="general" vertical="bottom"/>
    </xf>
    <xf numFmtId="0" fontId="4" fillId="2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4" fillId="2" borderId="5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164" fontId="0" fillId="0" borderId="1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165" fontId="0" fillId="0" borderId="14" applyAlignment="1" pivotButton="0" quotePrefix="0" xfId="0">
      <alignment horizontal="general" vertical="bottom"/>
    </xf>
    <xf numFmtId="164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165" fontId="0" fillId="0" borderId="16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9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165" fontId="0" fillId="0" borderId="18" applyAlignment="1" pivotButton="0" quotePrefix="0" xfId="0">
      <alignment horizontal="general" vertical="bottom"/>
    </xf>
    <xf numFmtId="165" fontId="0" fillId="0" borderId="13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165" fontId="0" fillId="0" borderId="20" applyAlignment="1" pivotButton="0" quotePrefix="0" xfId="0">
      <alignment horizontal="general" vertical="bottom"/>
    </xf>
    <xf numFmtId="165" fontId="0" fillId="0" borderId="17" applyAlignment="1" pivotButton="0" quotePrefix="0" xfId="0">
      <alignment horizontal="general" vertical="bottom"/>
    </xf>
    <xf numFmtId="164" fontId="0" fillId="0" borderId="19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164" fontId="0" fillId="0" borderId="21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general" vertical="bottom"/>
    </xf>
    <xf numFmtId="164" fontId="0" fillId="0" borderId="16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21" applyAlignment="1" pivotButton="0" quotePrefix="0" xfId="0">
      <alignment horizontal="general" vertical="bottom"/>
    </xf>
    <xf numFmtId="0" fontId="0" fillId="0" borderId="26" pivotButton="0" quotePrefix="0" xfId="0"/>
    <xf numFmtId="0" fontId="0" fillId="0" borderId="23" applyAlignment="1" pivotButton="0" quotePrefix="0" xfId="0">
      <alignment horizontal="general" vertical="bottom"/>
    </xf>
    <xf numFmtId="165" fontId="0" fillId="0" borderId="22" applyAlignment="1" pivotButton="0" quotePrefix="0" xfId="0">
      <alignment horizontal="general" vertical="bottom"/>
    </xf>
    <xf numFmtId="0" fontId="5" fillId="3" borderId="2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24" applyAlignment="1" pivotButton="0" quotePrefix="0" xfId="0">
      <alignment horizontal="left" vertical="bottom"/>
    </xf>
    <xf numFmtId="165" fontId="5" fillId="0" borderId="24" applyAlignment="1" pivotButton="0" quotePrefix="0" xfId="0">
      <alignment horizontal="left" vertical="bottom"/>
    </xf>
    <xf numFmtId="0" fontId="0" fillId="0" borderId="24" applyAlignment="1" pivotButton="0" quotePrefix="0" xfId="0">
      <alignment horizontal="left" vertical="bottom" indent="1"/>
    </xf>
    <xf numFmtId="165" fontId="0" fillId="0" borderId="24" applyAlignment="1" pivotButton="0" quotePrefix="0" xfId="0">
      <alignment horizontal="left" vertical="bottom" indent="1"/>
    </xf>
    <xf numFmtId="0" fontId="4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108" activePane="bottomLeft" state="frozen"/>
      <selection pane="topLeft" activeCell="A1" activeCellId="0" sqref="A1"/>
      <selection pane="bottomLeft" activeCell="D114" activeCellId="0" sqref="D114"/>
    </sheetView>
  </sheetViews>
  <sheetFormatPr baseColWidth="8" defaultColWidth="8.5390625" defaultRowHeight="14.25" zeroHeight="0" outlineLevelRow="0"/>
  <cols>
    <col width="10" customWidth="1" style="51" min="1" max="1"/>
    <col width="11.22" customWidth="1" style="51" min="3" max="3"/>
    <col width="48.44" customWidth="1" style="51" min="4" max="4"/>
    <col width="21.78" customWidth="1" style="51" min="5" max="5"/>
    <col width="11.22" customWidth="1" style="51" min="6" max="6"/>
    <col width="9.33" customWidth="1" style="51" min="9" max="9"/>
    <col width="28.22" customWidth="1" style="51" min="10" max="10"/>
    <col width="32.78" customWidth="1" style="51" min="11" max="13"/>
    <col width="29.33" customWidth="1" style="51" min="14" max="14"/>
    <col width="20.78" customWidth="1" style="51" min="15" max="16"/>
    <col width="14" customWidth="1" style="51" min="17" max="18"/>
    <col width="10.11" customWidth="1" style="51" min="19" max="19"/>
    <col width="19.22" customWidth="1" style="51" min="20" max="21"/>
    <col width="19" customWidth="1" style="51" min="22" max="22"/>
    <col width="26.78" customWidth="1" style="51" min="23" max="23"/>
    <col width="27.78" customWidth="1" style="51" min="24" max="24"/>
  </cols>
  <sheetData>
    <row r="1" ht="14.25" customHeight="1" s="52">
      <c r="A1" s="53" t="inlineStr">
        <is>
          <t>Base Game Info</t>
        </is>
      </c>
      <c r="B1" s="54" t="n"/>
      <c r="C1" s="54" t="n"/>
      <c r="D1" s="54" t="n"/>
      <c r="E1" s="55" t="n"/>
      <c r="F1" s="56" t="inlineStr">
        <is>
          <t>Player Score</t>
        </is>
      </c>
      <c r="G1" s="57" t="n"/>
      <c r="H1" s="57" t="n"/>
      <c r="I1" s="57" t="n"/>
      <c r="J1" s="57" t="n"/>
      <c r="K1" s="57" t="n"/>
      <c r="L1" s="57" t="n"/>
      <c r="M1" s="57" t="n"/>
      <c r="N1" s="57" t="n"/>
      <c r="O1" s="58" t="n"/>
      <c r="P1" s="53" t="inlineStr">
        <is>
          <t>Turn of Victory/Loss</t>
        </is>
      </c>
      <c r="Q1" s="55" t="n"/>
      <c r="R1" s="53" t="inlineStr">
        <is>
          <t>Pop-Off</t>
        </is>
      </c>
      <c r="S1" s="53" t="inlineStr">
        <is>
          <t>Deck Resilience</t>
        </is>
      </c>
      <c r="T1" s="54" t="n"/>
      <c r="U1" s="55" t="n"/>
      <c r="V1" s="59" t="inlineStr">
        <is>
          <t>Games Clearly Behind</t>
        </is>
      </c>
      <c r="W1" s="60" t="inlineStr">
        <is>
          <t>Game Calculated Deck Strength</t>
        </is>
      </c>
    </row>
    <row r="2" ht="14.25" customHeight="1" s="52">
      <c r="A2" s="61" t="inlineStr">
        <is>
          <t>Game Date</t>
        </is>
      </c>
      <c r="B2" s="62" t="inlineStr">
        <is>
          <t>Game #</t>
        </is>
      </c>
      <c r="C2" s="62" t="inlineStr">
        <is>
          <t>Player Name</t>
        </is>
      </c>
      <c r="D2" s="62" t="inlineStr">
        <is>
          <t>Commander</t>
        </is>
      </c>
      <c r="E2" s="63" t="inlineStr">
        <is>
          <t>Commander Strength</t>
        </is>
      </c>
      <c r="F2" s="61" t="inlineStr">
        <is>
          <t>Game Result</t>
        </is>
      </c>
      <c r="G2" s="62" t="inlineStr">
        <is>
          <t>Place</t>
        </is>
      </c>
      <c r="H2" s="62" t="inlineStr">
        <is>
          <t>Pod Size</t>
        </is>
      </c>
      <c r="I2" s="62" t="inlineStr">
        <is>
          <t>Knockouts</t>
        </is>
      </c>
      <c r="J2" s="62" t="inlineStr">
        <is>
          <t>Adjusted Pod Size Win/Loss Score</t>
        </is>
      </c>
      <c r="K2" s="62" t="inlineStr">
        <is>
          <t>Knockout Score</t>
        </is>
      </c>
      <c r="L2" s="62" t="inlineStr">
        <is>
          <t>Deck Strength Comparison Differential</t>
        </is>
      </c>
      <c r="M2" s="62" t="inlineStr">
        <is>
          <t>Win Probability based on Deck Strength</t>
        </is>
      </c>
      <c r="N2" s="62" t="inlineStr">
        <is>
          <t>Player Score</t>
        </is>
      </c>
      <c r="O2" s="63" t="inlineStr">
        <is>
          <t>Normalized Player Score</t>
        </is>
      </c>
      <c r="P2" s="64" t="inlineStr">
        <is>
          <t>TOV</t>
        </is>
      </c>
      <c r="Q2" s="65" t="inlineStr">
        <is>
          <t>Normalized TOV</t>
        </is>
      </c>
      <c r="R2" s="66" t="inlineStr">
        <is>
          <t>Pop-Off</t>
        </is>
      </c>
      <c r="S2" s="61" t="inlineStr">
        <is>
          <t>Disruptions</t>
        </is>
      </c>
      <c r="T2" s="62" t="inlineStr">
        <is>
          <t>Successful Recoveries</t>
        </is>
      </c>
      <c r="U2" s="63" t="inlineStr">
        <is>
          <t>Deck Resilience Score</t>
        </is>
      </c>
      <c r="V2" s="66" t="inlineStr">
        <is>
          <t>Games Clearly Behind</t>
        </is>
      </c>
      <c r="W2" s="66" t="inlineStr">
        <is>
          <t>Game Calculated Deck Strength</t>
        </is>
      </c>
    </row>
    <row r="3" ht="14.25" customHeight="1" s="52">
      <c r="A3" s="67" t="n">
        <v>46023</v>
      </c>
      <c r="B3" s="51" t="n">
        <v>1</v>
      </c>
      <c r="C3" s="51" t="inlineStr">
        <is>
          <t>Becca</t>
        </is>
      </c>
      <c r="D3" s="51" t="inlineStr">
        <is>
          <t>Aminatou, Veil Piercer</t>
        </is>
      </c>
      <c r="E3" s="68" t="n">
        <v>4</v>
      </c>
      <c r="F3" s="69" t="n">
        <v>0</v>
      </c>
      <c r="G3" s="51" t="n">
        <v>2</v>
      </c>
      <c r="H3" s="51" t="n">
        <v>4</v>
      </c>
      <c r="I3" s="51" t="n">
        <v>0</v>
      </c>
      <c r="J3" s="51">
        <f>F3-(1/H3)</f>
        <v/>
      </c>
      <c r="K3" s="51">
        <f>((I3-((H3-1)/H3))-(-5/6))/((5-(5/6))-(-5/6))</f>
        <v/>
      </c>
      <c r="L3" s="51">
        <f>E3-((E4+E5+E6)/3)</f>
        <v/>
      </c>
      <c r="M3" s="70">
        <f>0.5 + (L3 * 0.09)</f>
        <v/>
      </c>
      <c r="N3" s="51">
        <f>((H3-(G3-1))/H3)*(IF(I3&lt;&gt;0,(I3+H3)/H3,1))</f>
        <v/>
      </c>
      <c r="O3" s="71">
        <f>(N3-(1/6))/(10/6)</f>
        <v/>
      </c>
      <c r="P3" s="69" t="n">
        <v>8</v>
      </c>
      <c r="Q3" s="71">
        <f>IF(F3=1,(((1-((P3-3)/12))*0.5)+0.5),((P3/15)*0.5))</f>
        <v/>
      </c>
      <c r="R3" s="72" t="n">
        <v>0</v>
      </c>
      <c r="S3" s="69" t="n">
        <v>0</v>
      </c>
      <c r="T3" s="51" t="n">
        <v>0</v>
      </c>
      <c r="U3" s="71">
        <f>IFERROR(T3/S3, 1)</f>
        <v/>
      </c>
      <c r="V3" s="72" t="n">
        <v>0</v>
      </c>
      <c r="W3" s="73">
        <f>5*((O3*0.3)+(Q3*0.175)+(R3*0.175)+(U3*0.175)+((1-V3)*0.175))</f>
        <v/>
      </c>
    </row>
    <row r="4" ht="14.25" customHeight="1" s="52">
      <c r="A4" s="67" t="n">
        <v>46023</v>
      </c>
      <c r="B4" s="51" t="n">
        <v>1</v>
      </c>
      <c r="C4" s="51" t="inlineStr">
        <is>
          <t>Manny</t>
        </is>
      </c>
      <c r="D4" s="51" t="inlineStr">
        <is>
          <t>Rashmi, Eternities Crafter</t>
        </is>
      </c>
      <c r="E4" s="68" t="n">
        <v>3</v>
      </c>
      <c r="F4" s="69" t="n">
        <v>0</v>
      </c>
      <c r="G4" s="51" t="n">
        <v>3</v>
      </c>
      <c r="H4" s="51" t="n">
        <v>4</v>
      </c>
      <c r="I4" s="51" t="n">
        <v>0</v>
      </c>
      <c r="J4" s="51">
        <f>F4-(1/H4)</f>
        <v/>
      </c>
      <c r="K4" s="51">
        <f>((I4-((H4-1)/H4))-(-5/6))/((5-(5/6))-(-5/6))</f>
        <v/>
      </c>
      <c r="L4" s="51">
        <f>E4-((E3+E5+E6)/3)</f>
        <v/>
      </c>
      <c r="M4" s="70">
        <f>0.5 + (L4 * 0.09)</f>
        <v/>
      </c>
      <c r="N4" s="51">
        <f>((H4-(G4-1))/H4)*(IF(I4&lt;&gt;0,(I4+H4)/H4,1))</f>
        <v/>
      </c>
      <c r="O4" s="71">
        <f>(N4-(1/6))/(10/6)</f>
        <v/>
      </c>
      <c r="P4" s="69" t="n">
        <v>7</v>
      </c>
      <c r="Q4" s="71">
        <f>IF(F4=1,(((1-((P4-3)/12))*0.5)+0.5),((P4/15)*0.5))</f>
        <v/>
      </c>
      <c r="R4" s="72" t="n">
        <v>0</v>
      </c>
      <c r="S4" s="69" t="n">
        <v>0</v>
      </c>
      <c r="T4" s="51" t="n">
        <v>0</v>
      </c>
      <c r="U4" s="71">
        <f>IFERROR(T4/S4, 1)</f>
        <v/>
      </c>
      <c r="V4" s="72" t="n">
        <v>0</v>
      </c>
      <c r="W4" s="73">
        <f>5*((O4*0.3)+(Q4*0.175)+(R4*0.175)+(U4*0.175)+((1-V4)*0.175))</f>
        <v/>
      </c>
    </row>
    <row r="5" ht="14.25" customHeight="1" s="52">
      <c r="A5" s="67" t="n">
        <v>46023</v>
      </c>
      <c r="B5" s="51" t="n">
        <v>1</v>
      </c>
      <c r="C5" s="51" t="inlineStr">
        <is>
          <t>Mateo</t>
        </is>
      </c>
      <c r="D5" s="51" t="inlineStr">
        <is>
          <t>Zurgo Stormrender</t>
        </is>
      </c>
      <c r="E5" s="68" t="n">
        <v>2</v>
      </c>
      <c r="F5" s="69" t="n">
        <v>1</v>
      </c>
      <c r="G5" s="51" t="n">
        <v>1</v>
      </c>
      <c r="H5" s="51" t="n">
        <v>4</v>
      </c>
      <c r="I5" s="51" t="n">
        <v>3</v>
      </c>
      <c r="J5" s="51">
        <f>F5-(1/H5)</f>
        <v/>
      </c>
      <c r="K5" s="51">
        <f>((I5-((H5-1)/H5))-(-5/6))/((5-(5/6))-(-5/6))</f>
        <v/>
      </c>
      <c r="L5" s="51">
        <f>E5-((E3+E4+E6)/3)</f>
        <v/>
      </c>
      <c r="M5" s="70">
        <f>0.5 + (L5 * 0.09)</f>
        <v/>
      </c>
      <c r="N5" s="51">
        <f>((H5-(G5-1))/H5)*(IF(I5&lt;&gt;0,(I5+H5)/H5,1))</f>
        <v/>
      </c>
      <c r="O5" s="71">
        <f>(N5-(1/6))/(10/6)</f>
        <v/>
      </c>
      <c r="P5" s="69" t="n">
        <v>8</v>
      </c>
      <c r="Q5" s="71">
        <f>IF(F5=1,(((1-((P5-3)/12))*0.5)+0.5),((P5/15)*0.5))</f>
        <v/>
      </c>
      <c r="R5" s="72" t="n">
        <v>1</v>
      </c>
      <c r="S5" s="69" t="n">
        <v>1</v>
      </c>
      <c r="T5" s="51" t="n">
        <v>1</v>
      </c>
      <c r="U5" s="71">
        <f>IFERROR(T5/S5, 1)</f>
        <v/>
      </c>
      <c r="V5" s="72" t="n">
        <v>0</v>
      </c>
      <c r="W5" s="73">
        <f>5*((O5*0.3)+(Q5*0.175)+(R5*0.175)+(U5*0.175)+((1-V5)*0.175))</f>
        <v/>
      </c>
    </row>
    <row r="6" ht="14.25" customHeight="1" s="52">
      <c r="A6" s="74" t="n">
        <v>46023</v>
      </c>
      <c r="B6" s="75" t="n">
        <v>1</v>
      </c>
      <c r="C6" s="75" t="inlineStr">
        <is>
          <t>Ryan</t>
        </is>
      </c>
      <c r="D6" s="75" t="inlineStr">
        <is>
          <t>Cloud, Ex-SOLDIER</t>
        </is>
      </c>
      <c r="E6" s="76" t="n">
        <v>2</v>
      </c>
      <c r="F6" s="77" t="n">
        <v>0</v>
      </c>
      <c r="G6" s="75" t="n">
        <v>4</v>
      </c>
      <c r="H6" s="75" t="n">
        <v>4</v>
      </c>
      <c r="I6" s="75" t="n">
        <v>0</v>
      </c>
      <c r="J6" s="75">
        <f>F6-(1/H6)</f>
        <v/>
      </c>
      <c r="K6" s="75">
        <f>((I6-((H6-1)/H6))-(-5/6))/((5-(5/6))-(-5/6))</f>
        <v/>
      </c>
      <c r="L6" s="75">
        <f>E6-((E3+E4+E5)/3)</f>
        <v/>
      </c>
      <c r="M6" s="78">
        <f>0.5 + (L6 * 0.09)</f>
        <v/>
      </c>
      <c r="N6" s="75">
        <f>((H6-(G6-1))/H6)*(IF(I6&lt;&gt;0,(I6+H6)/H6,1))</f>
        <v/>
      </c>
      <c r="O6" s="79">
        <f>(N6-(1/6))/(10/6)</f>
        <v/>
      </c>
      <c r="P6" s="77" t="n">
        <v>7</v>
      </c>
      <c r="Q6" s="79">
        <f>IF(F6=1,(((1-((P6-3)/12))*0.5)+0.5),((P6/15)*0.5))</f>
        <v/>
      </c>
      <c r="R6" s="80" t="n">
        <v>1</v>
      </c>
      <c r="S6" s="77" t="n">
        <v>0</v>
      </c>
      <c r="T6" s="75" t="n">
        <v>0</v>
      </c>
      <c r="U6" s="79">
        <f>IFERROR(T6/S6, 1)</f>
        <v/>
      </c>
      <c r="V6" s="80" t="n">
        <v>0</v>
      </c>
      <c r="W6" s="81">
        <f>5*((O6*0.3)+(Q6*0.175)+(R6*0.175)+(U6*0.175)+((1-V6)*0.175))</f>
        <v/>
      </c>
    </row>
    <row r="7" ht="14.25" customHeight="1" s="52">
      <c r="A7" s="67" t="n">
        <v>46023</v>
      </c>
      <c r="B7" s="51" t="n">
        <v>2</v>
      </c>
      <c r="C7" s="51" t="inlineStr">
        <is>
          <t>Becca</t>
        </is>
      </c>
      <c r="D7" s="51" t="inlineStr">
        <is>
          <t>Aminatou, Veil Piercer</t>
        </is>
      </c>
      <c r="E7" s="82" t="n">
        <v>4</v>
      </c>
      <c r="F7" s="69" t="n">
        <v>0</v>
      </c>
      <c r="G7" s="51" t="n">
        <v>2</v>
      </c>
      <c r="H7" s="51" t="n">
        <v>4</v>
      </c>
      <c r="I7" s="51" t="n">
        <v>0</v>
      </c>
      <c r="J7" s="51">
        <f>F7-(1/H7)</f>
        <v/>
      </c>
      <c r="K7" s="51">
        <f>((I7-((H7-1)/H7))-(-5/6))/((5-(5/6))-(-5/6))</f>
        <v/>
      </c>
      <c r="L7" s="51">
        <f>E7-((E8+E9+E10)/3)</f>
        <v/>
      </c>
      <c r="M7" s="70">
        <f>0.5 + (L7 * 0.09)</f>
        <v/>
      </c>
      <c r="N7" s="51">
        <f>((H7-(G7-1))/H7)*(IF(I7&lt;&gt;0,(I7+H7)/H7,1))</f>
        <v/>
      </c>
      <c r="O7" s="71">
        <f>(N7-(1/6))/(10/6)</f>
        <v/>
      </c>
      <c r="P7" s="83" t="n">
        <v>8</v>
      </c>
      <c r="Q7" s="71">
        <f>IF(F7=1,(((1-((P7-3)/12))*0.5)+0.5),((P7/15)*0.5))</f>
        <v/>
      </c>
      <c r="R7" s="72" t="n">
        <v>0</v>
      </c>
      <c r="S7" s="69" t="n">
        <v>0</v>
      </c>
      <c r="T7" s="51" t="n">
        <v>0</v>
      </c>
      <c r="U7" s="71">
        <f>IFERROR(T7/S7, 1)</f>
        <v/>
      </c>
      <c r="V7" s="72" t="n">
        <v>0</v>
      </c>
      <c r="W7" s="84">
        <f>5*((O7*0.3)+(Q7*0.175)+(R7*0.175)+(U7*0.175)+((1-V7)*0.175))</f>
        <v/>
      </c>
    </row>
    <row r="8" ht="14.25" customHeight="1" s="52">
      <c r="A8" s="67" t="n">
        <v>46023</v>
      </c>
      <c r="B8" s="51" t="n">
        <v>2</v>
      </c>
      <c r="C8" s="51" t="inlineStr">
        <is>
          <t>Manny</t>
        </is>
      </c>
      <c r="D8" s="51" t="inlineStr">
        <is>
          <t>Fire Lord Azula</t>
        </is>
      </c>
      <c r="E8" s="82" t="n">
        <v>3</v>
      </c>
      <c r="F8" s="69" t="n">
        <v>0</v>
      </c>
      <c r="G8" s="51" t="n">
        <v>2</v>
      </c>
      <c r="H8" s="51" t="n">
        <v>4</v>
      </c>
      <c r="I8" s="51" t="n">
        <v>0</v>
      </c>
      <c r="J8" s="51">
        <f>F8-(1/H8)</f>
        <v/>
      </c>
      <c r="K8" s="51">
        <f>((I8-((H8-1)/H8))-(-5/6))/((5-(5/6))-(-5/6))</f>
        <v/>
      </c>
      <c r="L8" s="51">
        <f>E8-((E7+E9+E10)/3)</f>
        <v/>
      </c>
      <c r="M8" s="70">
        <f>0.5 + (L8 * 0.09)</f>
        <v/>
      </c>
      <c r="N8" s="51">
        <f>((H8-(G8-1))/H8)*(IF(I8&lt;&gt;0,(I8+H8)/H8,1))</f>
        <v/>
      </c>
      <c r="O8" s="71">
        <f>(N8-(1/6))/(10/6)</f>
        <v/>
      </c>
      <c r="P8" s="69" t="n">
        <v>8</v>
      </c>
      <c r="Q8" s="71">
        <f>IF(F8=1,(((1-((P8-3)/12))*0.5)+0.5),((P8/15)*0.5))</f>
        <v/>
      </c>
      <c r="R8" s="72" t="n">
        <v>1</v>
      </c>
      <c r="S8" s="69" t="n">
        <v>0</v>
      </c>
      <c r="T8" s="51" t="n">
        <v>0</v>
      </c>
      <c r="U8" s="71">
        <f>IFERROR(T8/S8, 1)</f>
        <v/>
      </c>
      <c r="V8" s="72" t="n">
        <v>0</v>
      </c>
      <c r="W8" s="73">
        <f>5*((O8*0.3)+(Q8*0.175)+(R8*0.175)+(U8*0.175)+((1-V8)*0.175))</f>
        <v/>
      </c>
    </row>
    <row r="9" ht="14.25" customHeight="1" s="52">
      <c r="A9" s="67" t="n">
        <v>46023</v>
      </c>
      <c r="B9" s="51" t="n">
        <v>2</v>
      </c>
      <c r="C9" s="51" t="inlineStr">
        <is>
          <t>Mateo</t>
        </is>
      </c>
      <c r="D9" s="51" t="inlineStr">
        <is>
          <t>Hazel of the Rootbloom</t>
        </is>
      </c>
      <c r="E9" s="82" t="n">
        <v>2</v>
      </c>
      <c r="F9" s="69" t="n">
        <v>0</v>
      </c>
      <c r="G9" s="51" t="n">
        <v>2</v>
      </c>
      <c r="H9" s="51" t="n">
        <v>4</v>
      </c>
      <c r="I9" s="51" t="n">
        <v>0</v>
      </c>
      <c r="J9" s="51">
        <f>F9-(1/H9)</f>
        <v/>
      </c>
      <c r="K9" s="51">
        <f>((I9-((H9-1)/H9))-(-5/6))/((5-(5/6))-(-5/6))</f>
        <v/>
      </c>
      <c r="L9" s="51">
        <f>E9-((E7+E8+E10)/3)</f>
        <v/>
      </c>
      <c r="M9" s="70">
        <f>0.5 + (L9 * 0.09)</f>
        <v/>
      </c>
      <c r="N9" s="51">
        <f>((H9-(G9-1))/H9)*(IF(I9&lt;&gt;0,(I9+H9)/H9,1))</f>
        <v/>
      </c>
      <c r="O9" s="71">
        <f>(N9-(1/6))/(10/6)</f>
        <v/>
      </c>
      <c r="P9" s="69" t="n">
        <v>8</v>
      </c>
      <c r="Q9" s="71">
        <f>IF(F9=1,(((1-((P9-3)/12))*0.5)+0.5),((P9/15)*0.5))</f>
        <v/>
      </c>
      <c r="R9" s="72" t="n">
        <v>0</v>
      </c>
      <c r="S9" s="69" t="n">
        <v>0</v>
      </c>
      <c r="T9" s="51" t="n">
        <v>0</v>
      </c>
      <c r="U9" s="71">
        <f>IFERROR(T9/S9, 1)</f>
        <v/>
      </c>
      <c r="V9" s="72" t="n">
        <v>0</v>
      </c>
      <c r="W9" s="73">
        <f>5*((O9*0.3)+(Q9*0.175)+(R9*0.175)+(U9*0.175)+((1-V9)*0.175))</f>
        <v/>
      </c>
    </row>
    <row r="10" ht="14.25" customHeight="1" s="52">
      <c r="A10" s="74" t="n">
        <v>46023</v>
      </c>
      <c r="B10" s="75" t="n">
        <v>2</v>
      </c>
      <c r="C10" s="75" t="inlineStr">
        <is>
          <t>Ryan</t>
        </is>
      </c>
      <c r="D10" s="75" t="inlineStr">
        <is>
          <t>Eowyn, Shieldmaiden</t>
        </is>
      </c>
      <c r="E10" s="85" t="n">
        <v>2</v>
      </c>
      <c r="F10" s="69" t="n">
        <v>1</v>
      </c>
      <c r="G10" s="51" t="n">
        <v>1</v>
      </c>
      <c r="H10" s="51" t="n">
        <v>4</v>
      </c>
      <c r="I10" s="51" t="n">
        <v>3</v>
      </c>
      <c r="J10" s="75">
        <f>F10-(1/H10)</f>
        <v/>
      </c>
      <c r="K10" s="75">
        <f>((I10-((H10-1)/H10))-(-5/6))/((5-(5/6))-(-5/6))</f>
        <v/>
      </c>
      <c r="L10" s="75">
        <f>E10-((E7+E8+E9)/3)</f>
        <v/>
      </c>
      <c r="M10" s="78">
        <f>0.5 + (L10 * 0.09)</f>
        <v/>
      </c>
      <c r="N10" s="51">
        <f>((H10-(G10-1))/H10)*(IF(I10&lt;&gt;0,(I10+H10)/H10,1))</f>
        <v/>
      </c>
      <c r="O10" s="71">
        <f>(N10-(1/6))/(10/6)</f>
        <v/>
      </c>
      <c r="P10" s="77" t="n">
        <v>8</v>
      </c>
      <c r="Q10" s="79">
        <f>IF(F10=1,(((1-((P10-3)/12))*0.5)+0.5),((P10/15)*0.5))</f>
        <v/>
      </c>
      <c r="R10" s="80" t="n">
        <v>1</v>
      </c>
      <c r="S10" s="77" t="n">
        <v>0</v>
      </c>
      <c r="T10" s="75" t="n">
        <v>0</v>
      </c>
      <c r="U10" s="79">
        <f>IFERROR(T10/S10, 1)</f>
        <v/>
      </c>
      <c r="V10" s="80" t="n">
        <v>0</v>
      </c>
      <c r="W10" s="81">
        <f>5*((O10*0.3)+(Q10*0.175)+(R10*0.175)+(U10*0.175)+((1-V10)*0.175))</f>
        <v/>
      </c>
    </row>
    <row r="11" ht="14.25" customHeight="1" s="52">
      <c r="A11" s="86" t="n">
        <v>46029</v>
      </c>
      <c r="B11" s="87" t="n">
        <v>3</v>
      </c>
      <c r="C11" s="87" t="inlineStr">
        <is>
          <t>Manny</t>
        </is>
      </c>
      <c r="D11" s="87" t="inlineStr">
        <is>
          <t>Aragorn, the Uniter</t>
        </is>
      </c>
      <c r="E11" s="68" t="n">
        <v>3</v>
      </c>
      <c r="F11" s="83" t="n">
        <v>1</v>
      </c>
      <c r="G11" s="87" t="n">
        <v>1</v>
      </c>
      <c r="H11" s="87" t="n">
        <v>4</v>
      </c>
      <c r="I11" s="87" t="n">
        <v>3</v>
      </c>
      <c r="J11" s="51">
        <f>F11-(1/H11)</f>
        <v/>
      </c>
      <c r="K11" s="51">
        <f>((I11-((H11-1)/H11))-(-5/6))/((5-(5/6))-(-5/6))</f>
        <v/>
      </c>
      <c r="L11" s="51">
        <f>E11-((E12+E13+E14)/3)</f>
        <v/>
      </c>
      <c r="M11" s="70">
        <f>0.5 + (L11 * 0.09)</f>
        <v/>
      </c>
      <c r="N11" s="87">
        <f>((H11-(G11-1))/H11)*(IF(I11&lt;&gt;0,(I11+H11)/H11,1))</f>
        <v/>
      </c>
      <c r="O11" s="88">
        <f>(N11-(1/6))/(10/6)</f>
        <v/>
      </c>
      <c r="P11" s="83" t="n">
        <v>12</v>
      </c>
      <c r="Q11" s="71">
        <f>IF(F11=1,(((1-((P11-3)/12))*0.5)+0.5),((P11/15)*0.5))</f>
        <v/>
      </c>
      <c r="R11" s="89" t="n">
        <v>1</v>
      </c>
      <c r="S11" s="83" t="n">
        <v>1</v>
      </c>
      <c r="T11" s="87" t="n">
        <v>1</v>
      </c>
      <c r="U11" s="88">
        <f>IFERROR(T11/S11, 1)</f>
        <v/>
      </c>
      <c r="V11" s="89" t="n">
        <v>0</v>
      </c>
      <c r="W11" s="84">
        <f>5*((O11*0.3)+(Q11*0.175)+(R11*0.175)+(U11*0.175)+((1-V11)*0.175))</f>
        <v/>
      </c>
    </row>
    <row r="12" ht="14.25" customHeight="1" s="52">
      <c r="A12" s="67" t="n">
        <v>46029</v>
      </c>
      <c r="B12" s="51" t="n">
        <v>3</v>
      </c>
      <c r="C12" s="51" t="inlineStr">
        <is>
          <t>Joseph</t>
        </is>
      </c>
      <c r="D12" s="51" t="inlineStr">
        <is>
          <t>Mr. House, President and CEO</t>
        </is>
      </c>
      <c r="E12" s="68" t="n">
        <v>2</v>
      </c>
      <c r="F12" s="69" t="n">
        <v>0</v>
      </c>
      <c r="G12" s="51" t="n">
        <v>2</v>
      </c>
      <c r="H12" s="51" t="n">
        <v>4</v>
      </c>
      <c r="I12" s="51" t="n">
        <v>0</v>
      </c>
      <c r="J12" s="51">
        <f>F12-(1/H12)</f>
        <v/>
      </c>
      <c r="K12" s="51">
        <f>((I12-((H12-1)/H12))-(-5/6))/((5-(5/6))-(-5/6))</f>
        <v/>
      </c>
      <c r="L12" s="51">
        <f>E12-((E11+E13+E14)/3)</f>
        <v/>
      </c>
      <c r="M12" s="70">
        <f>0.5 + (L12 * 0.09)</f>
        <v/>
      </c>
      <c r="N12" s="51">
        <f>((H12-(G12-1))/H12)*(IF(I12&lt;&gt;0,(I12+H12)/H12,1))</f>
        <v/>
      </c>
      <c r="O12" s="71">
        <f>(N12-(1/6))/(10/6)</f>
        <v/>
      </c>
      <c r="P12" s="69" t="n">
        <v>12</v>
      </c>
      <c r="Q12" s="71">
        <f>IF(F12=1,(((1-((P12-3)/12))*0.5)+0.5),((P12/15)*0.5))</f>
        <v/>
      </c>
      <c r="R12" s="72" t="n">
        <v>0</v>
      </c>
      <c r="S12" s="69" t="n">
        <v>2</v>
      </c>
      <c r="T12" s="51" t="n">
        <v>0</v>
      </c>
      <c r="U12" s="71">
        <f>IFERROR(T12/S12, 1)</f>
        <v/>
      </c>
      <c r="V12" s="72" t="n">
        <v>1</v>
      </c>
      <c r="W12" s="73">
        <f>5*((O12*0.3)+(Q12*0.175)+(R12*0.175)+(U12*0.175)+((1-V12)*0.175))</f>
        <v/>
      </c>
    </row>
    <row r="13" ht="14.25" customHeight="1" s="52">
      <c r="A13" s="67" t="n">
        <v>46029</v>
      </c>
      <c r="B13" s="51" t="n">
        <v>3</v>
      </c>
      <c r="C13" s="51" t="inlineStr">
        <is>
          <t>Mateo</t>
        </is>
      </c>
      <c r="D13" s="51" t="inlineStr">
        <is>
          <t>Chatterfang, Squirrel General</t>
        </is>
      </c>
      <c r="E13" s="68" t="n">
        <v>2</v>
      </c>
      <c r="F13" s="69" t="n">
        <v>0</v>
      </c>
      <c r="G13" s="51" t="n">
        <v>4</v>
      </c>
      <c r="H13" s="51" t="n">
        <v>4</v>
      </c>
      <c r="I13" s="51" t="n">
        <v>0</v>
      </c>
      <c r="J13" s="51">
        <f>F13-(1/H13)</f>
        <v/>
      </c>
      <c r="K13" s="51">
        <f>((I13-((H13-1)/H13))-(-5/6))/((5-(5/6))-(-5/6))</f>
        <v/>
      </c>
      <c r="L13" s="51">
        <f>E13-((E11+E12+E14)/3)</f>
        <v/>
      </c>
      <c r="M13" s="70">
        <f>0.5 + (L13 * 0.09)</f>
        <v/>
      </c>
      <c r="N13" s="51">
        <f>((H13-(G13-1))/H13)*(IF(I13&lt;&gt;0,(I13+H13)/H13,1))</f>
        <v/>
      </c>
      <c r="O13" s="71">
        <f>(N13-(1/6))/(10/6)</f>
        <v/>
      </c>
      <c r="P13" s="69" t="n">
        <v>7</v>
      </c>
      <c r="Q13" s="71">
        <f>IF(F13=1,(((1-((P13-3)/12))*0.5)+0.5),((P13/15)*0.5))</f>
        <v/>
      </c>
      <c r="R13" s="72" t="n">
        <v>1</v>
      </c>
      <c r="S13" s="69" t="n">
        <v>1</v>
      </c>
      <c r="T13" s="51" t="n">
        <v>0</v>
      </c>
      <c r="U13" s="71">
        <f>IFERROR(T13/S13, 1)</f>
        <v/>
      </c>
      <c r="V13" s="72" t="n">
        <v>0</v>
      </c>
      <c r="W13" s="73">
        <f>5*((O13*0.3)+(Q13*0.175)+(R13*0.175)+(U13*0.175)+((1-V13)*0.175))</f>
        <v/>
      </c>
    </row>
    <row r="14" ht="14.25" customHeight="1" s="52">
      <c r="A14" s="74" t="n">
        <v>46029</v>
      </c>
      <c r="B14" s="75" t="n">
        <v>3</v>
      </c>
      <c r="C14" s="75" t="inlineStr">
        <is>
          <t>Ryan</t>
        </is>
      </c>
      <c r="D14" s="75" t="inlineStr">
        <is>
          <t>Fire Lord Zuko</t>
        </is>
      </c>
      <c r="E14" s="76" t="n">
        <v>3</v>
      </c>
      <c r="F14" s="77" t="n">
        <v>0</v>
      </c>
      <c r="G14" s="75" t="n">
        <v>3</v>
      </c>
      <c r="H14" s="75" t="n">
        <v>4</v>
      </c>
      <c r="I14" s="75" t="n">
        <v>0</v>
      </c>
      <c r="J14" s="75">
        <f>F14-(1/H14)</f>
        <v/>
      </c>
      <c r="K14" s="75">
        <f>((I14-((H14-1)/H14))-(-5/6))/((5-(5/6))-(-5/6))</f>
        <v/>
      </c>
      <c r="L14" s="75">
        <f>E14-((E11+E12+E13)/3)</f>
        <v/>
      </c>
      <c r="M14" s="78">
        <f>0.5 + (L14 * 0.09)</f>
        <v/>
      </c>
      <c r="N14" s="75">
        <f>((H14-(G14-1))/H14)*(IF(I14&lt;&gt;0,(I14+H14)/H14,1))</f>
        <v/>
      </c>
      <c r="O14" s="79">
        <f>(N14-(1/6))/(10/6)</f>
        <v/>
      </c>
      <c r="P14" s="77" t="n">
        <v>8</v>
      </c>
      <c r="Q14" s="79">
        <f>IF(F14=1,(((1-((P14-3)/12))*0.5)+0.5),((P14/15)*0.5))</f>
        <v/>
      </c>
      <c r="R14" s="80" t="n">
        <v>0</v>
      </c>
      <c r="S14" s="77" t="n">
        <v>0</v>
      </c>
      <c r="T14" s="75" t="n">
        <v>0</v>
      </c>
      <c r="U14" s="79">
        <f>IFERROR(T14/S14, 1)</f>
        <v/>
      </c>
      <c r="V14" s="80" t="n">
        <v>0</v>
      </c>
      <c r="W14" s="81">
        <f>5*((O14*0.3)+(Q14*0.175)+(R14*0.175)+(U14*0.175)+((1-V14)*0.175))</f>
        <v/>
      </c>
    </row>
    <row r="15" ht="14.25" customHeight="1" s="52">
      <c r="A15" s="90" t="n">
        <v>46032</v>
      </c>
      <c r="B15" s="87" t="n">
        <v>4</v>
      </c>
      <c r="C15" s="87" t="inlineStr">
        <is>
          <t>Ryan</t>
        </is>
      </c>
      <c r="D15" s="87" t="inlineStr">
        <is>
          <t>Atraxa, Praetor's Voice</t>
        </is>
      </c>
      <c r="E15" s="91" t="n">
        <v>4</v>
      </c>
      <c r="F15" s="83" t="n">
        <v>1</v>
      </c>
      <c r="G15" s="87" t="n">
        <v>1</v>
      </c>
      <c r="H15" s="87" t="n">
        <v>2</v>
      </c>
      <c r="I15" s="87" t="n">
        <v>1</v>
      </c>
      <c r="J15" s="51">
        <f>F15-(1/H15)</f>
        <v/>
      </c>
      <c r="K15" s="51">
        <f>((I15-((H15-1)/H15))-(-5/6))/((5-(5/6))-(-5/6))</f>
        <v/>
      </c>
      <c r="L15" s="68">
        <f>E15-E16</f>
        <v/>
      </c>
      <c r="M15" s="70">
        <f>0.5 + (L15 * 0.09)</f>
        <v/>
      </c>
      <c r="N15" s="87">
        <f>((H15-(G15-1))/H15)*(IF(I15&lt;&gt;0,(I15+H15)/H15,1))</f>
        <v/>
      </c>
      <c r="O15" s="88">
        <f>(N15-(1/6))/(10/6)</f>
        <v/>
      </c>
      <c r="P15" s="83" t="n">
        <v>10</v>
      </c>
      <c r="Q15" s="71">
        <f>IF(F15=1,(((1-((P15-3)/12))*0.5)+0.5),((P15/15)*0.5))</f>
        <v/>
      </c>
      <c r="R15" s="89" t="n">
        <v>1</v>
      </c>
      <c r="S15" s="83" t="n">
        <v>1</v>
      </c>
      <c r="T15" s="87" t="n">
        <v>1</v>
      </c>
      <c r="U15" s="88">
        <f>IFERROR(T15/S15, 1)</f>
        <v/>
      </c>
      <c r="V15" s="89" t="n">
        <v>0</v>
      </c>
      <c r="W15" s="84">
        <f>5*((O15*0.3)+(Q15*0.175)+(R15*0.175)+(U15*0.175)+((1-V15)*0.175))</f>
        <v/>
      </c>
    </row>
    <row r="16" ht="14.25" customHeight="1" s="52">
      <c r="A16" s="92" t="n">
        <v>46032</v>
      </c>
      <c r="B16" s="75" t="n">
        <v>4</v>
      </c>
      <c r="C16" s="75" t="inlineStr">
        <is>
          <t>Manny</t>
        </is>
      </c>
      <c r="D16" s="75" t="inlineStr">
        <is>
          <t>Rashmi, Eternities Crafter</t>
        </is>
      </c>
      <c r="E16" s="76" t="n">
        <v>3</v>
      </c>
      <c r="F16" s="77" t="n">
        <v>0</v>
      </c>
      <c r="G16" s="75" t="n">
        <v>2</v>
      </c>
      <c r="H16" s="75" t="n">
        <v>2</v>
      </c>
      <c r="I16" s="75" t="n">
        <v>0</v>
      </c>
      <c r="J16" s="75">
        <f>F16-(1/H16)</f>
        <v/>
      </c>
      <c r="K16" s="75">
        <f>((I16-((H16-1)/H16))-(-5/6))/((5-(5/6))-(-5/6))</f>
        <v/>
      </c>
      <c r="L16" s="76">
        <f>E16-E15</f>
        <v/>
      </c>
      <c r="M16" s="78">
        <f>0.5 + (L16 * 0.09)</f>
        <v/>
      </c>
      <c r="N16" s="75">
        <f>((H16-(G16-1))/H16)*(IF(I16&lt;&gt;0,(I16+H16)/H16,1))</f>
        <v/>
      </c>
      <c r="O16" s="79">
        <f>(N16-(1/6))/(10/6)</f>
        <v/>
      </c>
      <c r="P16" s="77" t="n">
        <v>10</v>
      </c>
      <c r="Q16" s="79">
        <f>IF(F16=1,(((1-((P16-3)/12))*0.5)+0.5),((P16/15)*0.5))</f>
        <v/>
      </c>
      <c r="R16" s="80" t="n">
        <v>1</v>
      </c>
      <c r="S16" s="77" t="n">
        <v>0</v>
      </c>
      <c r="T16" s="75" t="n">
        <v>0</v>
      </c>
      <c r="U16" s="79">
        <f>IFERROR(T16/S16, 1)</f>
        <v/>
      </c>
      <c r="V16" s="80" t="n">
        <v>0</v>
      </c>
      <c r="W16" s="81">
        <f>5*((O16*0.3)+(Q16*0.175)+(R16*0.175)+(U16*0.175)+((1-V16)*0.175))</f>
        <v/>
      </c>
    </row>
    <row r="17" ht="14.25" customHeight="1" s="52">
      <c r="A17" s="93" t="n">
        <v>46032</v>
      </c>
      <c r="B17" s="51" t="n">
        <v>5</v>
      </c>
      <c r="C17" s="51" t="inlineStr">
        <is>
          <t>Ryan</t>
        </is>
      </c>
      <c r="D17" s="51" t="inlineStr">
        <is>
          <t>Davros, Dalek Creator</t>
        </is>
      </c>
      <c r="E17" s="68" t="n">
        <v>2</v>
      </c>
      <c r="F17" s="69" t="n">
        <v>0</v>
      </c>
      <c r="G17" s="51" t="n">
        <v>3</v>
      </c>
      <c r="H17" s="51" t="n">
        <v>4</v>
      </c>
      <c r="I17" s="51" t="n">
        <v>0</v>
      </c>
      <c r="J17" s="51">
        <f>F17-(1/H17)</f>
        <v/>
      </c>
      <c r="K17" s="51">
        <f>((I17-((H17-1)/H17))-(-5/6))/((5-(5/6))-(-5/6))</f>
        <v/>
      </c>
      <c r="L17" s="51">
        <f>E17-((E18+E19+E20)/3)</f>
        <v/>
      </c>
      <c r="M17" s="70">
        <f>0.5 + (L17 * 0.09)</f>
        <v/>
      </c>
      <c r="N17" s="51">
        <f>((H17-(G17-1))/H17)*(IF(I17&lt;&gt;0,(I17+H17)/H17,1))</f>
        <v/>
      </c>
      <c r="O17" s="71">
        <f>(N17-(1/6))/(10/6)</f>
        <v/>
      </c>
      <c r="P17" s="69" t="n">
        <v>12</v>
      </c>
      <c r="Q17" s="71">
        <f>IF(F17=1,(((1-((P17-3)/12))*0.5)+0.5),((P17/15)*0.5))</f>
        <v/>
      </c>
      <c r="R17" s="72" t="n">
        <v>1</v>
      </c>
      <c r="S17" s="69" t="n">
        <v>1</v>
      </c>
      <c r="T17" s="51" t="n">
        <v>1</v>
      </c>
      <c r="U17" s="71">
        <f>IFERROR(T17/S17, 1)</f>
        <v/>
      </c>
      <c r="V17" s="72" t="n">
        <v>0</v>
      </c>
      <c r="W17" s="73">
        <f>5*((O17*0.3)+(Q17*0.175)+(R17*0.175)+(U17*0.175)+((1-V17)*0.175))</f>
        <v/>
      </c>
    </row>
    <row r="18" ht="14.25" customHeight="1" s="52">
      <c r="A18" s="93" t="n">
        <v>46032</v>
      </c>
      <c r="B18" s="51" t="n">
        <v>5</v>
      </c>
      <c r="C18" s="51" t="inlineStr">
        <is>
          <t>Manny</t>
        </is>
      </c>
      <c r="D18" s="51" t="inlineStr">
        <is>
          <t>Frodo, Adventurous Hobbit/Sam, Loyal Attendant</t>
        </is>
      </c>
      <c r="E18" s="68" t="n">
        <v>4</v>
      </c>
      <c r="F18" s="69" t="n">
        <v>0</v>
      </c>
      <c r="G18" s="51" t="n">
        <v>2</v>
      </c>
      <c r="H18" s="51" t="n">
        <v>4</v>
      </c>
      <c r="I18" s="51" t="n">
        <v>2</v>
      </c>
      <c r="J18" s="51">
        <f>F18-(1/H18)</f>
        <v/>
      </c>
      <c r="K18" s="51">
        <f>((I18-((H18-1)/H18))-(-5/6))/((5-(5/6))-(-5/6))</f>
        <v/>
      </c>
      <c r="L18" s="51">
        <f>E18-((E17+E19+E20)/3)</f>
        <v/>
      </c>
      <c r="M18" s="70">
        <f>0.5 + (L18 * 0.09)</f>
        <v/>
      </c>
      <c r="N18" s="51">
        <f>((H18-(G18-1))/H18)*(IF(I18&lt;&gt;0,(I18+H18)/H18,1))</f>
        <v/>
      </c>
      <c r="O18" s="71">
        <f>(N18-(1/6))/(10/6)</f>
        <v/>
      </c>
      <c r="P18" s="69" t="n">
        <v>12</v>
      </c>
      <c r="Q18" s="71">
        <f>IF(F18=1,(((1-((P18-3)/12))*0.5)+0.5),((P18/15)*0.5))</f>
        <v/>
      </c>
      <c r="R18" s="72" t="n">
        <v>1</v>
      </c>
      <c r="S18" s="69" t="n">
        <v>1</v>
      </c>
      <c r="T18" s="51" t="n">
        <v>1</v>
      </c>
      <c r="U18" s="71">
        <f>IFERROR(T18/S18, 1)</f>
        <v/>
      </c>
      <c r="V18" s="72" t="n">
        <v>0</v>
      </c>
      <c r="W18" s="73">
        <f>5*((O18*0.3)+(Q18*0.175)+(R18*0.175)+(U18*0.175)+((1-V18)*0.175))</f>
        <v/>
      </c>
    </row>
    <row r="19" ht="14.25" customHeight="1" s="52">
      <c r="A19" s="93" t="n">
        <v>46032</v>
      </c>
      <c r="B19" s="51" t="n">
        <v>5</v>
      </c>
      <c r="C19" s="51" t="inlineStr">
        <is>
          <t>Becca</t>
        </is>
      </c>
      <c r="D19" s="51" t="inlineStr">
        <is>
          <t>Ms. Bumbleflower</t>
        </is>
      </c>
      <c r="E19" s="68" t="n">
        <v>2</v>
      </c>
      <c r="F19" s="69" t="n">
        <v>1</v>
      </c>
      <c r="G19" s="51" t="n">
        <v>1</v>
      </c>
      <c r="H19" s="51" t="n">
        <v>4</v>
      </c>
      <c r="I19" s="51" t="n">
        <v>1</v>
      </c>
      <c r="J19" s="51">
        <f>F19-(1/H19)</f>
        <v/>
      </c>
      <c r="K19" s="51">
        <f>((I19-((H19-1)/H19))-(-5/6))/((5-(5/6))-(-5/6))</f>
        <v/>
      </c>
      <c r="L19" s="51">
        <f>E19-((E17+E18+E20)/3)</f>
        <v/>
      </c>
      <c r="M19" s="70">
        <f>0.5 + (L19 * 0.09)</f>
        <v/>
      </c>
      <c r="N19" s="51">
        <f>((H19-(G19-1))/H19)*(IF(I19&lt;&gt;0,(I19+H19)/H19,1))</f>
        <v/>
      </c>
      <c r="O19" s="71">
        <f>(N19-(1/6))/(10/6)</f>
        <v/>
      </c>
      <c r="P19" s="69" t="n">
        <v>12</v>
      </c>
      <c r="Q19" s="71">
        <f>IF(F19=1,(((1-((P19-3)/12))*0.5)+0.5),((P19/15)*0.5))</f>
        <v/>
      </c>
      <c r="R19" s="72" t="n">
        <v>1</v>
      </c>
      <c r="S19" s="69" t="n">
        <v>2</v>
      </c>
      <c r="T19" s="51" t="n">
        <v>2</v>
      </c>
      <c r="U19" s="71">
        <f>IFERROR(T19/S19, 1)</f>
        <v/>
      </c>
      <c r="V19" s="72" t="n">
        <v>0</v>
      </c>
      <c r="W19" s="73">
        <f>5*((O19*0.3)+(Q19*0.175)+(R19*0.175)+(U19*0.175)+((1-V19)*0.175))</f>
        <v/>
      </c>
    </row>
    <row r="20" ht="14.25" customHeight="1" s="52">
      <c r="A20" s="92" t="n">
        <v>46032</v>
      </c>
      <c r="B20" s="75" t="n">
        <v>5</v>
      </c>
      <c r="C20" s="75" t="inlineStr">
        <is>
          <t>Mateo</t>
        </is>
      </c>
      <c r="D20" s="75" t="inlineStr">
        <is>
          <t>Teval, the Balanced Scale</t>
        </is>
      </c>
      <c r="E20" s="76" t="n">
        <v>2</v>
      </c>
      <c r="F20" s="77" t="n">
        <v>0</v>
      </c>
      <c r="G20" s="75" t="n">
        <v>4</v>
      </c>
      <c r="H20" s="75" t="n">
        <v>4</v>
      </c>
      <c r="I20" s="75" t="n">
        <v>0</v>
      </c>
      <c r="J20" s="75">
        <f>F20-(1/H20)</f>
        <v/>
      </c>
      <c r="K20" s="75">
        <f>((I20-((H20-1)/H20))-(-5/6))/((5-(5/6))-(-5/6))</f>
        <v/>
      </c>
      <c r="L20" s="75">
        <f>E20-((E17+E18+E19)/3)</f>
        <v/>
      </c>
      <c r="M20" s="78">
        <f>0.5 + (L20 * 0.09)</f>
        <v/>
      </c>
      <c r="N20" s="75">
        <f>((H20-(G20-1))/H20)*(IF(I20&lt;&gt;0,(I20+H20)/H20,1))</f>
        <v/>
      </c>
      <c r="O20" s="79">
        <f>(N20-(1/6))/(10/6)</f>
        <v/>
      </c>
      <c r="P20" s="77" t="n">
        <v>11</v>
      </c>
      <c r="Q20" s="79">
        <f>IF(F20=1,(((1-((P20-3)/12))*0.5)+0.5),((P20/15)*0.5))</f>
        <v/>
      </c>
      <c r="R20" s="80" t="n">
        <v>1</v>
      </c>
      <c r="S20" s="77" t="n">
        <v>1</v>
      </c>
      <c r="T20" s="75" t="n">
        <v>1</v>
      </c>
      <c r="U20" s="79">
        <f>IFERROR(T20/S20, 1)</f>
        <v/>
      </c>
      <c r="V20" s="80" t="n">
        <v>0</v>
      </c>
      <c r="W20" s="81">
        <f>5*((O20*0.3)+(Q20*0.175)+(R20*0.175)+(U20*0.175)+((1-V20)*0.175))</f>
        <v/>
      </c>
    </row>
    <row r="21" ht="14.25" customHeight="1" s="52">
      <c r="A21" s="93" t="n">
        <v>46032</v>
      </c>
      <c r="B21" s="51" t="n">
        <v>6</v>
      </c>
      <c r="C21" s="51" t="inlineStr">
        <is>
          <t>Becca</t>
        </is>
      </c>
      <c r="D21" s="51" t="inlineStr">
        <is>
          <t>Aminatou, Veil Piercer</t>
        </is>
      </c>
      <c r="E21" s="68" t="n">
        <v>4</v>
      </c>
      <c r="F21" s="69" t="n">
        <v>0</v>
      </c>
      <c r="G21" s="51" t="n">
        <v>4</v>
      </c>
      <c r="H21" s="51" t="n">
        <v>4</v>
      </c>
      <c r="I21" s="51" t="n">
        <v>0</v>
      </c>
      <c r="J21" s="51">
        <f>F21-(1/H21)</f>
        <v/>
      </c>
      <c r="K21" s="51">
        <f>((I21-((H21-1)/H21))-(-5/6))/((5-(5/6))-(-5/6))</f>
        <v/>
      </c>
      <c r="L21" s="51">
        <f>E21-((E22+E23+E24)/3)</f>
        <v/>
      </c>
      <c r="M21" s="70">
        <f>0.5 + (L21 * 0.09)</f>
        <v/>
      </c>
      <c r="N21" s="51">
        <f>((H21-(G21-1))/H21)*(IF(I21&lt;&gt;0,(I21+H21)/H21,1))</f>
        <v/>
      </c>
      <c r="O21" s="71">
        <f>(N21-(1/6))/(10/6)</f>
        <v/>
      </c>
      <c r="P21" s="69" t="n">
        <v>8</v>
      </c>
      <c r="Q21" s="71">
        <f>IF(F21=1,(((1-((P21-3)/12))*0.5)+0.5),((P21/15)*0.5))</f>
        <v/>
      </c>
      <c r="R21" s="72" t="n">
        <v>0</v>
      </c>
      <c r="S21" s="69" t="n">
        <v>0</v>
      </c>
      <c r="T21" s="51" t="n">
        <v>0</v>
      </c>
      <c r="U21" s="71">
        <f>IFERROR(T21/S21, 1)</f>
        <v/>
      </c>
      <c r="V21" s="72" t="n">
        <v>0</v>
      </c>
      <c r="W21" s="73">
        <f>5*((O21*0.3)+(Q21*0.175)+(R21*0.175)+(U21*0.175)+((1-V21)*0.175))</f>
        <v/>
      </c>
    </row>
    <row r="22" ht="14.25" customHeight="1" s="52">
      <c r="A22" s="93" t="n">
        <v>46032</v>
      </c>
      <c r="B22" s="51" t="n">
        <v>6</v>
      </c>
      <c r="C22" s="51" t="inlineStr">
        <is>
          <t>Ryan</t>
        </is>
      </c>
      <c r="D22" s="51" t="inlineStr">
        <is>
          <t>Cloud, Ex-SOLDIER</t>
        </is>
      </c>
      <c r="E22" s="68" t="n">
        <v>2</v>
      </c>
      <c r="F22" s="69" t="n">
        <v>0</v>
      </c>
      <c r="G22" s="51" t="n">
        <v>3</v>
      </c>
      <c r="H22" s="51" t="n">
        <v>4</v>
      </c>
      <c r="I22" s="51" t="n">
        <v>1</v>
      </c>
      <c r="J22" s="51">
        <f>F22-(1/H22)</f>
        <v/>
      </c>
      <c r="K22" s="51">
        <f>((I22-((H22-1)/H22))-(-5/6))/((5-(5/6))-(-5/6))</f>
        <v/>
      </c>
      <c r="L22" s="51">
        <f>E22-((E21+E23+E24)/3)</f>
        <v/>
      </c>
      <c r="M22" s="70">
        <f>0.5 + (L22 * 0.09)</f>
        <v/>
      </c>
      <c r="N22" s="51">
        <f>((H22-(G22-1))/H22)*(IF(I22&lt;&gt;0,(I22+H22)/H22,1))</f>
        <v/>
      </c>
      <c r="O22" s="71">
        <f>(N22-(1/6))/(10/6)</f>
        <v/>
      </c>
      <c r="P22" s="69" t="n">
        <v>9</v>
      </c>
      <c r="Q22" s="71">
        <f>IF(F22=1,(((1-((P22-3)/12))*0.5)+0.5),((P22/15)*0.5))</f>
        <v/>
      </c>
      <c r="R22" s="72" t="n">
        <v>1</v>
      </c>
      <c r="S22" s="69" t="n">
        <v>1</v>
      </c>
      <c r="T22" s="51" t="n">
        <v>0</v>
      </c>
      <c r="U22" s="71">
        <f>IFERROR(T22/S22, 1)</f>
        <v/>
      </c>
      <c r="V22" s="72" t="n">
        <v>0</v>
      </c>
      <c r="W22" s="73">
        <f>5*((O22*0.3)+(Q22*0.175)+(R22*0.175)+(U22*0.175)+((1-V22)*0.175))</f>
        <v/>
      </c>
    </row>
    <row r="23" ht="14.25" customHeight="1" s="52">
      <c r="A23" s="93" t="n">
        <v>46032</v>
      </c>
      <c r="B23" s="51" t="n">
        <v>6</v>
      </c>
      <c r="C23" s="51" t="inlineStr">
        <is>
          <t>Manny</t>
        </is>
      </c>
      <c r="D23" s="51" t="inlineStr">
        <is>
          <t>Avatar Aang</t>
        </is>
      </c>
      <c r="E23" s="68" t="n">
        <v>3</v>
      </c>
      <c r="F23" s="69" t="n">
        <v>0</v>
      </c>
      <c r="G23" s="51" t="n">
        <v>2</v>
      </c>
      <c r="H23" s="51" t="n">
        <v>4</v>
      </c>
      <c r="I23" s="51" t="n">
        <v>0</v>
      </c>
      <c r="J23" s="51">
        <f>F23-(1/H23)</f>
        <v/>
      </c>
      <c r="K23" s="51">
        <f>((I23-((H23-1)/H23))-(-5/6))/((5-(5/6))-(-5/6))</f>
        <v/>
      </c>
      <c r="L23" s="51">
        <f>E23-((E21+E22+E24)/3)</f>
        <v/>
      </c>
      <c r="M23" s="70">
        <f>0.5 + (L23 * 0.09)</f>
        <v/>
      </c>
      <c r="N23" s="51">
        <f>((H23-(G23-1))/H23)*(IF(I23&lt;&gt;0,(I23+H23)/H23,1))</f>
        <v/>
      </c>
      <c r="O23" s="71">
        <f>(N23-(1/6))/(10/6)</f>
        <v/>
      </c>
      <c r="P23" s="69" t="n">
        <v>9</v>
      </c>
      <c r="Q23" s="71">
        <f>IF(F23=1,(((1-((P23-3)/12))*0.5)+0.5),((P23/15)*0.5))</f>
        <v/>
      </c>
      <c r="R23" s="72" t="n">
        <v>0</v>
      </c>
      <c r="S23" s="69" t="n">
        <v>1</v>
      </c>
      <c r="T23" s="51" t="n">
        <v>0</v>
      </c>
      <c r="U23" s="71">
        <f>IFERROR(T23/S23, 1)</f>
        <v/>
      </c>
      <c r="V23" s="72" t="n">
        <v>0</v>
      </c>
      <c r="W23" s="73">
        <f>5*((O23*0.3)+(Q23*0.175)+(R23*0.175)+(U23*0.175)+((1-V23)*0.175))</f>
        <v/>
      </c>
    </row>
    <row r="24" ht="14.25" customHeight="1" s="52">
      <c r="A24" s="92" t="n">
        <v>46032</v>
      </c>
      <c r="B24" s="75" t="n">
        <v>6</v>
      </c>
      <c r="C24" s="75" t="inlineStr">
        <is>
          <t>Mateo</t>
        </is>
      </c>
      <c r="D24" s="75" t="inlineStr">
        <is>
          <t>Ureni of the Unwritten</t>
        </is>
      </c>
      <c r="E24" s="76" t="n">
        <v>3</v>
      </c>
      <c r="F24" s="77" t="n">
        <v>1</v>
      </c>
      <c r="G24" s="75" t="n">
        <v>1</v>
      </c>
      <c r="H24" s="75" t="n">
        <v>4</v>
      </c>
      <c r="I24" s="75" t="n">
        <v>2</v>
      </c>
      <c r="J24" s="75">
        <f>F24-(1/H24)</f>
        <v/>
      </c>
      <c r="K24" s="75">
        <f>((I24-((H24-1)/H24))-(-5/6))/((5-(5/6))-(-5/6))</f>
        <v/>
      </c>
      <c r="L24" s="75">
        <f>E24-((E21+E22+E23)/3)</f>
        <v/>
      </c>
      <c r="M24" s="78">
        <f>0.5 + (L24 * 0.09)</f>
        <v/>
      </c>
      <c r="N24" s="75">
        <f>((H24-(G24-1))/H24)*(IF(I24&lt;&gt;0,(I24+H24)/H24,1))</f>
        <v/>
      </c>
      <c r="O24" s="79">
        <f>(N24-(1/6))/(10/6)</f>
        <v/>
      </c>
      <c r="P24" s="77" t="n">
        <v>9</v>
      </c>
      <c r="Q24" s="79">
        <f>IF(F24=1,(((1-((P24-3)/12))*0.5)+0.5),((P24/15)*0.5))</f>
        <v/>
      </c>
      <c r="R24" s="80" t="n">
        <v>1</v>
      </c>
      <c r="S24" s="77" t="n">
        <v>0</v>
      </c>
      <c r="T24" s="75" t="n">
        <v>0</v>
      </c>
      <c r="U24" s="79">
        <f>IFERROR(T24/S24, 1)</f>
        <v/>
      </c>
      <c r="V24" s="80" t="n">
        <v>0</v>
      </c>
      <c r="W24" s="81">
        <f>5*((O24*0.3)+(Q24*0.175)+(R24*0.175)+(U24*0.175)+((1-V24)*0.175))</f>
        <v/>
      </c>
    </row>
    <row r="25" ht="14.25" customHeight="1" s="52">
      <c r="A25" s="93" t="n">
        <v>46036</v>
      </c>
      <c r="B25" s="51" t="n">
        <v>7</v>
      </c>
      <c r="C25" s="51" t="inlineStr">
        <is>
          <t>Joseph</t>
        </is>
      </c>
      <c r="D25" s="51" t="inlineStr">
        <is>
          <t>Valgavoth, Harrower of Souls</t>
        </is>
      </c>
      <c r="E25" s="68" t="n">
        <v>3</v>
      </c>
      <c r="F25" s="69" t="n">
        <v>0</v>
      </c>
      <c r="G25" s="51" t="n">
        <v>2</v>
      </c>
      <c r="H25" s="51" t="n">
        <v>4</v>
      </c>
      <c r="I25" s="51" t="n">
        <v>1</v>
      </c>
      <c r="J25" s="51">
        <f>F25-(1/H25)</f>
        <v/>
      </c>
      <c r="K25" s="51">
        <f>((I25-((H25-1)/H25))-(-5/6))/((5-(5/6))-(-5/6))</f>
        <v/>
      </c>
      <c r="L25" s="51">
        <f>E25-((E26+E27+E28)/3)</f>
        <v/>
      </c>
      <c r="M25" s="70">
        <f>0.5 + (L25 * 0.09)</f>
        <v/>
      </c>
      <c r="N25" s="51">
        <f>((H25-(G25-1))/H25)*(IF(I25&lt;&gt;0,(I25+H25)/H25,1))</f>
        <v/>
      </c>
      <c r="O25" s="71">
        <f>(N25-(1/6))/(10/6)</f>
        <v/>
      </c>
      <c r="P25" s="69" t="n">
        <v>10</v>
      </c>
      <c r="Q25" s="71">
        <f>IF(F25=1,(((1-((P25-3)/12))*0.5)+0.5),((P25/15)*0.5))</f>
        <v/>
      </c>
      <c r="R25" s="72" t="n">
        <v>0</v>
      </c>
      <c r="S25" s="69" t="n">
        <v>1</v>
      </c>
      <c r="T25" s="51" t="n">
        <v>0</v>
      </c>
      <c r="U25" s="71">
        <f>IFERROR(T25/S25, 1)</f>
        <v/>
      </c>
      <c r="V25" s="72" t="n">
        <v>0</v>
      </c>
      <c r="W25" s="73">
        <f>5*((O25*0.3)+(Q25*0.175)+(R25*0.175)+(U25*0.175)+((1-V25)*0.175))</f>
        <v/>
      </c>
    </row>
    <row r="26" ht="14.25" customHeight="1" s="52">
      <c r="A26" s="93" t="n">
        <v>46036</v>
      </c>
      <c r="B26" s="51" t="n">
        <v>7</v>
      </c>
      <c r="C26" s="51" t="inlineStr">
        <is>
          <t>Manny</t>
        </is>
      </c>
      <c r="D26" s="51" t="inlineStr">
        <is>
          <t>Avatar Aang</t>
        </is>
      </c>
      <c r="E26" s="68" t="n">
        <v>3</v>
      </c>
      <c r="F26" s="69" t="n">
        <v>0</v>
      </c>
      <c r="G26" s="51" t="n">
        <v>2</v>
      </c>
      <c r="H26" s="51" t="n">
        <v>4</v>
      </c>
      <c r="I26" s="51" t="n">
        <v>0</v>
      </c>
      <c r="J26" s="51">
        <f>F26-(1/H26)</f>
        <v/>
      </c>
      <c r="K26" s="51">
        <f>((I26-((H26-1)/H26))-(-5/6))/((5-(5/6))-(-5/6))</f>
        <v/>
      </c>
      <c r="L26" s="51">
        <f>E26-((E25+E27+E28)/3)</f>
        <v/>
      </c>
      <c r="M26" s="70">
        <f>0.5 + (L26 * 0.09)</f>
        <v/>
      </c>
      <c r="N26" s="51">
        <f>((H26-(G26-1))/H26)*(IF(I26&lt;&gt;0,(I26+H26)/H26,1))</f>
        <v/>
      </c>
      <c r="O26" s="71">
        <f>(N26-(1/6))/(10/6)</f>
        <v/>
      </c>
      <c r="P26" s="69" t="n">
        <v>10</v>
      </c>
      <c r="Q26" s="71">
        <f>IF(F26=1,(((1-((P26-3)/12))*0.5)+0.5),((P26/15)*0.5))</f>
        <v/>
      </c>
      <c r="R26" s="72" t="n">
        <v>0</v>
      </c>
      <c r="S26" s="69" t="n">
        <v>1</v>
      </c>
      <c r="T26" s="51" t="n">
        <v>0</v>
      </c>
      <c r="U26" s="71">
        <f>IFERROR(T26/S26, 1)</f>
        <v/>
      </c>
      <c r="V26" s="72" t="n">
        <v>0</v>
      </c>
      <c r="W26" s="73">
        <f>5*((O26*0.3)+(Q26*0.175)+(R26*0.175)+(U26*0.175)+((1-V26)*0.175))</f>
        <v/>
      </c>
    </row>
    <row r="27" ht="14.25" customHeight="1" s="52">
      <c r="A27" s="93" t="n">
        <v>46036</v>
      </c>
      <c r="B27" s="51" t="n">
        <v>7</v>
      </c>
      <c r="C27" s="51" t="inlineStr">
        <is>
          <t>Ryan</t>
        </is>
      </c>
      <c r="D27" s="51" t="inlineStr">
        <is>
          <t>Eowyn, Shieldmaiden</t>
        </is>
      </c>
      <c r="E27" s="68" t="n">
        <v>2</v>
      </c>
      <c r="F27" s="69" t="n">
        <v>1</v>
      </c>
      <c r="G27" s="51" t="n">
        <v>1</v>
      </c>
      <c r="H27" s="51" t="n">
        <v>4</v>
      </c>
      <c r="I27" s="51" t="n">
        <v>2</v>
      </c>
      <c r="J27" s="51">
        <f>F27-(1/H27)</f>
        <v/>
      </c>
      <c r="K27" s="51">
        <f>((I27-((H27-1)/H27))-(-5/6))/((5-(5/6))-(-5/6))</f>
        <v/>
      </c>
      <c r="L27" s="51">
        <f>E27-((E25+E26+E28)/3)</f>
        <v/>
      </c>
      <c r="M27" s="70">
        <f>0.5 + (L27 * 0.09)</f>
        <v/>
      </c>
      <c r="N27" s="51">
        <f>((H27-(G27-1))/H27)*(IF(I27&lt;&gt;0,(I27+H27)/H27,1))</f>
        <v/>
      </c>
      <c r="O27" s="71">
        <f>(N27-(1/6))/(10/6)</f>
        <v/>
      </c>
      <c r="P27" s="69" t="n">
        <v>10</v>
      </c>
      <c r="Q27" s="71">
        <f>IF(F27=1,(((1-((P27-3)/12))*0.5)+0.5),((P27/15)*0.5))</f>
        <v/>
      </c>
      <c r="R27" s="51" t="n">
        <v>1</v>
      </c>
      <c r="S27" s="69" t="n">
        <v>2</v>
      </c>
      <c r="T27" s="51" t="n">
        <v>1</v>
      </c>
      <c r="U27" s="71">
        <f>IFERROR(T27/S27, 1)</f>
        <v/>
      </c>
      <c r="V27" s="72" t="n">
        <v>0</v>
      </c>
      <c r="W27" s="73">
        <f>5*((O27*0.3)+(Q27*0.175)+(R27*0.175)+(U27*0.175)+((1-V27)*0.175))</f>
        <v/>
      </c>
    </row>
    <row r="28" ht="14.25" customHeight="1" s="52">
      <c r="A28" s="92" t="n">
        <v>46036</v>
      </c>
      <c r="B28" s="75" t="n">
        <v>7</v>
      </c>
      <c r="C28" s="75" t="inlineStr">
        <is>
          <t>Mateo</t>
        </is>
      </c>
      <c r="D28" s="75" t="inlineStr">
        <is>
          <t>Teval, the Balanced Scale</t>
        </is>
      </c>
      <c r="E28" s="76" t="n">
        <v>2</v>
      </c>
      <c r="F28" s="77" t="n">
        <v>0</v>
      </c>
      <c r="G28" s="75" t="n">
        <v>4</v>
      </c>
      <c r="H28" s="75" t="n">
        <v>4</v>
      </c>
      <c r="I28" s="75" t="n">
        <v>0</v>
      </c>
      <c r="J28" s="75">
        <f>F28-(1/H28)</f>
        <v/>
      </c>
      <c r="K28" s="75">
        <f>((I28-((H28-1)/H28))-(-5/6))/((5-(5/6))-(-5/6))</f>
        <v/>
      </c>
      <c r="L28" s="75">
        <f>E28-((E25+E26+E27)/3)</f>
        <v/>
      </c>
      <c r="M28" s="78">
        <f>0.5 + (L28 * 0.09)</f>
        <v/>
      </c>
      <c r="N28" s="75">
        <f>((H28-(G28-1))/H28)*(IF(I28&lt;&gt;0,(I28+H28)/H28,1))</f>
        <v/>
      </c>
      <c r="O28" s="79">
        <f>(N28-(1/6))/(10/6)</f>
        <v/>
      </c>
      <c r="P28" s="77" t="n">
        <v>9</v>
      </c>
      <c r="Q28" s="79">
        <f>IF(F28=1,(((1-((P28-3)/12))*0.5)+0.5),((P28/15)*0.5))</f>
        <v/>
      </c>
      <c r="R28" s="75" t="n">
        <v>1</v>
      </c>
      <c r="S28" s="77" t="n">
        <v>1</v>
      </c>
      <c r="T28" s="75" t="n">
        <v>1</v>
      </c>
      <c r="U28" s="79">
        <f>IFERROR(T28/S28, 1)</f>
        <v/>
      </c>
      <c r="V28" s="80" t="n">
        <v>0</v>
      </c>
      <c r="W28" s="81">
        <f>5*((O28*0.3)+(Q28*0.175)+(R28*0.175)+(U28*0.175)+((1-V28)*0.175))</f>
        <v/>
      </c>
    </row>
    <row r="29" ht="14.25" customHeight="1" s="52">
      <c r="A29" s="93" t="n">
        <v>46038</v>
      </c>
      <c r="B29" s="51" t="n">
        <v>8</v>
      </c>
      <c r="C29" s="51" t="inlineStr">
        <is>
          <t>Mateo</t>
        </is>
      </c>
      <c r="D29" s="51" t="inlineStr">
        <is>
          <t>Toph, The First Metalbender</t>
        </is>
      </c>
      <c r="E29" s="68" t="n">
        <v>3</v>
      </c>
      <c r="F29" s="69" t="n">
        <v>1</v>
      </c>
      <c r="G29" s="51" t="n">
        <v>1</v>
      </c>
      <c r="H29" s="51" t="n">
        <v>4</v>
      </c>
      <c r="I29" s="51" t="n">
        <v>3</v>
      </c>
      <c r="J29" s="51">
        <f>F29-(1/H29)</f>
        <v/>
      </c>
      <c r="K29" s="51">
        <f>((I29-((H29-1)/H29))-(-5/6))/((5-(5/6))-(-5/6))</f>
        <v/>
      </c>
      <c r="L29" s="51">
        <f>E29-((E30+E31+E32)/3)</f>
        <v/>
      </c>
      <c r="M29" s="70">
        <f>0.5 + (L29 * 0.09)</f>
        <v/>
      </c>
      <c r="N29" s="51">
        <f>((H29-(G29-1))/H29)*(IF(I29&lt;&gt;0,(I29+H29)/H29,1))</f>
        <v/>
      </c>
      <c r="O29" s="71">
        <f>(N29-(1/6))/(10/6)</f>
        <v/>
      </c>
      <c r="P29" s="69" t="n">
        <v>9</v>
      </c>
      <c r="Q29" s="71">
        <f>IF(F29=1,(((1-((P29-3)/12))*0.5)+0.5),((P29/15)*0.5))</f>
        <v/>
      </c>
      <c r="R29" s="51" t="n">
        <v>1</v>
      </c>
      <c r="S29" s="69" t="n">
        <v>0</v>
      </c>
      <c r="T29" s="51" t="n">
        <v>0</v>
      </c>
      <c r="U29" s="71">
        <f>IFERROR(T29/S29, 1)</f>
        <v/>
      </c>
      <c r="V29" s="72" t="n">
        <v>0</v>
      </c>
      <c r="W29" s="73">
        <f>5*((O29*0.3)+(Q29*0.175)+(R29*0.175)+(U29*0.175)+((1-V29)*0.175))</f>
        <v/>
      </c>
    </row>
    <row r="30" ht="14.25" customHeight="1" s="52">
      <c r="A30" s="93" t="n">
        <v>46038</v>
      </c>
      <c r="B30" s="51" t="n">
        <v>8</v>
      </c>
      <c r="C30" s="51" t="inlineStr">
        <is>
          <t>Ryan</t>
        </is>
      </c>
      <c r="D30" s="51" t="inlineStr">
        <is>
          <t>Fire Lord Zuko</t>
        </is>
      </c>
      <c r="E30" s="68" t="n">
        <v>3</v>
      </c>
      <c r="F30" s="69" t="n">
        <v>0</v>
      </c>
      <c r="G30" s="51" t="n">
        <v>2</v>
      </c>
      <c r="H30" s="51" t="n">
        <v>4</v>
      </c>
      <c r="I30" s="51" t="n">
        <v>0</v>
      </c>
      <c r="J30" s="51">
        <f>F30-(1/H30)</f>
        <v/>
      </c>
      <c r="K30" s="51">
        <f>((I30-((H30-1)/H30))-(-5/6))/((5-(5/6))-(-5/6))</f>
        <v/>
      </c>
      <c r="L30" s="51">
        <f>E30-((E29+E31+E32)/3)</f>
        <v/>
      </c>
      <c r="M30" s="70">
        <f>0.5 + (L30 * 0.09)</f>
        <v/>
      </c>
      <c r="N30" s="51">
        <f>((H30-(G30-1))/H30)*(IF(I30&lt;&gt;0,(I30+H30)/H30,1))</f>
        <v/>
      </c>
      <c r="O30" s="71">
        <f>(N30-(1/6))/(10/6)</f>
        <v/>
      </c>
      <c r="P30" s="69" t="n">
        <v>9</v>
      </c>
      <c r="Q30" s="71">
        <f>IF(F30=1,(((1-((P30-3)/12))*0.5)+0.5),((P30/15)*0.5))</f>
        <v/>
      </c>
      <c r="R30" s="51" t="n">
        <v>0</v>
      </c>
      <c r="S30" s="69" t="n">
        <v>0</v>
      </c>
      <c r="T30" s="51" t="n">
        <v>0</v>
      </c>
      <c r="U30" s="71">
        <f>IFERROR(T30/S30, 1)</f>
        <v/>
      </c>
      <c r="V30" s="72" t="n">
        <v>0</v>
      </c>
      <c r="W30" s="73">
        <f>5*((O30*0.3)+(Q30*0.175)+(R30*0.175)+(U30*0.175)+((1-V30)*0.175))</f>
        <v/>
      </c>
    </row>
    <row r="31" ht="14.25" customHeight="1" s="52">
      <c r="A31" s="93" t="n">
        <v>46038</v>
      </c>
      <c r="B31" s="51" t="n">
        <v>8</v>
      </c>
      <c r="C31" s="51" t="inlineStr">
        <is>
          <t>Becca</t>
        </is>
      </c>
      <c r="D31" s="51" t="inlineStr">
        <is>
          <t>Aminatou, Veil Piercer</t>
        </is>
      </c>
      <c r="E31" s="68" t="n">
        <v>4</v>
      </c>
      <c r="F31" s="69" t="n">
        <v>0</v>
      </c>
      <c r="G31" s="51" t="n">
        <v>3</v>
      </c>
      <c r="H31" s="51" t="n">
        <v>4</v>
      </c>
      <c r="I31" s="51" t="n">
        <v>0</v>
      </c>
      <c r="J31" s="51">
        <f>F31-(1/H31)</f>
        <v/>
      </c>
      <c r="K31" s="51">
        <f>((I31-((H31-1)/H31))-(-5/6))/((5-(5/6))-(-5/6))</f>
        <v/>
      </c>
      <c r="L31" s="51">
        <f>E31-((E29+E30+E32)/3)</f>
        <v/>
      </c>
      <c r="M31" s="70">
        <f>0.5 + (L31 * 0.09)</f>
        <v/>
      </c>
      <c r="N31" s="51">
        <f>((H31-(G31-1))/H31)*(IF(I31&lt;&gt;0,(I31+H31)/H31,1))</f>
        <v/>
      </c>
      <c r="O31" s="71">
        <f>(N31-(1/6))/(10/6)</f>
        <v/>
      </c>
      <c r="P31" s="69" t="n">
        <v>9</v>
      </c>
      <c r="Q31" s="71">
        <f>IF(F31=1,(((1-((P31-3)/12))*0.5)+0.5),((P31/15)*0.5))</f>
        <v/>
      </c>
      <c r="R31" s="51" t="n">
        <v>0</v>
      </c>
      <c r="S31" s="69" t="n">
        <v>0</v>
      </c>
      <c r="T31" s="51" t="n">
        <v>0</v>
      </c>
      <c r="U31" s="71">
        <f>IFERROR(T31/S31, 1)</f>
        <v/>
      </c>
      <c r="V31" s="72" t="n">
        <v>0</v>
      </c>
      <c r="W31" s="73">
        <f>5*((O31*0.3)+(Q31*0.175)+(R31*0.175)+(U31*0.175)+((1-V31)*0.175))</f>
        <v/>
      </c>
    </row>
    <row r="32" ht="14.25" customHeight="1" s="52">
      <c r="A32" s="92" t="n">
        <v>46038</v>
      </c>
      <c r="B32" s="75" t="n">
        <v>8</v>
      </c>
      <c r="C32" s="75" t="inlineStr">
        <is>
          <t>Manny</t>
        </is>
      </c>
      <c r="D32" s="75" t="inlineStr">
        <is>
          <t>Rashmi, Eternities Crafter</t>
        </is>
      </c>
      <c r="E32" s="76" t="n">
        <v>3</v>
      </c>
      <c r="F32" s="77" t="n">
        <v>0</v>
      </c>
      <c r="G32" s="75" t="n">
        <v>4</v>
      </c>
      <c r="H32" s="75" t="n">
        <v>4</v>
      </c>
      <c r="I32" s="75" t="n">
        <v>0</v>
      </c>
      <c r="J32" s="75">
        <f>F32-(1/H32)</f>
        <v/>
      </c>
      <c r="K32" s="75">
        <f>((I32-((H32-1)/H32))-(-5/6))/((5-(5/6))-(-5/6))</f>
        <v/>
      </c>
      <c r="L32" s="75">
        <f>E32-((E29+E30+E31)/3)</f>
        <v/>
      </c>
      <c r="M32" s="78">
        <f>0.5 + (L32 * 0.09)</f>
        <v/>
      </c>
      <c r="N32" s="75">
        <f>((H32-(G32-1))/H32)*(IF(I32&lt;&gt;0,(I32+H32)/H32,1))</f>
        <v/>
      </c>
      <c r="O32" s="79">
        <f>(N32-(1/6))/(10/6)</f>
        <v/>
      </c>
      <c r="P32" s="77" t="n">
        <v>9</v>
      </c>
      <c r="Q32" s="79">
        <f>IF(F32=1,(((1-((P32-3)/12))*0.5)+0.5),((P32/15)*0.5))</f>
        <v/>
      </c>
      <c r="R32" s="75" t="n">
        <v>0</v>
      </c>
      <c r="S32" s="77" t="n">
        <v>0</v>
      </c>
      <c r="T32" s="75" t="n">
        <v>0</v>
      </c>
      <c r="U32" s="79">
        <f>IFERROR(T32/S32, 1)</f>
        <v/>
      </c>
      <c r="V32" s="80" t="n">
        <v>0</v>
      </c>
      <c r="W32" s="81">
        <f>5*((O32*0.3)+(Q32*0.175)+(R32*0.175)+(U32*0.175)+((1-V32)*0.175))</f>
        <v/>
      </c>
    </row>
    <row r="33" ht="14.25" customHeight="1" s="52">
      <c r="A33" s="93" t="n">
        <v>46038</v>
      </c>
      <c r="B33" s="51" t="n">
        <v>9</v>
      </c>
      <c r="C33" s="51" t="inlineStr">
        <is>
          <t>Manny</t>
        </is>
      </c>
      <c r="D33" s="51" t="inlineStr">
        <is>
          <t>Rashmi, Eternities Crafter</t>
        </is>
      </c>
      <c r="E33" s="68" t="n">
        <v>3</v>
      </c>
      <c r="F33" s="69" t="n">
        <v>1</v>
      </c>
      <c r="G33" s="51" t="n">
        <v>1</v>
      </c>
      <c r="H33" s="51" t="n">
        <v>3</v>
      </c>
      <c r="I33" s="51" t="n">
        <v>1</v>
      </c>
      <c r="J33" s="51">
        <f>F33-(1/H33)</f>
        <v/>
      </c>
      <c r="K33" s="51">
        <f>((I33-((H33-1)/H33))-(-5/6))/((5-(5/6))-(-5/6))</f>
        <v/>
      </c>
      <c r="L33" s="68">
        <f>E33-((E34+E35)/2)</f>
        <v/>
      </c>
      <c r="M33" s="70">
        <f>0.5 + (L33 * 0.09)</f>
        <v/>
      </c>
      <c r="N33" s="51">
        <f>((H33-(G33-1))/H33)*(IF(I33&lt;&gt;0,(I33+H33)/H33,1))</f>
        <v/>
      </c>
      <c r="O33" s="71">
        <f>(N33-(1/6))/(10/6)</f>
        <v/>
      </c>
      <c r="P33" s="69" t="n">
        <v>12</v>
      </c>
      <c r="Q33" s="71">
        <f>IF(F33=1,(((1-((P33-3)/12))*0.5)+0.5),((P33/15)*0.5))</f>
        <v/>
      </c>
      <c r="R33" s="51" t="n">
        <v>1</v>
      </c>
      <c r="S33" s="69" t="n">
        <v>0</v>
      </c>
      <c r="T33" s="51" t="n">
        <v>0</v>
      </c>
      <c r="U33" s="71">
        <f>IFERROR(T33/S33, 1)</f>
        <v/>
      </c>
      <c r="V33" s="72" t="n">
        <v>0</v>
      </c>
      <c r="W33" s="73">
        <f>5*((O33*0.3)+(Q33*0.175)+(R33*0.175)+(U33*0.175)+((1-V33)*0.175))</f>
        <v/>
      </c>
    </row>
    <row r="34" ht="14.25" customHeight="1" s="52">
      <c r="A34" s="93" t="n">
        <v>46038</v>
      </c>
      <c r="B34" s="51" t="n">
        <v>9</v>
      </c>
      <c r="C34" s="51" t="inlineStr">
        <is>
          <t>Ryan</t>
        </is>
      </c>
      <c r="D34" s="51" t="inlineStr">
        <is>
          <t>Atraxa, Praetor's Voice</t>
        </is>
      </c>
      <c r="E34" s="68" t="n">
        <v>4</v>
      </c>
      <c r="F34" s="69" t="n">
        <v>0</v>
      </c>
      <c r="G34" s="51" t="n">
        <v>2</v>
      </c>
      <c r="H34" s="51" t="n">
        <v>3</v>
      </c>
      <c r="I34" s="51" t="n">
        <v>1</v>
      </c>
      <c r="J34" s="51">
        <f>F34-(1/H34)</f>
        <v/>
      </c>
      <c r="K34" s="51">
        <f>((I34-((H34-1)/H34))-(-5/6))/((5-(5/6))-(-5/6))</f>
        <v/>
      </c>
      <c r="L34" s="51">
        <f>E34-((E33+E35)/2)</f>
        <v/>
      </c>
      <c r="M34" s="70">
        <f>0.5 + (L34 * 0.09)</f>
        <v/>
      </c>
      <c r="N34" s="51">
        <f>((H34-(G34-1))/H34)*(IF(I34&lt;&gt;0,(I34+H34)/H34,1))</f>
        <v/>
      </c>
      <c r="O34" s="71">
        <f>(N34-(1/6))/(10/6)</f>
        <v/>
      </c>
      <c r="P34" s="69" t="n">
        <v>12</v>
      </c>
      <c r="Q34" s="71">
        <f>IF(F34=1,(((1-((P34-3)/12))*0.5)+0.5),((P34/15)*0.5))</f>
        <v/>
      </c>
      <c r="R34" s="51" t="n">
        <v>1</v>
      </c>
      <c r="S34" s="69" t="n">
        <v>2</v>
      </c>
      <c r="T34" s="51" t="n">
        <v>0</v>
      </c>
      <c r="U34" s="71">
        <f>IFERROR(T34/S34, 1)</f>
        <v/>
      </c>
      <c r="V34" s="72" t="n">
        <v>0</v>
      </c>
      <c r="W34" s="73">
        <f>5*((O34*0.3)+(Q34*0.175)+(R34*0.175)+(U34*0.175)+((1-V34)*0.175))</f>
        <v/>
      </c>
    </row>
    <row r="35" ht="14.25" customHeight="1" s="52">
      <c r="A35" s="92" t="n">
        <v>46038</v>
      </c>
      <c r="B35" s="75" t="n">
        <v>9</v>
      </c>
      <c r="C35" s="75" t="inlineStr">
        <is>
          <t>Mateo</t>
        </is>
      </c>
      <c r="D35" s="75" t="inlineStr">
        <is>
          <t>Zurgo Stormrender</t>
        </is>
      </c>
      <c r="E35" s="76" t="n">
        <v>2</v>
      </c>
      <c r="F35" s="77" t="n">
        <v>0</v>
      </c>
      <c r="G35" s="75" t="n">
        <v>3</v>
      </c>
      <c r="H35" s="75" t="n">
        <v>3</v>
      </c>
      <c r="I35" s="75" t="n">
        <v>0</v>
      </c>
      <c r="J35" s="75">
        <f>F35-(1/H35)</f>
        <v/>
      </c>
      <c r="K35" s="75">
        <f>((I35-((H35-1)/H35))-(-5/6))/((5-(5/6))-(-5/6))</f>
        <v/>
      </c>
      <c r="L35" s="75">
        <f>E35-((E33+E34)/2)</f>
        <v/>
      </c>
      <c r="M35" s="78">
        <f>0.5 + (L35 * 0.09)</f>
        <v/>
      </c>
      <c r="N35" s="75">
        <f>((H35-(G35-1))/H35)*(IF(I35&lt;&gt;0,(I35+H35)/H35,1))</f>
        <v/>
      </c>
      <c r="O35" s="79">
        <f>(N35-(1/6))/(10/6)</f>
        <v/>
      </c>
      <c r="P35" s="77" t="n">
        <v>9</v>
      </c>
      <c r="Q35" s="79">
        <f>IF(F35=1,(((1-((P35-3)/12))*0.5)+0.5),((P35/15)*0.5))</f>
        <v/>
      </c>
      <c r="R35" s="75" t="n">
        <v>1</v>
      </c>
      <c r="S35" s="77" t="n">
        <v>1</v>
      </c>
      <c r="T35" s="75" t="n">
        <v>0</v>
      </c>
      <c r="U35" s="79">
        <f>IFERROR(T35/S35, 1)</f>
        <v/>
      </c>
      <c r="V35" s="80" t="n">
        <v>0</v>
      </c>
      <c r="W35" s="81">
        <f>5*((O35*0.3)+(Q35*0.175)+(R35*0.175)+(U35*0.175)+((1-V35)*0.175))</f>
        <v/>
      </c>
    </row>
    <row r="36" ht="14.25" customHeight="1" s="52">
      <c r="A36" s="93" t="n">
        <v>46039</v>
      </c>
      <c r="B36" s="51" t="n">
        <v>10</v>
      </c>
      <c r="C36" s="51" t="inlineStr">
        <is>
          <t>Ryan</t>
        </is>
      </c>
      <c r="D36" s="51" t="inlineStr">
        <is>
          <t>Fire Lord Zuko</t>
        </is>
      </c>
      <c r="E36" s="68" t="n">
        <v>3</v>
      </c>
      <c r="F36" s="69" t="n">
        <v>1</v>
      </c>
      <c r="G36" s="51" t="n">
        <v>1</v>
      </c>
      <c r="H36" s="51" t="n">
        <v>3</v>
      </c>
      <c r="I36" s="51" t="n">
        <v>2</v>
      </c>
      <c r="J36" s="51">
        <f>F36-(1/H36)</f>
        <v/>
      </c>
      <c r="K36" s="51">
        <f>((I36-((H36-1)/H36))-(-5/6))/((5-(5/6))-(-5/6))</f>
        <v/>
      </c>
      <c r="L36" s="68">
        <f>E36-((E37+E38)/2)</f>
        <v/>
      </c>
      <c r="M36" s="70">
        <f>0.5 + (L36 * 0.09)</f>
        <v/>
      </c>
      <c r="N36" s="51">
        <f>((H36-(G36-1))/H36)*(IF(I36&lt;&gt;0,(I36+H36)/H36,1))</f>
        <v/>
      </c>
      <c r="O36" s="71">
        <f>(N36-(1/6))/(10/6)</f>
        <v/>
      </c>
      <c r="P36" s="69" t="n">
        <v>7</v>
      </c>
      <c r="Q36" s="71">
        <f>IF(F36=1,(((1-((P36-3)/12))*0.5)+0.5),((P36/15)*0.5))</f>
        <v/>
      </c>
      <c r="R36" s="51" t="n">
        <v>1</v>
      </c>
      <c r="S36" s="69" t="n">
        <v>0</v>
      </c>
      <c r="T36" s="51" t="n">
        <v>0</v>
      </c>
      <c r="U36" s="71">
        <f>IFERROR(T36/S36, 1)</f>
        <v/>
      </c>
      <c r="V36" s="72" t="n">
        <v>0</v>
      </c>
      <c r="W36" s="73">
        <f>5*((O36*0.3)+(Q36*0.175)+(R36*0.175)+(U36*0.175)+((1-V36)*0.175))</f>
        <v/>
      </c>
    </row>
    <row r="37" ht="14.25" customHeight="1" s="52">
      <c r="A37" s="93" t="n">
        <v>46039</v>
      </c>
      <c r="B37" s="51" t="n">
        <v>10</v>
      </c>
      <c r="C37" s="51" t="inlineStr">
        <is>
          <t>Michelle</t>
        </is>
      </c>
      <c r="D37" s="51" t="inlineStr">
        <is>
          <t>The Wise Mothman</t>
        </is>
      </c>
      <c r="E37" s="68" t="n">
        <v>2</v>
      </c>
      <c r="F37" s="69" t="n">
        <v>0</v>
      </c>
      <c r="G37" s="51" t="n">
        <v>2</v>
      </c>
      <c r="H37" s="51" t="n">
        <v>3</v>
      </c>
      <c r="I37" s="51" t="n">
        <v>0</v>
      </c>
      <c r="J37" s="51">
        <f>F37-(1/H37)</f>
        <v/>
      </c>
      <c r="K37" s="51">
        <f>((I37-((H37-1)/H37))-(-5/6))/((5-(5/6))-(-5/6))</f>
        <v/>
      </c>
      <c r="L37" s="51">
        <f>E37-((E36+E38)/2)</f>
        <v/>
      </c>
      <c r="M37" s="70">
        <f>0.5 + (L37 * 0.09)</f>
        <v/>
      </c>
      <c r="N37" s="51">
        <f>((H37-(G37-1))/H37)*(IF(I37&lt;&gt;0,(I37+H37)/H37,1))</f>
        <v/>
      </c>
      <c r="O37" s="71">
        <f>(N37-(1/6))/(10/6)</f>
        <v/>
      </c>
      <c r="P37" s="69" t="n">
        <v>7</v>
      </c>
      <c r="Q37" s="71">
        <f>IF(F37=1,(((1-((P37-3)/12))*0.5)+0.5),((P37/15)*0.5))</f>
        <v/>
      </c>
      <c r="R37" s="51" t="n">
        <v>0</v>
      </c>
      <c r="S37" s="69" t="n">
        <v>0</v>
      </c>
      <c r="T37" s="51" t="n">
        <v>0</v>
      </c>
      <c r="U37" s="71">
        <f>IFERROR(T37/S37, 1)</f>
        <v/>
      </c>
      <c r="V37" s="72" t="n">
        <v>0</v>
      </c>
      <c r="W37" s="73">
        <f>5*((O37*0.3)+(Q37*0.175)+(R37*0.175)+(U37*0.175)+((1-V37)*0.175))</f>
        <v/>
      </c>
    </row>
    <row r="38" ht="14.25" customHeight="1" s="52">
      <c r="A38" s="92" t="n">
        <v>46039</v>
      </c>
      <c r="B38" s="75" t="n">
        <v>10</v>
      </c>
      <c r="C38" s="75" t="inlineStr">
        <is>
          <t>Mateo</t>
        </is>
      </c>
      <c r="D38" s="75" t="inlineStr">
        <is>
          <t>Teval, the Balanced Scale</t>
        </is>
      </c>
      <c r="E38" s="76" t="n">
        <v>2</v>
      </c>
      <c r="F38" s="77" t="n">
        <v>0</v>
      </c>
      <c r="G38" s="75" t="n">
        <v>2</v>
      </c>
      <c r="H38" s="75" t="n">
        <v>3</v>
      </c>
      <c r="I38" s="75" t="n">
        <v>0</v>
      </c>
      <c r="J38" s="75">
        <f>F38-(1/H38)</f>
        <v/>
      </c>
      <c r="K38" s="75">
        <f>((I38-((H38-1)/H38))-(-5/6))/((5-(5/6))-(-5/6))</f>
        <v/>
      </c>
      <c r="L38" s="75">
        <f>E38-((E36+E37)/2)</f>
        <v/>
      </c>
      <c r="M38" s="78">
        <f>0.5 + (L38 * 0.09)</f>
        <v/>
      </c>
      <c r="N38" s="75">
        <f>((H38-(G38-1))/H38)*(IF(I38&lt;&gt;0,(I38+H38)/H38,1))</f>
        <v/>
      </c>
      <c r="O38" s="79">
        <f>(N38-(1/6))/(10/6)</f>
        <v/>
      </c>
      <c r="P38" s="77" t="n">
        <v>7</v>
      </c>
      <c r="Q38" s="79">
        <f>IF(F38=1,(((1-((P38-3)/12))*0.5)+0.5),((P38/15)*0.5))</f>
        <v/>
      </c>
      <c r="R38" s="75" t="n">
        <v>0</v>
      </c>
      <c r="S38" s="77" t="n">
        <v>0</v>
      </c>
      <c r="T38" s="75" t="n">
        <v>0</v>
      </c>
      <c r="U38" s="79">
        <f>IFERROR(T38/S38, 1)</f>
        <v/>
      </c>
      <c r="V38" s="80" t="n">
        <v>0</v>
      </c>
      <c r="W38" s="81">
        <f>5*((O38*0.3)+(Q38*0.175)+(R38*0.175)+(U38*0.175)+((1-V38)*0.175))</f>
        <v/>
      </c>
    </row>
    <row r="39" ht="14.25" customHeight="1" s="52">
      <c r="A39" s="93" t="n">
        <v>46041</v>
      </c>
      <c r="B39" s="51" t="n">
        <v>11</v>
      </c>
      <c r="C39" s="51" t="inlineStr">
        <is>
          <t>Becca</t>
        </is>
      </c>
      <c r="D39" s="51" t="inlineStr">
        <is>
          <t>Ms. Bumbleflower</t>
        </is>
      </c>
      <c r="E39" s="68" t="n">
        <v>2</v>
      </c>
      <c r="F39" s="69" t="n">
        <v>1</v>
      </c>
      <c r="G39" s="51" t="n">
        <v>1</v>
      </c>
      <c r="H39" s="51" t="n">
        <v>4</v>
      </c>
      <c r="I39" s="51" t="n">
        <v>1</v>
      </c>
      <c r="J39" s="51">
        <f>F39-(1/H39)</f>
        <v/>
      </c>
      <c r="K39" s="51">
        <f>((I39-((H39-1)/H39))-(-5/6))/((5-(5/6))-(-5/6))</f>
        <v/>
      </c>
      <c r="L39" s="51">
        <f>E39-((E40+E41+E42)/3)</f>
        <v/>
      </c>
      <c r="M39" s="70">
        <f>0.5 + (L39 * 0.09)</f>
        <v/>
      </c>
      <c r="N39" s="51">
        <f>((H39-(G39-1))/H39)*(IF(I39&lt;&gt;0,(I39+H39)/H39,1))</f>
        <v/>
      </c>
      <c r="O39" s="71">
        <f>(N39-(1/6))/(10/6)</f>
        <v/>
      </c>
      <c r="P39" s="69" t="n">
        <v>11</v>
      </c>
      <c r="Q39" s="71">
        <f>IF(F39=1,(((1-((P39-3)/12))*0.5)+0.5),((P39/15)*0.5))</f>
        <v/>
      </c>
      <c r="R39" s="51" t="n">
        <v>1</v>
      </c>
      <c r="S39" s="69" t="n">
        <v>0</v>
      </c>
      <c r="T39" s="51" t="n">
        <v>0</v>
      </c>
      <c r="U39" s="71">
        <f>IFERROR(T39/S39, 1)</f>
        <v/>
      </c>
      <c r="V39" s="72" t="n">
        <v>0</v>
      </c>
      <c r="W39" s="73">
        <f>5*((O39*0.3)+(Q39*0.175)+(R39*0.175)+(U39*0.175)+((1-V39)*0.175))</f>
        <v/>
      </c>
    </row>
    <row r="40" ht="14.25" customHeight="1" s="52">
      <c r="A40" s="93" t="n">
        <v>46041</v>
      </c>
      <c r="B40" s="51" t="n">
        <v>11</v>
      </c>
      <c r="C40" s="51" t="inlineStr">
        <is>
          <t>Ryan</t>
        </is>
      </c>
      <c r="D40" s="51" t="inlineStr">
        <is>
          <t>Davros, Dalek Creator</t>
        </is>
      </c>
      <c r="E40" s="68" t="n">
        <v>2</v>
      </c>
      <c r="F40" s="69" t="n">
        <v>0</v>
      </c>
      <c r="G40" s="51" t="n">
        <v>2</v>
      </c>
      <c r="H40" s="51" t="n">
        <v>4</v>
      </c>
      <c r="I40" s="51" t="n">
        <v>1</v>
      </c>
      <c r="J40" s="51">
        <f>F40-(1/H40)</f>
        <v/>
      </c>
      <c r="K40" s="51">
        <f>((I40-((H40-1)/H40))-(-5/6))/((5-(5/6))-(-5/6))</f>
        <v/>
      </c>
      <c r="L40" s="51">
        <f>E40-((E39+E41+E42)/3)</f>
        <v/>
      </c>
      <c r="M40" s="70">
        <f>0.5 + (L40 * 0.09)</f>
        <v/>
      </c>
      <c r="N40" s="51">
        <f>((H40-(G40-1))/H40)*(IF(I40&lt;&gt;0,(I40+H40)/H40,1))</f>
        <v/>
      </c>
      <c r="O40" s="71">
        <f>(N40-(1/6))/(10/6)</f>
        <v/>
      </c>
      <c r="P40" s="69" t="n">
        <v>11</v>
      </c>
      <c r="Q40" s="71">
        <f>IF(F40=1,(((1-((P40-3)/12))*0.5)+0.5),((P40/15)*0.5))</f>
        <v/>
      </c>
      <c r="R40" s="51" t="n">
        <v>1</v>
      </c>
      <c r="S40" s="69" t="n">
        <v>1</v>
      </c>
      <c r="T40" s="51" t="n">
        <v>1</v>
      </c>
      <c r="U40" s="71">
        <f>IFERROR(T40/S40, 1)</f>
        <v/>
      </c>
      <c r="V40" s="72" t="n">
        <v>0</v>
      </c>
      <c r="W40" s="73">
        <f>5*((O40*0.3)+(Q40*0.175)+(R40*0.175)+(U40*0.175)+((1-V40)*0.175))</f>
        <v/>
      </c>
    </row>
    <row r="41" ht="14.25" customHeight="1" s="52">
      <c r="A41" s="93" t="n">
        <v>46041</v>
      </c>
      <c r="B41" s="51" t="n">
        <v>11</v>
      </c>
      <c r="C41" s="51" t="inlineStr">
        <is>
          <t>Mateo</t>
        </is>
      </c>
      <c r="D41" s="51" t="inlineStr">
        <is>
          <t>Toph, The First Metalbender</t>
        </is>
      </c>
      <c r="E41" s="68" t="n">
        <v>3</v>
      </c>
      <c r="F41" s="69" t="n">
        <v>0</v>
      </c>
      <c r="G41" s="51" t="n">
        <v>3</v>
      </c>
      <c r="H41" s="51" t="n">
        <v>4</v>
      </c>
      <c r="I41" s="51" t="n">
        <v>1</v>
      </c>
      <c r="J41" s="51">
        <f>F41-(1/H41)</f>
        <v/>
      </c>
      <c r="K41" s="51">
        <f>((I41-((H41-1)/H41))-(-5/6))/((5-(5/6))-(-5/6))</f>
        <v/>
      </c>
      <c r="L41" s="51">
        <f>E41-((E39+E40+E42)/3)</f>
        <v/>
      </c>
      <c r="M41" s="70">
        <f>0.5 + (L41 * 0.09)</f>
        <v/>
      </c>
      <c r="N41" s="51">
        <f>((H41-(G41-1))/H41)*(IF(I41&lt;&gt;0,(I41+H41)/H41,1))</f>
        <v/>
      </c>
      <c r="O41" s="71">
        <f>(N41-(1/6))/(10/6)</f>
        <v/>
      </c>
      <c r="P41" s="69" t="n">
        <v>10</v>
      </c>
      <c r="Q41" s="71">
        <f>IF(F41=1,(((1-((P41-3)/12))*0.5)+0.5),((P41/15)*0.5))</f>
        <v/>
      </c>
      <c r="R41" s="51" t="n">
        <v>1</v>
      </c>
      <c r="S41" s="69" t="n">
        <v>1</v>
      </c>
      <c r="T41" s="51" t="n">
        <v>1</v>
      </c>
      <c r="U41" s="71">
        <f>IFERROR(T41/S41, 1)</f>
        <v/>
      </c>
      <c r="V41" s="72" t="n">
        <v>0</v>
      </c>
      <c r="W41" s="73">
        <f>5*((O41*0.3)+(Q41*0.175)+(R41*0.175)+(U41*0.175)+((1-V41)*0.175))</f>
        <v/>
      </c>
    </row>
    <row r="42" ht="14.25" customHeight="1" s="52">
      <c r="A42" s="92" t="n">
        <v>46041</v>
      </c>
      <c r="B42" s="75" t="n">
        <v>11</v>
      </c>
      <c r="C42" s="75" t="inlineStr">
        <is>
          <t>Manny</t>
        </is>
      </c>
      <c r="D42" s="75" t="inlineStr">
        <is>
          <t>Rashmi, Eternities Crafter</t>
        </is>
      </c>
      <c r="E42" s="76" t="n">
        <v>3</v>
      </c>
      <c r="F42" s="77" t="n">
        <v>0</v>
      </c>
      <c r="G42" s="75" t="n">
        <v>4</v>
      </c>
      <c r="H42" s="75" t="n">
        <v>4</v>
      </c>
      <c r="I42" s="75" t="n">
        <v>0</v>
      </c>
      <c r="J42" s="75">
        <f>F42-(1/H42)</f>
        <v/>
      </c>
      <c r="K42" s="75">
        <f>((I42-((H42-1)/H42))-(-5/6))/((5-(5/6))-(-5/6))</f>
        <v/>
      </c>
      <c r="L42" s="75">
        <f>E42-((E39+E40+E41)/3)</f>
        <v/>
      </c>
      <c r="M42" s="78">
        <f>0.5 + (L42 * 0.09)</f>
        <v/>
      </c>
      <c r="N42" s="75">
        <f>((H42-(G42-1))/H42)*(IF(I42&lt;&gt;0,(I42+H42)/H42,1))</f>
        <v/>
      </c>
      <c r="O42" s="79">
        <f>(N42-(1/6))/(10/6)</f>
        <v/>
      </c>
      <c r="P42" s="77" t="n">
        <v>9</v>
      </c>
      <c r="Q42" s="79">
        <f>IF(F42=1,(((1-((P42-3)/12))*0.5)+0.5),((P42/15)*0.5))</f>
        <v/>
      </c>
      <c r="R42" s="75" t="n">
        <v>1</v>
      </c>
      <c r="S42" s="77" t="n">
        <v>0</v>
      </c>
      <c r="T42" s="75" t="n">
        <v>0</v>
      </c>
      <c r="U42" s="79">
        <f>IFERROR(T42/S42, 1)</f>
        <v/>
      </c>
      <c r="V42" s="80" t="n">
        <v>0</v>
      </c>
      <c r="W42" s="81">
        <f>5*((O42*0.3)+(Q42*0.175)+(R42*0.175)+(U42*0.175)+((1-V42)*0.175))</f>
        <v/>
      </c>
    </row>
    <row r="43" ht="14.25" customHeight="1" s="52">
      <c r="A43" s="93" t="n">
        <v>46045</v>
      </c>
      <c r="B43" s="51" t="n">
        <v>12</v>
      </c>
      <c r="C43" s="51" t="inlineStr">
        <is>
          <t>Ryan</t>
        </is>
      </c>
      <c r="D43" s="51" t="inlineStr">
        <is>
          <t>Cloud, Ex-SOLDIER</t>
        </is>
      </c>
      <c r="E43" s="68" t="n">
        <v>2</v>
      </c>
      <c r="F43" s="69" t="n">
        <v>1</v>
      </c>
      <c r="G43" s="51" t="n">
        <v>1</v>
      </c>
      <c r="H43" s="51" t="n">
        <v>3</v>
      </c>
      <c r="I43" s="51" t="n">
        <v>2</v>
      </c>
      <c r="J43" s="51">
        <f>F43-(1/H43)</f>
        <v/>
      </c>
      <c r="K43" s="51">
        <f>((I43-((H43-1)/H43))-(-5/6))/((5-(5/6))-(-5/6))</f>
        <v/>
      </c>
      <c r="L43" s="68">
        <f>E43-((E44+E45)/2)</f>
        <v/>
      </c>
      <c r="M43" s="70">
        <f>0.5 + (L43 * 0.09)</f>
        <v/>
      </c>
      <c r="N43" s="51">
        <f>((H43-(G43-1))/H43)*(IF(I43&lt;&gt;0,(I43+H43)/H43,1))</f>
        <v/>
      </c>
      <c r="O43" s="71">
        <f>(N43-(1/6))/(10/6)</f>
        <v/>
      </c>
      <c r="P43" s="69" t="n">
        <v>10</v>
      </c>
      <c r="Q43" s="71">
        <f>IF(F43=1,(((1-((P43-3)/12))*0.5)+0.5),((P43/15)*0.5))</f>
        <v/>
      </c>
      <c r="R43" s="51" t="n">
        <v>1</v>
      </c>
      <c r="S43" s="69" t="n">
        <v>1</v>
      </c>
      <c r="T43" s="51" t="n">
        <v>1</v>
      </c>
      <c r="U43" s="71">
        <f>IFERROR(T43/S43, 1)</f>
        <v/>
      </c>
      <c r="V43" s="72" t="n">
        <v>0</v>
      </c>
      <c r="W43" s="73">
        <f>5*((O43*0.3)+(Q43*0.175)+(R43*0.175)+(U43*0.175)+((1-V43)*0.175))</f>
        <v/>
      </c>
    </row>
    <row r="44" ht="14.25" customHeight="1" s="52">
      <c r="A44" s="93" t="n">
        <v>46045</v>
      </c>
      <c r="B44" s="51" t="n">
        <v>12</v>
      </c>
      <c r="C44" s="51" t="inlineStr">
        <is>
          <t>Joseph</t>
        </is>
      </c>
      <c r="D44" s="51" t="inlineStr">
        <is>
          <t>Kilo, Apogee Mind</t>
        </is>
      </c>
      <c r="E44" s="68" t="n">
        <v>2</v>
      </c>
      <c r="F44" s="69" t="n">
        <v>0</v>
      </c>
      <c r="G44" s="51" t="n">
        <v>2</v>
      </c>
      <c r="H44" s="51" t="n">
        <v>3</v>
      </c>
      <c r="I44" s="51" t="n">
        <v>0</v>
      </c>
      <c r="J44" s="51">
        <f>F44-(1/H44)</f>
        <v/>
      </c>
      <c r="K44" s="51">
        <f>((I44-((H44-1)/H44))-(-5/6))/((5-(5/6))-(-5/6))</f>
        <v/>
      </c>
      <c r="L44" s="51">
        <f>E44-((E43+E45)/2)</f>
        <v/>
      </c>
      <c r="M44" s="70">
        <f>0.5 + (L44 * 0.09)</f>
        <v/>
      </c>
      <c r="N44" s="51">
        <f>((H44-(G44-1))/H44)*(IF(I44&lt;&gt;0,(I44+H44)/H44,1))</f>
        <v/>
      </c>
      <c r="O44" s="71">
        <f>(N44-(1/6))/(10/6)</f>
        <v/>
      </c>
      <c r="P44" s="69" t="n">
        <v>10</v>
      </c>
      <c r="Q44" s="71">
        <f>IF(F44=1,(((1-((P44-3)/12))*0.5)+0.5),((P44/15)*0.5))</f>
        <v/>
      </c>
      <c r="R44" s="51" t="n">
        <v>1</v>
      </c>
      <c r="S44" s="69" t="n">
        <v>0</v>
      </c>
      <c r="T44" s="51" t="n">
        <v>0</v>
      </c>
      <c r="U44" s="71">
        <f>IFERROR(T44/S44, 1)</f>
        <v/>
      </c>
      <c r="V44" s="72" t="n">
        <v>0</v>
      </c>
      <c r="W44" s="73">
        <f>5*((O44*0.3)+(Q44*0.175)+(R44*0.175)+(U44*0.175)+((1-V44)*0.175))</f>
        <v/>
      </c>
    </row>
    <row r="45" ht="14.25" customHeight="1" s="52">
      <c r="A45" s="92" t="n">
        <v>46045</v>
      </c>
      <c r="B45" s="75" t="n">
        <v>12</v>
      </c>
      <c r="C45" s="75" t="inlineStr">
        <is>
          <t>Manny</t>
        </is>
      </c>
      <c r="D45" s="75" t="inlineStr">
        <is>
          <t>Frodo, Adventurous Hobbit/Sam, Loyal Attendant</t>
        </is>
      </c>
      <c r="E45" s="76" t="n">
        <v>4</v>
      </c>
      <c r="F45" s="77" t="n">
        <v>0</v>
      </c>
      <c r="G45" s="75" t="n">
        <v>3</v>
      </c>
      <c r="H45" s="75" t="n">
        <v>3</v>
      </c>
      <c r="I45" s="75" t="n">
        <v>0</v>
      </c>
      <c r="J45" s="75">
        <f>F45-(1/H45)</f>
        <v/>
      </c>
      <c r="K45" s="75">
        <f>((I45-((H45-1)/H45))-(-5/6))/((5-(5/6))-(-5/6))</f>
        <v/>
      </c>
      <c r="L45" s="75">
        <f>E45-((E43+E44)/2)</f>
        <v/>
      </c>
      <c r="M45" s="78">
        <f>0.5 + (L45 * 0.09)</f>
        <v/>
      </c>
      <c r="N45" s="75">
        <f>((H45-(G45-1))/H45)*(IF(I45&lt;&gt;0,(I45+H45)/H45,1))</f>
        <v/>
      </c>
      <c r="O45" s="79">
        <f>(N45-(1/6))/(10/6)</f>
        <v/>
      </c>
      <c r="P45" s="77" t="n">
        <v>9</v>
      </c>
      <c r="Q45" s="79">
        <f>IF(F45=1,(((1-((P45-3)/12))*0.5)+0.5),((P45/15)*0.5))</f>
        <v/>
      </c>
      <c r="R45" s="75" t="n">
        <v>1</v>
      </c>
      <c r="S45" s="77" t="n">
        <v>0</v>
      </c>
      <c r="T45" s="75" t="n">
        <v>0</v>
      </c>
      <c r="U45" s="79">
        <f>IFERROR(T45/S45, 1)</f>
        <v/>
      </c>
      <c r="V45" s="80" t="n">
        <v>0</v>
      </c>
      <c r="W45" s="81">
        <f>5*((O45*0.3)+(Q45*0.175)+(R45*0.175)+(U45*0.175)+((1-V45)*0.175))</f>
        <v/>
      </c>
    </row>
    <row r="46" ht="14.25" customHeight="1" s="52">
      <c r="A46" s="93" t="n">
        <v>46045</v>
      </c>
      <c r="B46" s="51" t="n">
        <v>13</v>
      </c>
      <c r="C46" s="51" t="inlineStr">
        <is>
          <t>Mateo</t>
        </is>
      </c>
      <c r="D46" s="51" t="inlineStr">
        <is>
          <t>Toph, The First Metalbender</t>
        </is>
      </c>
      <c r="E46" s="68" t="n">
        <v>3</v>
      </c>
      <c r="F46" s="69" t="n">
        <v>1</v>
      </c>
      <c r="G46" s="51" t="n">
        <v>1</v>
      </c>
      <c r="H46" s="51" t="n">
        <v>4</v>
      </c>
      <c r="I46" s="51" t="n">
        <v>2</v>
      </c>
      <c r="J46" s="51">
        <f>F46-(1/H46)</f>
        <v/>
      </c>
      <c r="K46" s="51">
        <f>((I46-((H46-1)/H46))-(-5/6))/((5-(5/6))-(-5/6))</f>
        <v/>
      </c>
      <c r="L46" s="51">
        <f>E46-((E47+E48+E49)/3)</f>
        <v/>
      </c>
      <c r="M46" s="70">
        <f>0.5 + (L46 * 0.09)</f>
        <v/>
      </c>
      <c r="N46" s="51">
        <f>((H46-(G46-1))/H46)*(IF(I46&lt;&gt;0,(I46+H46)/H46,1))</f>
        <v/>
      </c>
      <c r="O46" s="71">
        <f>(N46-(1/6))/(10/6)</f>
        <v/>
      </c>
      <c r="P46" s="69" t="n">
        <v>13</v>
      </c>
      <c r="Q46" s="71">
        <f>IF(F46=1,(((1-((P46-3)/12))*0.5)+0.5),((P46/15)*0.5))</f>
        <v/>
      </c>
      <c r="R46" s="51" t="n">
        <v>1</v>
      </c>
      <c r="S46" s="69" t="n">
        <v>0</v>
      </c>
      <c r="T46" s="51" t="n">
        <v>0</v>
      </c>
      <c r="U46" s="71">
        <f>IFERROR(T46/S46, 1)</f>
        <v/>
      </c>
      <c r="V46" s="72" t="n">
        <v>0</v>
      </c>
      <c r="W46" s="73">
        <f>5*((O46*0.3)+(Q46*0.175)+(R46*0.175)+(U46*0.175)+((1-V46)*0.175))</f>
        <v/>
      </c>
    </row>
    <row r="47" ht="14.25" customHeight="1" s="52">
      <c r="A47" s="93" t="n">
        <v>46045</v>
      </c>
      <c r="B47" s="51" t="n">
        <v>13</v>
      </c>
      <c r="C47" s="51" t="inlineStr">
        <is>
          <t>Ryan</t>
        </is>
      </c>
      <c r="D47" s="51" t="inlineStr">
        <is>
          <t>Preston Garvey, Minuteman</t>
        </is>
      </c>
      <c r="E47" s="68" t="n">
        <v>2</v>
      </c>
      <c r="F47" s="69" t="n">
        <v>0</v>
      </c>
      <c r="G47" s="51" t="n">
        <v>2</v>
      </c>
      <c r="H47" s="51" t="n">
        <v>4</v>
      </c>
      <c r="I47" s="51" t="n">
        <v>0</v>
      </c>
      <c r="J47" s="51">
        <f>F47-(1/H47)</f>
        <v/>
      </c>
      <c r="K47" s="51">
        <f>((I47-((H47-1)/H47))-(-5/6))/((5-(5/6))-(-5/6))</f>
        <v/>
      </c>
      <c r="L47" s="51">
        <f>E47-((E46+E48+E49)/3)</f>
        <v/>
      </c>
      <c r="M47" s="70">
        <f>0.5 + (L47 * 0.09)</f>
        <v/>
      </c>
      <c r="N47" s="51">
        <f>((H47-(G47-1))/H47)*(IF(I47&lt;&gt;0,(I47+H47)/H47,1))</f>
        <v/>
      </c>
      <c r="O47" s="71">
        <f>(N47-(1/6))/(10/6)</f>
        <v/>
      </c>
      <c r="P47" s="69" t="n">
        <v>13</v>
      </c>
      <c r="Q47" s="71">
        <f>IF(F47=1,(((1-((P47-3)/12))*0.5)+0.5),((P47/15)*0.5))</f>
        <v/>
      </c>
      <c r="R47" s="51" t="n">
        <v>0</v>
      </c>
      <c r="S47" s="69" t="n">
        <v>2</v>
      </c>
      <c r="T47" s="51" t="n">
        <v>1</v>
      </c>
      <c r="U47" s="71">
        <f>IFERROR(T47/S47, 1)</f>
        <v/>
      </c>
      <c r="V47" s="72" t="n">
        <v>0</v>
      </c>
      <c r="W47" s="73">
        <f>5*((O47*0.3)+(Q47*0.175)+(R47*0.175)+(U47*0.175)+((1-V47)*0.175))</f>
        <v/>
      </c>
    </row>
    <row r="48" ht="14.25" customHeight="1" s="52">
      <c r="A48" s="93" t="n">
        <v>46045</v>
      </c>
      <c r="B48" s="51" t="n">
        <v>13</v>
      </c>
      <c r="C48" s="51" t="inlineStr">
        <is>
          <t>Manny</t>
        </is>
      </c>
      <c r="D48" s="51" t="inlineStr">
        <is>
          <t>Aragorn, the Uniter</t>
        </is>
      </c>
      <c r="E48" s="68" t="n">
        <v>3</v>
      </c>
      <c r="F48" s="69" t="n">
        <v>0</v>
      </c>
      <c r="G48" s="51" t="n">
        <v>3</v>
      </c>
      <c r="H48" s="51" t="n">
        <v>4</v>
      </c>
      <c r="I48" s="51" t="n">
        <v>1</v>
      </c>
      <c r="J48" s="51">
        <f>F48-(1/H48)</f>
        <v/>
      </c>
      <c r="K48" s="51">
        <f>((I48-((H48-1)/H48))-(-5/6))/((5-(5/6))-(-5/6))</f>
        <v/>
      </c>
      <c r="L48" s="51">
        <f>E48-((E46+E47+E49)/3)</f>
        <v/>
      </c>
      <c r="M48" s="70">
        <f>0.5 + (L48 * 0.09)</f>
        <v/>
      </c>
      <c r="N48" s="51">
        <f>((H48-(G48-1))/H48)*(IF(I48&lt;&gt;0,(I48+H48)/H48,1))</f>
        <v/>
      </c>
      <c r="O48" s="71">
        <f>(N48-(1/6))/(10/6)</f>
        <v/>
      </c>
      <c r="P48" s="69" t="n">
        <v>13</v>
      </c>
      <c r="Q48" s="71">
        <f>IF(F48=1,(((1-((P48-3)/12))*0.5)+0.5),((P48/15)*0.5))</f>
        <v/>
      </c>
      <c r="R48" s="51" t="n">
        <v>1</v>
      </c>
      <c r="S48" s="69" t="n">
        <v>1</v>
      </c>
      <c r="T48" s="51" t="n">
        <v>1</v>
      </c>
      <c r="U48" s="71">
        <f>IFERROR(T48/S48, 1)</f>
        <v/>
      </c>
      <c r="V48" s="72" t="n">
        <v>0</v>
      </c>
      <c r="W48" s="73">
        <f>5*((O48*0.3)+(Q48*0.175)+(R48*0.175)+(U48*0.175)+((1-V48)*0.175))</f>
        <v/>
      </c>
    </row>
    <row r="49" ht="14.25" customHeight="1" s="52">
      <c r="A49" s="92" t="n">
        <v>46045</v>
      </c>
      <c r="B49" s="75" t="n">
        <v>13</v>
      </c>
      <c r="C49" s="75" t="inlineStr">
        <is>
          <t>Becca</t>
        </is>
      </c>
      <c r="D49" s="75" t="inlineStr">
        <is>
          <t>Aminatou, Veil Piercer</t>
        </is>
      </c>
      <c r="E49" s="76" t="n">
        <v>4</v>
      </c>
      <c r="F49" s="77" t="n">
        <v>0</v>
      </c>
      <c r="G49" s="75" t="n">
        <v>4</v>
      </c>
      <c r="H49" s="75" t="n">
        <v>4</v>
      </c>
      <c r="I49" s="75" t="n">
        <v>0</v>
      </c>
      <c r="J49" s="75">
        <f>F49-(1/H49)</f>
        <v/>
      </c>
      <c r="K49" s="75">
        <f>((I49-((H49-1)/H49))-(-5/6))/((5-(5/6))-(-5/6))</f>
        <v/>
      </c>
      <c r="L49" s="75">
        <f>E49-((E46+E47+E48)/3)</f>
        <v/>
      </c>
      <c r="M49" s="78">
        <f>0.5 + (L49 * 0.09)</f>
        <v/>
      </c>
      <c r="N49" s="75">
        <f>((H49-(G49-1))/H49)*(IF(I49&lt;&gt;0,(I49+H49)/H49,1))</f>
        <v/>
      </c>
      <c r="O49" s="79">
        <f>(N49-(1/6))/(10/6)</f>
        <v/>
      </c>
      <c r="P49" s="77" t="n">
        <v>8</v>
      </c>
      <c r="Q49" s="79">
        <f>IF(F49=1,(((1-((P49-3)/12))*0.5)+0.5),((P49/15)*0.5))</f>
        <v/>
      </c>
      <c r="R49" s="75" t="n">
        <v>0</v>
      </c>
      <c r="S49" s="77" t="n">
        <v>1</v>
      </c>
      <c r="T49" s="75" t="n">
        <v>0</v>
      </c>
      <c r="U49" s="79">
        <f>IFERROR(T49/S49, 1)</f>
        <v/>
      </c>
      <c r="V49" s="80" t="n">
        <v>0</v>
      </c>
      <c r="W49" s="81">
        <f>5*((O49*0.3)+(Q49*0.175)+(R49*0.175)+(U49*0.175)+((1-V49)*0.175))</f>
        <v/>
      </c>
    </row>
    <row r="50" ht="14.25" customHeight="1" s="52">
      <c r="A50" s="93" t="n">
        <v>46045</v>
      </c>
      <c r="B50" s="51" t="n">
        <v>14</v>
      </c>
      <c r="C50" s="51" t="inlineStr">
        <is>
          <t>Ryan</t>
        </is>
      </c>
      <c r="D50" s="51" t="inlineStr">
        <is>
          <t>Eowyn, Shieldmaiden</t>
        </is>
      </c>
      <c r="E50" s="68" t="n">
        <v>2</v>
      </c>
      <c r="F50" s="69" t="n">
        <v>1</v>
      </c>
      <c r="G50" s="51" t="n">
        <v>1</v>
      </c>
      <c r="H50" s="51" t="n">
        <v>3</v>
      </c>
      <c r="I50" s="51" t="n">
        <v>1</v>
      </c>
      <c r="J50" s="51">
        <f>F50-(1/H50)</f>
        <v/>
      </c>
      <c r="K50" s="51">
        <f>((I50-((H50-1)/H50))-(-5/6))/((5-(5/6))-(-5/6))</f>
        <v/>
      </c>
      <c r="L50" s="68">
        <f>E50-((E51+E52)/2)</f>
        <v/>
      </c>
      <c r="M50" s="70">
        <f>0.5 + (L50 * 0.09)</f>
        <v/>
      </c>
      <c r="N50" s="51">
        <f>((H50-(G50-1))/H50)*(IF(I50&lt;&gt;0,(I50+H50)/H50,1))</f>
        <v/>
      </c>
      <c r="O50" s="71">
        <f>(N50-(1/6))/(10/6)</f>
        <v/>
      </c>
      <c r="P50" s="69" t="n">
        <v>10</v>
      </c>
      <c r="Q50" s="71">
        <f>IF(F50=1,(((1-((P50-3)/12))*0.5)+0.5),((P50/15)*0.5))</f>
        <v/>
      </c>
      <c r="R50" s="51" t="n">
        <v>1</v>
      </c>
      <c r="S50" s="69" t="n">
        <v>0</v>
      </c>
      <c r="T50" s="51" t="n">
        <v>0</v>
      </c>
      <c r="U50" s="71">
        <f>IFERROR(T50/S50, 1)</f>
        <v/>
      </c>
      <c r="V50" s="72" t="n">
        <v>0</v>
      </c>
      <c r="W50" s="73">
        <f>5*((O50*0.3)+(Q50*0.175)+(R50*0.175)+(U50*0.175)+((1-V50)*0.175))</f>
        <v/>
      </c>
    </row>
    <row r="51" ht="14.25" customHeight="1" s="52">
      <c r="A51" s="93" t="n">
        <v>46045</v>
      </c>
      <c r="B51" s="51" t="n">
        <v>14</v>
      </c>
      <c r="C51" s="51" t="inlineStr">
        <is>
          <t>Manny</t>
        </is>
      </c>
      <c r="D51" s="51" t="inlineStr">
        <is>
          <t>Frodo, Adventurous Hobbit/Sam, Loyal Attendant</t>
        </is>
      </c>
      <c r="E51" s="68" t="n">
        <v>4</v>
      </c>
      <c r="F51" s="69" t="n">
        <v>0</v>
      </c>
      <c r="G51" s="51" t="n">
        <v>2</v>
      </c>
      <c r="H51" s="51" t="n">
        <v>3</v>
      </c>
      <c r="I51" s="51" t="n">
        <v>1</v>
      </c>
      <c r="J51" s="51">
        <f>F51-(1/H51)</f>
        <v/>
      </c>
      <c r="K51" s="51">
        <f>((I51-((H51-1)/H51))-(-5/6))/((5-(5/6))-(-5/6))</f>
        <v/>
      </c>
      <c r="L51" s="51">
        <f>E51-((E50+E52)/2)</f>
        <v/>
      </c>
      <c r="M51" s="70">
        <f>0.5 + (L51 * 0.09)</f>
        <v/>
      </c>
      <c r="N51" s="51">
        <f>((H51-(G51-1))/H51)*(IF(I51&lt;&gt;0,(I51+H51)/H51,1))</f>
        <v/>
      </c>
      <c r="O51" s="71">
        <f>(N51-(1/6))/(10/6)</f>
        <v/>
      </c>
      <c r="P51" s="69" t="n">
        <v>10</v>
      </c>
      <c r="Q51" s="71">
        <f>IF(F51=1,(((1-((P51-3)/12))*0.5)+0.5),((P51/15)*0.5))</f>
        <v/>
      </c>
      <c r="R51" s="51" t="n">
        <v>1</v>
      </c>
      <c r="S51" s="69" t="n">
        <v>0</v>
      </c>
      <c r="T51" s="51" t="n">
        <v>0</v>
      </c>
      <c r="U51" s="71">
        <f>IFERROR(T51/S51, 1)</f>
        <v/>
      </c>
      <c r="V51" s="72" t="n">
        <v>0</v>
      </c>
      <c r="W51" s="73">
        <f>5*((O51*0.3)+(Q51*0.175)+(R51*0.175)+(U51*0.175)+((1-V51)*0.175))</f>
        <v/>
      </c>
    </row>
    <row r="52" ht="14.25" customHeight="1" s="52">
      <c r="A52" s="92" t="n">
        <v>46045</v>
      </c>
      <c r="B52" s="75" t="n">
        <v>14</v>
      </c>
      <c r="C52" s="75" t="inlineStr">
        <is>
          <t>Mateo</t>
        </is>
      </c>
      <c r="D52" s="75" t="inlineStr">
        <is>
          <t>Fire Lord Zuko (Ryan's)</t>
        </is>
      </c>
      <c r="E52" s="76" t="n">
        <v>3</v>
      </c>
      <c r="F52" s="77" t="n">
        <v>0</v>
      </c>
      <c r="G52" s="75" t="n">
        <v>3</v>
      </c>
      <c r="H52" s="75" t="n">
        <v>3</v>
      </c>
      <c r="I52" s="75" t="n">
        <v>0</v>
      </c>
      <c r="J52" s="75">
        <f>F52-(1/H52)</f>
        <v/>
      </c>
      <c r="K52" s="75">
        <f>((I52-((H52-1)/H52))-(-5/6))/((5-(5/6))-(-5/6))</f>
        <v/>
      </c>
      <c r="L52" s="75">
        <f>E52-((E50+E51)/2)</f>
        <v/>
      </c>
      <c r="M52" s="78">
        <f>0.5 + (L52 * 0.09)</f>
        <v/>
      </c>
      <c r="N52" s="75">
        <f>((H52-(G52-1))/H52)*(IF(I52&lt;&gt;0,(I52+H52)/H52,1))</f>
        <v/>
      </c>
      <c r="O52" s="79">
        <f>(N52-(1/6))/(10/6)</f>
        <v/>
      </c>
      <c r="P52" s="77" t="n">
        <v>9</v>
      </c>
      <c r="Q52" s="79">
        <f>IF(F52=1,(((1-((P52-3)/12))*0.5)+0.5),((P52/15)*0.5))</f>
        <v/>
      </c>
      <c r="R52" s="75" t="n">
        <v>1</v>
      </c>
      <c r="S52" s="77" t="n">
        <v>0</v>
      </c>
      <c r="T52" s="75" t="n">
        <v>0</v>
      </c>
      <c r="U52" s="79">
        <f>IFERROR(T52/S52, 1)</f>
        <v/>
      </c>
      <c r="V52" s="80" t="n">
        <v>1</v>
      </c>
      <c r="W52" s="81">
        <f>5*((O52*0.3)+(Q52*0.175)+(R52*0.175)+(U52*0.175)+((1-V52)*0.175))</f>
        <v/>
      </c>
    </row>
    <row r="53" ht="14.25" customHeight="1" s="52">
      <c r="A53" s="93" t="n">
        <v>46050</v>
      </c>
      <c r="B53" s="51" t="n">
        <v>15</v>
      </c>
      <c r="C53" s="51" t="inlineStr">
        <is>
          <t>Mateo</t>
        </is>
      </c>
      <c r="D53" s="51" t="inlineStr">
        <is>
          <t>Zurgo Stormrender</t>
        </is>
      </c>
      <c r="E53" s="68" t="n">
        <v>2</v>
      </c>
      <c r="F53" s="69" t="n">
        <v>1</v>
      </c>
      <c r="G53" s="51" t="n">
        <v>1</v>
      </c>
      <c r="H53" s="51" t="n">
        <v>4</v>
      </c>
      <c r="I53" s="51" t="n">
        <v>1</v>
      </c>
      <c r="J53" s="51">
        <f>F53-(1/H53)</f>
        <v/>
      </c>
      <c r="K53" s="51">
        <f>((I53-((H53-1)/H53))-(-5/6))/((5-(5/6))-(-5/6))</f>
        <v/>
      </c>
      <c r="L53" s="51">
        <f>E53-((E54+E55+E56)/3)</f>
        <v/>
      </c>
      <c r="M53" s="70">
        <f>0.5 + (L53 * 0.09)</f>
        <v/>
      </c>
      <c r="N53" s="51">
        <f>((H53-(G53-1))/H53)*(IF(I53&lt;&gt;0,(I53+H53)/H53,1))</f>
        <v/>
      </c>
      <c r="O53" s="71">
        <f>(N53-(1/6))/(10/6)</f>
        <v/>
      </c>
      <c r="P53" s="69" t="n">
        <v>12</v>
      </c>
      <c r="Q53" s="71">
        <f>IF(F53=1,(((1-((P53-3)/12))*0.5)+0.5),((P53/15)*0.5))</f>
        <v/>
      </c>
      <c r="R53" s="51" t="n">
        <v>1</v>
      </c>
      <c r="S53" s="69" t="n">
        <v>2</v>
      </c>
      <c r="T53" s="51" t="n">
        <v>2</v>
      </c>
      <c r="U53" s="71">
        <f>IFERROR(T53/S53, 1)</f>
        <v/>
      </c>
      <c r="V53" s="72" t="n">
        <v>0</v>
      </c>
      <c r="W53" s="73">
        <f>5*((O53*0.3)+(Q53*0.175)+(R53*0.175)+(U53*0.175)+((1-V53)*0.175))</f>
        <v/>
      </c>
    </row>
    <row r="54" ht="14.25" customHeight="1" s="52">
      <c r="A54" s="93" t="n">
        <v>46050</v>
      </c>
      <c r="B54" s="51" t="n">
        <v>15</v>
      </c>
      <c r="C54" s="51" t="inlineStr">
        <is>
          <t>Ryan</t>
        </is>
      </c>
      <c r="D54" s="51" t="inlineStr">
        <is>
          <t>Preston Garvey, Minuteman</t>
        </is>
      </c>
      <c r="E54" s="68" t="n">
        <v>2</v>
      </c>
      <c r="F54" s="69" t="n">
        <v>0</v>
      </c>
      <c r="G54" s="51" t="n">
        <v>2</v>
      </c>
      <c r="H54" s="51" t="n">
        <v>4</v>
      </c>
      <c r="I54" s="51" t="n">
        <v>2</v>
      </c>
      <c r="J54" s="51">
        <f>F54-(1/H54)</f>
        <v/>
      </c>
      <c r="K54" s="51">
        <f>((I54-((H54-1)/H54))-(-5/6))/((5-(5/6))-(-5/6))</f>
        <v/>
      </c>
      <c r="L54" s="51">
        <f>E54-((E53+E55+E56)/3)</f>
        <v/>
      </c>
      <c r="M54" s="70">
        <f>0.5 + (L54 * 0.09)</f>
        <v/>
      </c>
      <c r="N54" s="51">
        <f>((H54-(G54-1))/H54)*(IF(I54&lt;&gt;0,(I54+H54)/H54,1))</f>
        <v/>
      </c>
      <c r="O54" s="71">
        <f>(N54-(1/6))/(10/6)</f>
        <v/>
      </c>
      <c r="P54" s="69" t="n">
        <v>12</v>
      </c>
      <c r="Q54" s="71">
        <f>IF(F54=1,(((1-((P54-3)/12))*0.5)+0.5),((P54/15)*0.5))</f>
        <v/>
      </c>
      <c r="R54" s="51" t="n">
        <v>0</v>
      </c>
      <c r="S54" s="69" t="n">
        <v>2</v>
      </c>
      <c r="T54" s="51" t="n">
        <v>1</v>
      </c>
      <c r="U54" s="71">
        <f>IFERROR(T54/S54, 1)</f>
        <v/>
      </c>
      <c r="V54" s="72" t="n">
        <v>0</v>
      </c>
      <c r="W54" s="73">
        <f>5*((O54*0.3)+(Q54*0.175)+(R54*0.175)+(U54*0.175)+((1-V54)*0.175))</f>
        <v/>
      </c>
    </row>
    <row r="55" ht="14.25" customHeight="1" s="52">
      <c r="A55" s="93" t="n">
        <v>46050</v>
      </c>
      <c r="B55" s="51" t="n">
        <v>15</v>
      </c>
      <c r="C55" s="51" t="inlineStr">
        <is>
          <t>Joseph</t>
        </is>
      </c>
      <c r="D55" s="51" t="inlineStr">
        <is>
          <t>Anti-Venom, Horrifying Healer</t>
        </is>
      </c>
      <c r="E55" s="68" t="n">
        <v>3</v>
      </c>
      <c r="F55" s="69" t="n">
        <v>0</v>
      </c>
      <c r="G55" s="51" t="n">
        <v>3</v>
      </c>
      <c r="H55" s="51" t="n">
        <v>4</v>
      </c>
      <c r="I55" s="51" t="n">
        <v>0</v>
      </c>
      <c r="J55" s="51">
        <f>F55-(1/H55)</f>
        <v/>
      </c>
      <c r="K55" s="51">
        <f>((I55-((H55-1)/H55))-(-5/6))/((5-(5/6))-(-5/6))</f>
        <v/>
      </c>
      <c r="L55" s="51">
        <f>E55-((E53+E54+E56)/3)</f>
        <v/>
      </c>
      <c r="M55" s="70">
        <f>0.5 + (L55 * 0.09)</f>
        <v/>
      </c>
      <c r="N55" s="51">
        <f>((H55-(G55-1))/H55)*(IF(I55&lt;&gt;0,(I55+H55)/H55,1))</f>
        <v/>
      </c>
      <c r="O55" s="71">
        <f>(N55-(1/6))/(10/6)</f>
        <v/>
      </c>
      <c r="P55" s="69" t="n">
        <v>11</v>
      </c>
      <c r="Q55" s="71">
        <f>IF(F55=1,(((1-((P55-3)/12))*0.5)+0.5),((P55/15)*0.5))</f>
        <v/>
      </c>
      <c r="R55" s="51" t="n">
        <v>1</v>
      </c>
      <c r="S55" s="69" t="n">
        <v>1</v>
      </c>
      <c r="T55" s="51" t="n">
        <v>0</v>
      </c>
      <c r="U55" s="71">
        <f>IFERROR(T55/S55, 1)</f>
        <v/>
      </c>
      <c r="V55" s="72" t="n">
        <v>0</v>
      </c>
      <c r="W55" s="73">
        <f>5*((O55*0.3)+(Q55*0.175)+(R55*0.175)+(U55*0.175)+((1-V55)*0.175))</f>
        <v/>
      </c>
    </row>
    <row r="56" ht="14.25" customHeight="1" s="52">
      <c r="A56" s="92" t="n">
        <v>46050</v>
      </c>
      <c r="B56" s="75" t="n">
        <v>15</v>
      </c>
      <c r="C56" s="75" t="inlineStr">
        <is>
          <t>Manny</t>
        </is>
      </c>
      <c r="D56" s="75" t="inlineStr">
        <is>
          <t>Fire Lord Azula</t>
        </is>
      </c>
      <c r="E56" s="76" t="n">
        <v>3</v>
      </c>
      <c r="F56" s="77" t="n">
        <v>0</v>
      </c>
      <c r="G56" s="75" t="n">
        <v>3</v>
      </c>
      <c r="H56" s="75" t="n">
        <v>4</v>
      </c>
      <c r="I56" s="75" t="n">
        <v>0</v>
      </c>
      <c r="J56" s="75">
        <f>F56-(1/H56)</f>
        <v/>
      </c>
      <c r="K56" s="75">
        <f>((I56-((H56-1)/H56))-(-5/6))/((5-(5/6))-(-5/6))</f>
        <v/>
      </c>
      <c r="L56" s="75">
        <f>E56-((E53+E54+E55)/3)</f>
        <v/>
      </c>
      <c r="M56" s="78">
        <f>0.5 + (L56 * 0.09)</f>
        <v/>
      </c>
      <c r="N56" s="75">
        <f>((H56-(G56-1))/H56)*(IF(I56&lt;&gt;0,(I56+H56)/H56,1))</f>
        <v/>
      </c>
      <c r="O56" s="79">
        <f>(N56-(1/6))/(10/6)</f>
        <v/>
      </c>
      <c r="P56" s="77" t="n">
        <v>11</v>
      </c>
      <c r="Q56" s="79">
        <f>IF(F56=1,(((1-((P56-3)/12))*0.5)+0.5),((P56/15)*0.5))</f>
        <v/>
      </c>
      <c r="R56" s="75" t="n">
        <v>0</v>
      </c>
      <c r="S56" s="77" t="n">
        <v>3</v>
      </c>
      <c r="T56" s="75" t="n">
        <v>3</v>
      </c>
      <c r="U56" s="79">
        <f>IFERROR(T56/S56, 1)</f>
        <v/>
      </c>
      <c r="V56" s="80" t="n">
        <v>1</v>
      </c>
      <c r="W56" s="81">
        <f>5*((O56*0.3)+(Q56*0.175)+(R56*0.175)+(U56*0.175)+((1-V56)*0.175))</f>
        <v/>
      </c>
    </row>
    <row r="57" ht="14.25" customHeight="1" s="52">
      <c r="A57" s="93" t="n">
        <v>46052</v>
      </c>
      <c r="B57" s="51" t="n">
        <v>16</v>
      </c>
      <c r="C57" s="51" t="inlineStr">
        <is>
          <t>Joseph</t>
        </is>
      </c>
      <c r="D57" s="51" t="inlineStr">
        <is>
          <t>Valgavoth, Harrower of Souls</t>
        </is>
      </c>
      <c r="E57" s="68" t="n">
        <v>3</v>
      </c>
      <c r="F57" s="69" t="n">
        <v>1</v>
      </c>
      <c r="G57" s="51" t="n">
        <v>1</v>
      </c>
      <c r="H57" s="51" t="n">
        <v>4</v>
      </c>
      <c r="I57" s="51" t="n">
        <v>1</v>
      </c>
      <c r="J57" s="51">
        <f>F57-(1/H57)</f>
        <v/>
      </c>
      <c r="K57" s="51">
        <f>((I57-((H57-1)/H57))-(-5/6))/((5-(5/6))-(-5/6))</f>
        <v/>
      </c>
      <c r="L57" s="51">
        <f>E57-((E58+E59+E60)/3)</f>
        <v/>
      </c>
      <c r="M57" s="70">
        <f>0.5 + (L57 * 0.09)</f>
        <v/>
      </c>
      <c r="N57" s="51">
        <f>((H57-(G57-1))/H57)*(IF(I57&lt;&gt;0,(I57+H57)/H57,1))</f>
        <v/>
      </c>
      <c r="O57" s="71">
        <f>(N57-(1/6))/(10/6)</f>
        <v/>
      </c>
      <c r="P57" s="69" t="n">
        <v>11</v>
      </c>
      <c r="Q57" s="71">
        <f>IF(F57=1,(((1-((P57-3)/12))*0.5)+0.5),((P57/15)*0.5))</f>
        <v/>
      </c>
      <c r="R57" s="51" t="n">
        <v>1</v>
      </c>
      <c r="S57" s="69" t="n">
        <v>2</v>
      </c>
      <c r="T57" s="51" t="n">
        <v>1</v>
      </c>
      <c r="U57" s="71">
        <f>IFERROR(T57/S57, 1)</f>
        <v/>
      </c>
      <c r="V57" s="72" t="n">
        <v>0</v>
      </c>
      <c r="W57" s="73">
        <f>5*((O57*0.3)+(Q57*0.175)+(R57*0.175)+(U57*0.175)+((1-V57)*0.175))</f>
        <v/>
      </c>
    </row>
    <row r="58" ht="14.25" customHeight="1" s="52">
      <c r="A58" s="93" t="n">
        <v>46052</v>
      </c>
      <c r="B58" s="51" t="n">
        <v>16</v>
      </c>
      <c r="C58" s="51" t="inlineStr">
        <is>
          <t>Ryan</t>
        </is>
      </c>
      <c r="D58" s="51" t="inlineStr">
        <is>
          <t>Davros, Dalek Creator</t>
        </is>
      </c>
      <c r="E58" s="68" t="n">
        <v>2</v>
      </c>
      <c r="F58" s="69" t="n">
        <v>0</v>
      </c>
      <c r="G58" s="51" t="n">
        <v>2</v>
      </c>
      <c r="H58" s="51" t="n">
        <v>4</v>
      </c>
      <c r="I58" s="51" t="n">
        <v>2</v>
      </c>
      <c r="J58" s="51">
        <f>F58-(1/H58)</f>
        <v/>
      </c>
      <c r="K58" s="51">
        <f>((I58-((H58-1)/H58))-(-5/6))/((5-(5/6))-(-5/6))</f>
        <v/>
      </c>
      <c r="L58" s="51">
        <f>E58-((E57+E59+E60)/3)</f>
        <v/>
      </c>
      <c r="M58" s="70">
        <f>0.5 + (L58 * 0.09)</f>
        <v/>
      </c>
      <c r="N58" s="51">
        <f>((H58-(G58-1))/H58)*(IF(I58&lt;&gt;0,(I58+H58)/H58,1))</f>
        <v/>
      </c>
      <c r="O58" s="71">
        <f>(N58-(1/6))/(10/6)</f>
        <v/>
      </c>
      <c r="P58" s="69" t="n">
        <v>11</v>
      </c>
      <c r="Q58" s="71">
        <f>IF(F58=1,(((1-((P58-3)/12))*0.5)+0.5),((P58/15)*0.5))</f>
        <v/>
      </c>
      <c r="R58" s="51" t="n">
        <v>1</v>
      </c>
      <c r="S58" s="69" t="n">
        <v>3</v>
      </c>
      <c r="T58" s="51" t="n">
        <v>2</v>
      </c>
      <c r="U58" s="71">
        <f>IFERROR(T58/S58, 1)</f>
        <v/>
      </c>
      <c r="V58" s="72" t="n">
        <v>0</v>
      </c>
      <c r="W58" s="73">
        <f>5*((O58*0.3)+(Q58*0.175)+(R58*0.175)+(U58*0.175)+((1-V58)*0.175))</f>
        <v/>
      </c>
    </row>
    <row r="59" ht="14.25" customHeight="1" s="52">
      <c r="A59" s="93" t="n">
        <v>46052</v>
      </c>
      <c r="B59" s="51" t="n">
        <v>16</v>
      </c>
      <c r="C59" s="51" t="inlineStr">
        <is>
          <t>Manny</t>
        </is>
      </c>
      <c r="D59" s="51" t="inlineStr">
        <is>
          <t>Rashmi, Eternities Crafter</t>
        </is>
      </c>
      <c r="E59" s="68" t="n">
        <v>3</v>
      </c>
      <c r="F59" s="69" t="n">
        <v>0</v>
      </c>
      <c r="G59" s="51" t="n">
        <v>3</v>
      </c>
      <c r="H59" s="51" t="n">
        <v>4</v>
      </c>
      <c r="I59" s="51" t="n">
        <v>0</v>
      </c>
      <c r="J59" s="51">
        <f>F59-(1/H59)</f>
        <v/>
      </c>
      <c r="K59" s="51">
        <f>((I59-((H59-1)/H59))-(-5/6))/((5-(5/6))-(-5/6))</f>
        <v/>
      </c>
      <c r="L59" s="51">
        <f>E59-((E57+E58+E60)/3)</f>
        <v/>
      </c>
      <c r="M59" s="70">
        <f>0.5 + (L59 * 0.09)</f>
        <v/>
      </c>
      <c r="N59" s="51">
        <f>((H59-(G59-1))/H59)*(IF(I59&lt;&gt;0,(I59+H59)/H59,1))</f>
        <v/>
      </c>
      <c r="O59" s="71">
        <f>(N59-(1/6))/(10/6)</f>
        <v/>
      </c>
      <c r="P59" s="69" t="n">
        <v>10</v>
      </c>
      <c r="Q59" s="71">
        <f>IF(F59=1,(((1-((P59-3)/12))*0.5)+0.5),((P59/15)*0.5))</f>
        <v/>
      </c>
      <c r="R59" s="51" t="n">
        <v>1</v>
      </c>
      <c r="S59" s="69" t="n">
        <v>1</v>
      </c>
      <c r="T59" s="51" t="n">
        <v>1</v>
      </c>
      <c r="U59" s="71">
        <f>IFERROR(T59/S59, 1)</f>
        <v/>
      </c>
      <c r="V59" s="72" t="n">
        <v>0</v>
      </c>
      <c r="W59" s="73">
        <f>5*((O59*0.3)+(Q59*0.175)+(R59*0.175)+(U59*0.175)+((1-V59)*0.175))</f>
        <v/>
      </c>
    </row>
    <row r="60" ht="14.25" customHeight="1" s="52">
      <c r="A60" s="92" t="n">
        <v>46052</v>
      </c>
      <c r="B60" s="75" t="n">
        <v>16</v>
      </c>
      <c r="C60" s="75" t="inlineStr">
        <is>
          <t>Mateo</t>
        </is>
      </c>
      <c r="D60" s="75" t="inlineStr">
        <is>
          <t>Auntie Ool, Cursewretch</t>
        </is>
      </c>
      <c r="E60" s="76" t="n">
        <v>4</v>
      </c>
      <c r="F60" s="77" t="n">
        <v>0</v>
      </c>
      <c r="G60" s="75" t="n">
        <v>3</v>
      </c>
      <c r="H60" s="75" t="n">
        <v>4</v>
      </c>
      <c r="I60" s="75" t="n">
        <v>0</v>
      </c>
      <c r="J60" s="75">
        <f>F60-(1/H60)</f>
        <v/>
      </c>
      <c r="K60" s="75">
        <f>((I60-((H60-1)/H60))-(-5/6))/((5-(5/6))-(-5/6))</f>
        <v/>
      </c>
      <c r="L60" s="75">
        <f>E60-((E57+E58+E59)/3)</f>
        <v/>
      </c>
      <c r="M60" s="78">
        <f>0.5 + (L60 * 0.09)</f>
        <v/>
      </c>
      <c r="N60" s="75">
        <f>((H60-(G60-1))/H60)*(IF(I60&lt;&gt;0,(I60+H60)/H60,1))</f>
        <v/>
      </c>
      <c r="O60" s="79">
        <f>(N60-(1/6))/(10/6)</f>
        <v/>
      </c>
      <c r="P60" s="77" t="n">
        <v>10</v>
      </c>
      <c r="Q60" s="79">
        <f>IF(F60=1,(((1-((P60-3)/12))*0.5)+0.5),((P60/15)*0.5))</f>
        <v/>
      </c>
      <c r="R60" s="75" t="n">
        <v>0</v>
      </c>
      <c r="S60" s="77" t="n">
        <v>2</v>
      </c>
      <c r="T60" s="75" t="n">
        <v>1</v>
      </c>
      <c r="U60" s="79">
        <f>IFERROR(T60/S60, 1)</f>
        <v/>
      </c>
      <c r="V60" s="80" t="n">
        <v>1</v>
      </c>
      <c r="W60" s="81">
        <f>5*((O60*0.3)+(Q60*0.175)+(R60*0.175)+(U60*0.175)+((1-V60)*0.175))</f>
        <v/>
      </c>
    </row>
    <row r="61" ht="14.25" customHeight="1" s="52">
      <c r="A61" s="93" t="n">
        <v>46052</v>
      </c>
      <c r="B61" s="51" t="n">
        <v>17</v>
      </c>
      <c r="C61" s="51" t="inlineStr">
        <is>
          <t>Becca</t>
        </is>
      </c>
      <c r="D61" s="51" t="inlineStr">
        <is>
          <t>Ms. Bumbleflower</t>
        </is>
      </c>
      <c r="E61" s="68" t="n">
        <v>2</v>
      </c>
      <c r="F61" s="69" t="n">
        <v>1</v>
      </c>
      <c r="G61" s="51" t="n">
        <v>1</v>
      </c>
      <c r="H61" s="51" t="n">
        <v>5</v>
      </c>
      <c r="I61" s="51" t="n">
        <v>2</v>
      </c>
      <c r="J61" s="51">
        <f>F61-(1/H61)</f>
        <v/>
      </c>
      <c r="K61" s="51">
        <f>((I61-((H61-1)/H61))-(-5/6))/((5-(5/6))-(-5/6))</f>
        <v/>
      </c>
      <c r="L61" s="51">
        <f>E61-((E62+E63+E64+E65)/4)</f>
        <v/>
      </c>
      <c r="M61" s="70">
        <f>0.5 + (L61 * 0.09)</f>
        <v/>
      </c>
      <c r="N61" s="51">
        <f>((H61-(G61-1))/H61)*(IF(I61&lt;&gt;0,(I61+H61)/H61,1))</f>
        <v/>
      </c>
      <c r="O61" s="71">
        <f>(N61-(1/6))/(10/6)</f>
        <v/>
      </c>
      <c r="P61" s="69" t="n">
        <v>15</v>
      </c>
      <c r="Q61" s="71">
        <f>IF(F61=1,(((1-((P61-3)/12))*0.5)+0.5),((P61/15)*0.5))</f>
        <v/>
      </c>
      <c r="R61" s="51" t="n">
        <v>1</v>
      </c>
      <c r="S61" s="69" t="n">
        <v>1</v>
      </c>
      <c r="T61" s="51" t="n">
        <v>0</v>
      </c>
      <c r="U61" s="71">
        <f>IFERROR(T61/S61, 1)</f>
        <v/>
      </c>
      <c r="V61" s="72" t="n">
        <v>0</v>
      </c>
      <c r="W61" s="73">
        <f>5*((O61*0.3)+(Q61*0.175)+(R61*0.175)+(U61*0.175)+((1-V61)*0.175))</f>
        <v/>
      </c>
    </row>
    <row r="62" ht="14.25" customHeight="1" s="52">
      <c r="A62" s="93" t="n">
        <v>46052</v>
      </c>
      <c r="B62" s="51" t="n">
        <v>17</v>
      </c>
      <c r="C62" s="51" t="inlineStr">
        <is>
          <t>Mateo</t>
        </is>
      </c>
      <c r="D62" s="51" t="inlineStr">
        <is>
          <t>Chatterfang, Squirrel General</t>
        </is>
      </c>
      <c r="E62" s="68" t="n">
        <v>2</v>
      </c>
      <c r="F62" s="69" t="n">
        <v>0</v>
      </c>
      <c r="G62" s="51" t="n">
        <v>2</v>
      </c>
      <c r="H62" s="51" t="n">
        <v>5</v>
      </c>
      <c r="I62" s="51" t="n">
        <v>1</v>
      </c>
      <c r="J62" s="51">
        <f>F62-(1/H62)</f>
        <v/>
      </c>
      <c r="K62" s="51">
        <f>((I62-((H62-1)/H62))-(-5/6))/((5-(5/6))-(-5/6))</f>
        <v/>
      </c>
      <c r="L62" s="51">
        <f>E62-((E61+E63+E64+E65)/4)</f>
        <v/>
      </c>
      <c r="M62" s="70">
        <f>0.5 + (L62 * 0.09)</f>
        <v/>
      </c>
      <c r="N62" s="51">
        <f>((H62-(G62-1))/H62)*(IF(I62&lt;&gt;0,(I62+H62)/H62,1))</f>
        <v/>
      </c>
      <c r="O62" s="71">
        <f>(N62-(1/6))/(10/6)</f>
        <v/>
      </c>
      <c r="P62" s="69" t="n">
        <v>15</v>
      </c>
      <c r="Q62" s="71">
        <f>IF(F62=1,(((1-((P62-3)/12))*0.5)+0.5),((P62/15)*0.5))</f>
        <v/>
      </c>
      <c r="R62" s="51" t="n">
        <v>1</v>
      </c>
      <c r="S62" s="69" t="n">
        <v>2</v>
      </c>
      <c r="T62" s="51" t="n">
        <v>1</v>
      </c>
      <c r="U62" s="71">
        <f>IFERROR(T62/S62, 1)</f>
        <v/>
      </c>
      <c r="V62" s="72" t="n">
        <v>0</v>
      </c>
      <c r="W62" s="73">
        <f>5*((O62*0.3)+(Q62*0.175)+(R62*0.175)+(U62*0.175)+((1-V62)*0.175))</f>
        <v/>
      </c>
    </row>
    <row r="63" ht="14.25" customHeight="1" s="52">
      <c r="A63" s="93" t="n">
        <v>46052</v>
      </c>
      <c r="B63" s="51" t="n">
        <v>17</v>
      </c>
      <c r="C63" s="51" t="inlineStr">
        <is>
          <t>Joseph</t>
        </is>
      </c>
      <c r="D63" s="51" t="inlineStr">
        <is>
          <t>Ulalek, Fused Atrocity</t>
        </is>
      </c>
      <c r="E63" s="68" t="n">
        <v>2</v>
      </c>
      <c r="F63" s="69" t="n">
        <v>0</v>
      </c>
      <c r="G63" s="51" t="n">
        <v>3</v>
      </c>
      <c r="H63" s="51" t="n">
        <v>5</v>
      </c>
      <c r="I63" s="51" t="n">
        <v>0</v>
      </c>
      <c r="J63" s="51">
        <f>F63-(1/H63)</f>
        <v/>
      </c>
      <c r="K63" s="51">
        <f>((I63-((H63-1)/H63))-(-5/6))/((5-(5/6))-(-5/6))</f>
        <v/>
      </c>
      <c r="L63" s="51">
        <f>E63-((E61+E62+E64+E65)/4)</f>
        <v/>
      </c>
      <c r="M63" s="70">
        <f>0.5 + (L63 * 0.09)</f>
        <v/>
      </c>
      <c r="N63" s="51">
        <f>((H63-(G63-1))/H63)*(IF(I63&lt;&gt;0,(I63+H63)/H63,1))</f>
        <v/>
      </c>
      <c r="O63" s="71">
        <f>(N63-(1/6))/(10/6)</f>
        <v/>
      </c>
      <c r="P63" s="69" t="n">
        <v>10</v>
      </c>
      <c r="Q63" s="71">
        <f>IF(F63=1,(((1-((P63-3)/12))*0.5)+0.5),((P63/15)*0.5))</f>
        <v/>
      </c>
      <c r="R63" s="51" t="n">
        <v>0</v>
      </c>
      <c r="S63" s="69" t="n">
        <v>1</v>
      </c>
      <c r="T63" s="51" t="n">
        <v>0</v>
      </c>
      <c r="U63" s="71">
        <f>IFERROR(T63/S63, 1)</f>
        <v/>
      </c>
      <c r="V63" s="72" t="n">
        <v>1</v>
      </c>
      <c r="W63" s="73">
        <f>5*((O63*0.3)+(Q63*0.175)+(R63*0.175)+(U63*0.175)+((1-V63)*0.175))</f>
        <v/>
      </c>
    </row>
    <row r="64" ht="14.25" customHeight="1" s="52">
      <c r="A64" s="93" t="n">
        <v>46052</v>
      </c>
      <c r="B64" s="51" t="n">
        <v>17</v>
      </c>
      <c r="C64" s="51" t="inlineStr">
        <is>
          <t>Manny</t>
        </is>
      </c>
      <c r="D64" s="51" t="inlineStr">
        <is>
          <t>Frodo, Adventurous Hobbit/Sam, Loyal Attendant</t>
        </is>
      </c>
      <c r="E64" s="68" t="n">
        <v>4</v>
      </c>
      <c r="F64" s="69" t="n">
        <v>0</v>
      </c>
      <c r="G64" s="51" t="n">
        <v>4</v>
      </c>
      <c r="H64" s="51" t="n">
        <v>5</v>
      </c>
      <c r="I64" s="51" t="n">
        <v>1</v>
      </c>
      <c r="J64" s="51">
        <f>F64-(1/H64)</f>
        <v/>
      </c>
      <c r="K64" s="51">
        <f>((I64-((H64-1)/H64))-(-5/6))/((5-(5/6))-(-5/6))</f>
        <v/>
      </c>
      <c r="L64" s="51">
        <f>E64-((E61+E62+E63+E65)/4)</f>
        <v/>
      </c>
      <c r="M64" s="70">
        <f>0.5 + (L64 * 0.09)</f>
        <v/>
      </c>
      <c r="N64" s="51">
        <f>((H64-(G64-1))/H64)*(IF(I64&lt;&gt;0,(I64+H64)/H64,1))</f>
        <v/>
      </c>
      <c r="O64" s="71">
        <f>(N64-(1/6))/(10/6)</f>
        <v/>
      </c>
      <c r="P64" s="69" t="n">
        <v>8</v>
      </c>
      <c r="Q64" s="71">
        <f>IF(F64=1,(((1-((P64-3)/12))*0.5)+0.5),((P64/15)*0.5))</f>
        <v/>
      </c>
      <c r="R64" s="51" t="n">
        <v>1</v>
      </c>
      <c r="S64" s="69" t="n">
        <v>1</v>
      </c>
      <c r="T64" s="51" t="n">
        <v>0</v>
      </c>
      <c r="U64" s="71">
        <f>IFERROR(T64/S64, 1)</f>
        <v/>
      </c>
      <c r="V64" s="72" t="n">
        <v>0</v>
      </c>
      <c r="W64" s="73">
        <f>5*((O64*0.3)+(Q64*0.175)+(R64*0.175)+(U64*0.175)+((1-V64)*0.175))</f>
        <v/>
      </c>
    </row>
    <row r="65" ht="14.25" customHeight="1" s="52">
      <c r="A65" s="92" t="n">
        <v>46052</v>
      </c>
      <c r="B65" s="75" t="n">
        <v>17</v>
      </c>
      <c r="C65" s="75" t="inlineStr">
        <is>
          <t>Ryan</t>
        </is>
      </c>
      <c r="D65" s="75" t="inlineStr">
        <is>
          <t>Atraxa, Praetor's Voice</t>
        </is>
      </c>
      <c r="E65" s="76" t="n">
        <v>4</v>
      </c>
      <c r="F65" s="77" t="n">
        <v>0</v>
      </c>
      <c r="G65" s="75" t="n">
        <v>5</v>
      </c>
      <c r="H65" s="75" t="n">
        <v>5</v>
      </c>
      <c r="I65" s="75" t="n">
        <v>0</v>
      </c>
      <c r="J65" s="75">
        <f>F65-(1/H65)</f>
        <v/>
      </c>
      <c r="K65" s="75">
        <f>((I65-((H65-1)/H65))-(-5/6))/((5-(5/6))-(-5/6))</f>
        <v/>
      </c>
      <c r="L65" s="75">
        <f>E65-((E61+E62+E63+E64)/4)</f>
        <v/>
      </c>
      <c r="M65" s="78">
        <f>0.5 + (L65 * 0.09)</f>
        <v/>
      </c>
      <c r="N65" s="75">
        <f>((H65-(G65-1))/H65)*(IF(I65&lt;&gt;0,(I65+H65)/H65,1))</f>
        <v/>
      </c>
      <c r="O65" s="79">
        <f>(N65-(1/6))/(10/6)</f>
        <v/>
      </c>
      <c r="P65" s="77" t="n">
        <v>8</v>
      </c>
      <c r="Q65" s="79">
        <f>IF(F65=1,(((1-((P65-3)/12))*0.5)+0.5),((P65/15)*0.5))</f>
        <v/>
      </c>
      <c r="R65" s="75" t="n">
        <v>0</v>
      </c>
      <c r="S65" s="77" t="n">
        <v>0</v>
      </c>
      <c r="T65" s="75" t="n">
        <v>0</v>
      </c>
      <c r="U65" s="79">
        <f>IFERROR(T65/S65, 1)</f>
        <v/>
      </c>
      <c r="V65" s="80" t="n">
        <v>1</v>
      </c>
      <c r="W65" s="81">
        <f>5*((O65*0.3)+(Q65*0.175)+(R65*0.175)+(U65*0.175)+((1-V65)*0.175))</f>
        <v/>
      </c>
    </row>
    <row r="66" ht="14.25" customHeight="1" s="52">
      <c r="A66" s="93" t="n">
        <v>46059</v>
      </c>
      <c r="B66" s="51" t="n">
        <v>18</v>
      </c>
      <c r="C66" s="51" t="inlineStr">
        <is>
          <t>Mateo</t>
        </is>
      </c>
      <c r="D66" s="51" t="inlineStr">
        <is>
          <t>Toph, The First Metalbender</t>
        </is>
      </c>
      <c r="E66" s="68" t="n">
        <v>3</v>
      </c>
      <c r="F66" s="69" t="n">
        <v>1</v>
      </c>
      <c r="G66" s="51" t="n">
        <v>1</v>
      </c>
      <c r="H66" s="51" t="n">
        <v>5</v>
      </c>
      <c r="I66" s="51" t="n">
        <v>2</v>
      </c>
      <c r="J66" s="51">
        <f>F66-(1/H66)</f>
        <v/>
      </c>
      <c r="K66" s="51">
        <f>((I66-((H66-1)/H66))-(-5/6))/((5-(5/6))-(-5/6))</f>
        <v/>
      </c>
      <c r="L66" s="51">
        <f>E66-((E67+E68+E69+E70)/4)</f>
        <v/>
      </c>
      <c r="M66" s="70">
        <f>0.5 + (L66 * 0.09)</f>
        <v/>
      </c>
      <c r="N66" s="51">
        <f>((H66-(G66-1))/H66)*(IF(I66&lt;&gt;0,(I66+H66)/H66,1))</f>
        <v/>
      </c>
      <c r="O66" s="71">
        <f>(N66-(1/6))/(10/6)</f>
        <v/>
      </c>
      <c r="P66" s="69" t="n">
        <v>10</v>
      </c>
      <c r="Q66" s="71">
        <f>IF(F66=1,(((1-((P66-3)/12))*0.5)+0.5),((P66/15)*0.5))</f>
        <v/>
      </c>
      <c r="R66" s="51" t="n">
        <v>1</v>
      </c>
      <c r="S66" s="69" t="n">
        <v>1</v>
      </c>
      <c r="T66" s="51" t="n">
        <v>0</v>
      </c>
      <c r="U66" s="71">
        <f>IFERROR(T66/S66, 1)</f>
        <v/>
      </c>
      <c r="V66" s="72" t="n">
        <v>0</v>
      </c>
      <c r="W66" s="73">
        <f>5*((O66*0.3)+(Q66*0.175)+(R66*0.175)+(U66*0.175)+((1-V66)*0.175))</f>
        <v/>
      </c>
    </row>
    <row r="67" ht="14.25" customHeight="1" s="52">
      <c r="A67" s="93" t="n">
        <v>46059</v>
      </c>
      <c r="B67" s="51" t="n">
        <v>18</v>
      </c>
      <c r="C67" s="51" t="inlineStr">
        <is>
          <t>Becca</t>
        </is>
      </c>
      <c r="D67" s="51" t="inlineStr">
        <is>
          <t>Ms. Bumbleflower</t>
        </is>
      </c>
      <c r="E67" s="68" t="n">
        <v>2</v>
      </c>
      <c r="F67" s="69" t="n">
        <v>0</v>
      </c>
      <c r="G67" s="51" t="n">
        <v>2</v>
      </c>
      <c r="H67" s="51" t="n">
        <v>5</v>
      </c>
      <c r="I67" s="51" t="n">
        <v>0</v>
      </c>
      <c r="J67" s="51">
        <f>F67-(1/H67)</f>
        <v/>
      </c>
      <c r="K67" s="51">
        <f>((I67-((H67-1)/H67))-(-5/6))/((5-(5/6))-(-5/6))</f>
        <v/>
      </c>
      <c r="L67" s="51">
        <f>E67-((E66+E68+E69+E70)/4)</f>
        <v/>
      </c>
      <c r="M67" s="70">
        <f>0.5 + (L67 * 0.09)</f>
        <v/>
      </c>
      <c r="N67" s="51">
        <f>((H67-(G67-1))/H67)*(IF(I67&lt;&gt;0,(I67+H67)/H67,1))</f>
        <v/>
      </c>
      <c r="O67" s="71">
        <f>(N67-(1/6))/(10/6)</f>
        <v/>
      </c>
      <c r="P67" s="69" t="n">
        <v>10</v>
      </c>
      <c r="Q67" s="71">
        <f>IF(F67=1,(((1-((P67-3)/12))*0.5)+0.5),((P67/15)*0.5))</f>
        <v/>
      </c>
      <c r="R67" s="51" t="n">
        <v>0</v>
      </c>
      <c r="S67" s="69" t="n">
        <v>2</v>
      </c>
      <c r="T67" s="51" t="n">
        <v>2</v>
      </c>
      <c r="U67" s="71">
        <f>IFERROR(T67/S67, 1)</f>
        <v/>
      </c>
      <c r="V67" s="72" t="n">
        <v>0</v>
      </c>
      <c r="W67" s="73">
        <f>5*((O67*0.3)+(Q67*0.175)+(R67*0.175)+(U67*0.175)+((1-V67)*0.175))</f>
        <v/>
      </c>
    </row>
    <row r="68" ht="14.25" customHeight="1" s="52">
      <c r="A68" s="93" t="n">
        <v>46059</v>
      </c>
      <c r="B68" s="51" t="n">
        <v>18</v>
      </c>
      <c r="C68" s="51" t="inlineStr">
        <is>
          <t>Michelle</t>
        </is>
      </c>
      <c r="D68" s="51" t="inlineStr">
        <is>
          <t>The Wise Mothman</t>
        </is>
      </c>
      <c r="E68" s="68" t="n">
        <v>2</v>
      </c>
      <c r="F68" s="69" t="n">
        <v>0</v>
      </c>
      <c r="G68" s="51" t="n">
        <v>2</v>
      </c>
      <c r="H68" s="51" t="n">
        <v>5</v>
      </c>
      <c r="I68" s="51" t="n">
        <v>2</v>
      </c>
      <c r="J68" s="51">
        <f>F68-(1/H68)</f>
        <v/>
      </c>
      <c r="K68" s="51">
        <f>((I68-((H68-1)/H68))-(-5/6))/((5-(5/6))-(-5/6))</f>
        <v/>
      </c>
      <c r="L68" s="51">
        <f>E68-((E66+E67+E69+E70)/4)</f>
        <v/>
      </c>
      <c r="M68" s="70">
        <f>0.5 + (L68 * 0.09)</f>
        <v/>
      </c>
      <c r="N68" s="51">
        <f>((H68-(G68-1))/H68)*(IF(I68&lt;&gt;0,(I68+H68)/H68,1))</f>
        <v/>
      </c>
      <c r="O68" s="71">
        <f>(N68-(1/6))/(10/6)</f>
        <v/>
      </c>
      <c r="P68" s="69" t="n">
        <v>10</v>
      </c>
      <c r="Q68" s="71">
        <f>IF(F68=1,(((1-((P68-3)/12))*0.5)+0.5),((P68/15)*0.5))</f>
        <v/>
      </c>
      <c r="R68" s="51" t="n">
        <v>0</v>
      </c>
      <c r="S68" s="69" t="n">
        <v>1</v>
      </c>
      <c r="T68" s="51" t="n">
        <v>0</v>
      </c>
      <c r="U68" s="71">
        <f>IFERROR(T68/S68, 1)</f>
        <v/>
      </c>
      <c r="V68" s="72" t="n">
        <v>0</v>
      </c>
      <c r="W68" s="73">
        <f>5*((O68*0.3)+(Q68*0.175)+(R68*0.175)+(U68*0.175)+((1-V68)*0.175))</f>
        <v/>
      </c>
    </row>
    <row r="69" ht="14.25" customHeight="1" s="52">
      <c r="A69" s="93" t="n">
        <v>46059</v>
      </c>
      <c r="B69" s="51" t="n">
        <v>18</v>
      </c>
      <c r="C69" s="51" t="inlineStr">
        <is>
          <t>Red</t>
        </is>
      </c>
      <c r="D69" s="51" t="inlineStr">
        <is>
          <t>Cloud, Ex-SOLDIER</t>
        </is>
      </c>
      <c r="E69" s="68" t="n">
        <v>2</v>
      </c>
      <c r="F69" s="69" t="n">
        <v>0</v>
      </c>
      <c r="G69" s="51" t="n">
        <v>4</v>
      </c>
      <c r="H69" s="51" t="n">
        <v>5</v>
      </c>
      <c r="I69" s="51" t="n">
        <v>0</v>
      </c>
      <c r="J69" s="51">
        <f>F69-(1/H69)</f>
        <v/>
      </c>
      <c r="K69" s="51">
        <f>((I69-((H69-1)/H69))-(-5/6))/((5-(5/6))-(-5/6))</f>
        <v/>
      </c>
      <c r="L69" s="51">
        <f>E69-((E66+E67+E68+E70)/4)</f>
        <v/>
      </c>
      <c r="M69" s="70">
        <f>0.5 + (L69 * 0.09)</f>
        <v/>
      </c>
      <c r="N69" s="51">
        <f>((H69-(G69-1))/H69)*(IF(I69&lt;&gt;0,(I69+H69)/H69,1))</f>
        <v/>
      </c>
      <c r="O69" s="71">
        <f>(N69-(1/6))/(10/6)</f>
        <v/>
      </c>
      <c r="P69" s="69" t="n">
        <v>9</v>
      </c>
      <c r="Q69" s="71">
        <f>IF(F69=1,(((1-((P69-3)/12))*0.5)+0.5),((P69/15)*0.5))</f>
        <v/>
      </c>
      <c r="R69" s="51" t="n">
        <v>1</v>
      </c>
      <c r="S69" s="69" t="n">
        <v>1</v>
      </c>
      <c r="T69" s="51" t="n">
        <v>0</v>
      </c>
      <c r="U69" s="71">
        <f>IFERROR(T69/S69, 1)</f>
        <v/>
      </c>
      <c r="V69" s="72" t="n">
        <v>0</v>
      </c>
      <c r="W69" s="73">
        <f>5*((O69*0.3)+(Q69*0.175)+(R69*0.175)+(U69*0.175)+((1-V69)*0.175))</f>
        <v/>
      </c>
    </row>
    <row r="70" ht="14.25" customHeight="1" s="52">
      <c r="A70" s="92" t="n">
        <v>46059</v>
      </c>
      <c r="B70" s="75" t="n">
        <v>18</v>
      </c>
      <c r="C70" s="75" t="inlineStr">
        <is>
          <t>Ryan</t>
        </is>
      </c>
      <c r="D70" s="75" t="inlineStr">
        <is>
          <t>Preston Garvey, Minuteman</t>
        </is>
      </c>
      <c r="E70" s="76" t="n">
        <v>2</v>
      </c>
      <c r="F70" s="77" t="n">
        <v>0</v>
      </c>
      <c r="G70" s="75" t="n">
        <v>5</v>
      </c>
      <c r="H70" s="75" t="n">
        <v>5</v>
      </c>
      <c r="I70" s="75" t="n">
        <v>0</v>
      </c>
      <c r="J70" s="75">
        <f>F70-(1/H70)</f>
        <v/>
      </c>
      <c r="K70" s="75">
        <f>((I70-((H70-1)/H70))-(-5/6))/((5-(5/6))-(-5/6))</f>
        <v/>
      </c>
      <c r="L70" s="75">
        <f>E70-((E66+E67+E68+E69)/4)</f>
        <v/>
      </c>
      <c r="M70" s="78">
        <f>0.5 + (L70 * 0.09)</f>
        <v/>
      </c>
      <c r="N70" s="75">
        <f>((H70-(G70-1))/H70)*(IF(I70&lt;&gt;0,(I70+H70)/H70,1))</f>
        <v/>
      </c>
      <c r="O70" s="79">
        <f>(N70-(1/6))/(10/6)</f>
        <v/>
      </c>
      <c r="P70" s="77" t="n">
        <v>8</v>
      </c>
      <c r="Q70" s="79">
        <f>IF(F70=1,(((1-((P70-3)/12))*0.5)+0.5),((P70/15)*0.5))</f>
        <v/>
      </c>
      <c r="R70" s="75" t="n">
        <v>0</v>
      </c>
      <c r="S70" s="77" t="n">
        <v>1</v>
      </c>
      <c r="T70" s="75" t="n">
        <v>1</v>
      </c>
      <c r="U70" s="79">
        <f>IFERROR(T70/S70, 1)</f>
        <v/>
      </c>
      <c r="V70" s="80" t="n">
        <v>0</v>
      </c>
      <c r="W70" s="81">
        <f>5*((O70*0.3)+(Q70*0.175)+(R70*0.175)+(U70*0.175)+((1-V70)*0.175))</f>
        <v/>
      </c>
    </row>
    <row r="71" ht="14.25" customHeight="1" s="52">
      <c r="A71" s="93" t="n">
        <v>46059</v>
      </c>
      <c r="B71" s="51" t="n">
        <v>19</v>
      </c>
      <c r="C71" s="51" t="inlineStr">
        <is>
          <t>Becca</t>
        </is>
      </c>
      <c r="D71" s="51" t="inlineStr">
        <is>
          <t>Ms. Bumbleflower</t>
        </is>
      </c>
      <c r="E71" s="68" t="n">
        <v>2</v>
      </c>
      <c r="F71" s="69" t="n">
        <v>1</v>
      </c>
      <c r="G71" s="51" t="n">
        <v>1</v>
      </c>
      <c r="H71" s="51" t="n">
        <v>4</v>
      </c>
      <c r="I71" s="51" t="n">
        <v>1</v>
      </c>
      <c r="J71" s="51">
        <f>F71-(1/H71)</f>
        <v/>
      </c>
      <c r="K71" s="51">
        <f>((I71-((H71-1)/H71))-(-5/6))/((5-(5/6))-(-5/6))</f>
        <v/>
      </c>
      <c r="L71" s="51">
        <f>E71-((E72+E73+E74)/3)</f>
        <v/>
      </c>
      <c r="M71" s="70">
        <f>0.5 + (L71 * 0.09)</f>
        <v/>
      </c>
      <c r="N71" s="51">
        <f>((H71-(G71-1))/H71)*(IF(I71&lt;&gt;0,(I71+H71)/H71,1))</f>
        <v/>
      </c>
      <c r="O71" s="71">
        <f>(N71-(1/6))/(10/6)</f>
        <v/>
      </c>
      <c r="P71" s="69" t="n">
        <v>9</v>
      </c>
      <c r="Q71" s="71">
        <f>IF(F71=1,(((1-((P71-3)/12))*0.5)+0.5),((P71/15)*0.5))</f>
        <v/>
      </c>
      <c r="R71" s="51" t="n">
        <v>1</v>
      </c>
      <c r="S71" s="69" t="n">
        <v>0</v>
      </c>
      <c r="T71" s="51" t="n">
        <v>0</v>
      </c>
      <c r="U71" s="71">
        <f>IFERROR(T71/S71, 1)</f>
        <v/>
      </c>
      <c r="V71" s="72" t="n">
        <v>0</v>
      </c>
      <c r="W71" s="73">
        <f>5*((O71*0.3)+(Q71*0.175)+(R71*0.175)+(U71*0.175)+((1-V71)*0.175))</f>
        <v/>
      </c>
    </row>
    <row r="72" ht="14.25" customHeight="1" s="52">
      <c r="A72" s="93" t="n">
        <v>46059</v>
      </c>
      <c r="B72" s="51" t="n">
        <v>19</v>
      </c>
      <c r="C72" s="51" t="inlineStr">
        <is>
          <t>Ryan</t>
        </is>
      </c>
      <c r="D72" s="51" t="inlineStr">
        <is>
          <t>Eowyn, Shieldmaiden</t>
        </is>
      </c>
      <c r="E72" s="68" t="n">
        <v>2</v>
      </c>
      <c r="F72" s="69" t="n">
        <v>0</v>
      </c>
      <c r="G72" s="51" t="n">
        <v>2</v>
      </c>
      <c r="H72" s="51" t="n">
        <v>4</v>
      </c>
      <c r="I72" s="51" t="n">
        <v>1</v>
      </c>
      <c r="J72" s="51">
        <f>F72-(1/H72)</f>
        <v/>
      </c>
      <c r="K72" s="51">
        <f>((I72-((H72-1)/H72))-(-5/6))/((5-(5/6))-(-5/6))</f>
        <v/>
      </c>
      <c r="L72" s="51">
        <f>E72-((E71+E73+E74)/3)</f>
        <v/>
      </c>
      <c r="M72" s="70">
        <f>0.5 + (L72 * 0.09)</f>
        <v/>
      </c>
      <c r="N72" s="51">
        <f>((H72-(G72-1))/H72)*(IF(I72&lt;&gt;0,(I72+H72)/H72,1))</f>
        <v/>
      </c>
      <c r="O72" s="71">
        <f>(N72-(1/6))/(10/6)</f>
        <v/>
      </c>
      <c r="P72" s="69" t="n">
        <v>9</v>
      </c>
      <c r="Q72" s="71">
        <f>IF(F72=1,(((1-((P72-3)/12))*0.5)+0.5),((P72/15)*0.5))</f>
        <v/>
      </c>
      <c r="R72" s="51" t="n">
        <v>1</v>
      </c>
      <c r="S72" s="69" t="n">
        <v>1</v>
      </c>
      <c r="T72" s="51" t="n">
        <v>1</v>
      </c>
      <c r="U72" s="71">
        <f>IFERROR(T72/S72, 1)</f>
        <v/>
      </c>
      <c r="V72" s="72" t="n">
        <v>0</v>
      </c>
      <c r="W72" s="73">
        <f>5*((O72*0.3)+(Q72*0.175)+(R72*0.175)+(U72*0.175)+((1-V72)*0.175))</f>
        <v/>
      </c>
    </row>
    <row r="73" ht="14.25" customHeight="1" s="52">
      <c r="A73" s="93" t="n">
        <v>46059</v>
      </c>
      <c r="B73" s="51" t="n">
        <v>19</v>
      </c>
      <c r="C73" s="51" t="inlineStr">
        <is>
          <t>Mateo</t>
        </is>
      </c>
      <c r="D73" s="51" t="inlineStr">
        <is>
          <t>Ureni of the Unwritten</t>
        </is>
      </c>
      <c r="E73" s="68" t="n">
        <v>3</v>
      </c>
      <c r="F73" s="69" t="n">
        <v>0</v>
      </c>
      <c r="G73" s="51" t="n">
        <v>3</v>
      </c>
      <c r="H73" s="51" t="n">
        <v>4</v>
      </c>
      <c r="I73" s="51" t="n">
        <v>1</v>
      </c>
      <c r="J73" s="51">
        <f>F73-(1/H73)</f>
        <v/>
      </c>
      <c r="K73" s="51">
        <f>((I73-((H73-1)/H73))-(-5/6))/((5-(5/6))-(-5/6))</f>
        <v/>
      </c>
      <c r="L73" s="51">
        <f>E73-((E71+E72+E74)/3)</f>
        <v/>
      </c>
      <c r="M73" s="70">
        <f>0.5 + (L73 * 0.09)</f>
        <v/>
      </c>
      <c r="N73" s="51">
        <f>((H73-(G73-1))/H73)*(IF(I73&lt;&gt;0,(I73+H73)/H73,1))</f>
        <v/>
      </c>
      <c r="O73" s="71">
        <f>(N73-(1/6))/(10/6)</f>
        <v/>
      </c>
      <c r="P73" s="69" t="n">
        <v>8</v>
      </c>
      <c r="Q73" s="71">
        <f>IF(F73=1,(((1-((P73-3)/12))*0.5)+0.5),((P73/15)*0.5))</f>
        <v/>
      </c>
      <c r="R73" s="51" t="n">
        <v>1</v>
      </c>
      <c r="S73" s="69" t="n">
        <v>0</v>
      </c>
      <c r="T73" s="51" t="n">
        <v>0</v>
      </c>
      <c r="U73" s="71">
        <f>IFERROR(T73/S73, 1)</f>
        <v/>
      </c>
      <c r="V73" s="72" t="n">
        <v>0</v>
      </c>
      <c r="W73" s="73">
        <f>5*((O73*0.3)+(Q73*0.175)+(R73*0.175)+(U73*0.175)+((1-V73)*0.175))</f>
        <v/>
      </c>
    </row>
    <row r="74" ht="14.25" customHeight="1" s="52">
      <c r="A74" s="92" t="n">
        <v>46059</v>
      </c>
      <c r="B74" s="75" t="n">
        <v>19</v>
      </c>
      <c r="C74" s="75" t="inlineStr">
        <is>
          <t>Red</t>
        </is>
      </c>
      <c r="D74" s="75" t="inlineStr">
        <is>
          <t>Fire Lord Zuko (Ryan's)</t>
        </is>
      </c>
      <c r="E74" s="76" t="n">
        <v>3</v>
      </c>
      <c r="F74" s="77" t="n">
        <v>0</v>
      </c>
      <c r="G74" s="75" t="n">
        <v>4</v>
      </c>
      <c r="H74" s="75" t="n">
        <v>4</v>
      </c>
      <c r="I74" s="75" t="n">
        <v>0</v>
      </c>
      <c r="J74" s="75">
        <f>F74-(1/H74)</f>
        <v/>
      </c>
      <c r="K74" s="75">
        <f>((I74-((H74-1)/H74))-(-5/6))/((5-(5/6))-(-5/6))</f>
        <v/>
      </c>
      <c r="L74" s="75">
        <f>E74-((E71+E72+E73)/3)</f>
        <v/>
      </c>
      <c r="M74" s="78">
        <f>0.5 + (L74 * 0.09)</f>
        <v/>
      </c>
      <c r="N74" s="75">
        <f>((H74-(G74-1))/H74)*(IF(I74&lt;&gt;0,(I74+H74)/H74,1))</f>
        <v/>
      </c>
      <c r="O74" s="79">
        <f>(N74-(1/6))/(10/6)</f>
        <v/>
      </c>
      <c r="P74" s="77" t="n">
        <v>7</v>
      </c>
      <c r="Q74" s="79">
        <f>IF(F74=1,(((1-((P74-3)/12))*0.5)+0.5),((P74/15)*0.5))</f>
        <v/>
      </c>
      <c r="R74" s="75" t="n">
        <v>0</v>
      </c>
      <c r="S74" s="77" t="n">
        <v>1</v>
      </c>
      <c r="T74" s="75" t="n">
        <v>0</v>
      </c>
      <c r="U74" s="79">
        <f>IFERROR(T74/S74, 1)</f>
        <v/>
      </c>
      <c r="V74" s="80" t="n">
        <v>0</v>
      </c>
      <c r="W74" s="81">
        <f>5*((O74*0.3)+(Q74*0.175)+(R74*0.175)+(U74*0.175)+((1-V74)*0.175))</f>
        <v/>
      </c>
    </row>
    <row r="75" ht="14.25" customHeight="1" s="52">
      <c r="A75" s="93" t="n">
        <v>46066</v>
      </c>
      <c r="B75" s="51" t="n">
        <v>20</v>
      </c>
      <c r="C75" s="51" t="inlineStr">
        <is>
          <t>Joseph</t>
        </is>
      </c>
      <c r="D75" s="51" t="inlineStr">
        <is>
          <t>Valgavoth, Harrower of Souls</t>
        </is>
      </c>
      <c r="E75" s="68" t="n">
        <v>3</v>
      </c>
      <c r="F75" s="69" t="n">
        <v>1</v>
      </c>
      <c r="G75" s="51" t="n">
        <v>1</v>
      </c>
      <c r="H75" s="51" t="n">
        <v>4</v>
      </c>
      <c r="I75" s="51" t="n">
        <v>2</v>
      </c>
      <c r="J75" s="51">
        <f>F75-(1/H75)</f>
        <v/>
      </c>
      <c r="K75" s="51">
        <f>((I75-((H75-1)/H75))-(-5/6))/((5-(5/6))-(-5/6))</f>
        <v/>
      </c>
      <c r="L75" s="51">
        <f>E75-((E76+E77+E78)/3)</f>
        <v/>
      </c>
      <c r="M75" s="70">
        <f>0.5 + (L75 * 0.09)</f>
        <v/>
      </c>
      <c r="N75" s="51">
        <f>((H75-(G75-1))/H75)*(IF(I75&lt;&gt;0,(I75+H75)/H75,1))</f>
        <v/>
      </c>
      <c r="O75" s="71">
        <f>(N75-(1/6))/(10/6)</f>
        <v/>
      </c>
      <c r="P75" s="69" t="n">
        <v>9</v>
      </c>
      <c r="Q75" s="71">
        <f>IF(F75=1,(((1-((P75-3)/12))*0.5)+0.5),((P75/15)*0.5))</f>
        <v/>
      </c>
      <c r="R75" s="51" t="n">
        <v>1</v>
      </c>
      <c r="S75" s="69" t="n">
        <v>0</v>
      </c>
      <c r="T75" s="51" t="n">
        <v>0</v>
      </c>
      <c r="U75" s="71">
        <f>IFERROR(T75/S75, 1)</f>
        <v/>
      </c>
      <c r="V75" s="72" t="n">
        <v>0</v>
      </c>
      <c r="W75" s="73">
        <f>5*((O75*0.3)+(Q75*0.175)+(R75*0.175)+(U75*0.175)+((1-V75)*0.175))</f>
        <v/>
      </c>
    </row>
    <row r="76" ht="14.25" customHeight="1" s="52">
      <c r="A76" s="93" t="n">
        <v>46066</v>
      </c>
      <c r="B76" s="51" t="n">
        <v>20</v>
      </c>
      <c r="C76" s="51" t="inlineStr">
        <is>
          <t>Manny</t>
        </is>
      </c>
      <c r="D76" s="51" t="inlineStr">
        <is>
          <t>Rashmi, Eternities Crafter</t>
        </is>
      </c>
      <c r="E76" s="68" t="n">
        <v>3</v>
      </c>
      <c r="F76" s="69" t="n">
        <v>0</v>
      </c>
      <c r="G76" s="51" t="n">
        <v>2</v>
      </c>
      <c r="H76" s="51" t="n">
        <v>4</v>
      </c>
      <c r="I76" s="51" t="n">
        <v>1</v>
      </c>
      <c r="J76" s="51">
        <f>F76-(1/H76)</f>
        <v/>
      </c>
      <c r="K76" s="51">
        <f>((I76-((H76-1)/H76))-(-5/6))/((5-(5/6))-(-5/6))</f>
        <v/>
      </c>
      <c r="L76" s="51">
        <f>E76-((E75+E77+E78)/3)</f>
        <v/>
      </c>
      <c r="M76" s="70">
        <f>0.5 + (L76 * 0.09)</f>
        <v/>
      </c>
      <c r="N76" s="51">
        <f>((H76-(G76-1))/H76)*(IF(I76&lt;&gt;0,(I76+H76)/H76,1))</f>
        <v/>
      </c>
      <c r="O76" s="71">
        <f>(N76-(1/6))/(10/6)</f>
        <v/>
      </c>
      <c r="P76" s="69" t="n">
        <v>9</v>
      </c>
      <c r="Q76" s="71">
        <f>IF(F76=1,(((1-((P76-3)/12))*0.5)+0.5),((P76/15)*0.5))</f>
        <v/>
      </c>
      <c r="R76" s="51" t="n">
        <v>0</v>
      </c>
      <c r="S76" s="69" t="n">
        <v>0</v>
      </c>
      <c r="T76" s="51" t="n">
        <v>0</v>
      </c>
      <c r="U76" s="71">
        <f>IFERROR(T76/S76, 1)</f>
        <v/>
      </c>
      <c r="V76" s="72" t="n">
        <v>0</v>
      </c>
      <c r="W76" s="73">
        <f>5*((O76*0.3)+(Q76*0.175)+(R76*0.175)+(U76*0.175)+((1-V76)*0.175))</f>
        <v/>
      </c>
    </row>
    <row r="77" ht="14.25" customHeight="1" s="52">
      <c r="A77" s="93" t="n">
        <v>46066</v>
      </c>
      <c r="B77" s="51" t="n">
        <v>20</v>
      </c>
      <c r="C77" s="51" t="inlineStr">
        <is>
          <t>Mateo</t>
        </is>
      </c>
      <c r="D77" s="51" t="inlineStr">
        <is>
          <t>Frodo, Adventurous Hobbit/Sam, Loyal Attendant (Manny's)</t>
        </is>
      </c>
      <c r="E77" s="68" t="n">
        <v>4</v>
      </c>
      <c r="F77" s="69" t="n">
        <v>0</v>
      </c>
      <c r="G77" s="51" t="n">
        <v>3</v>
      </c>
      <c r="H77" s="51" t="n">
        <v>4</v>
      </c>
      <c r="I77" s="51" t="n">
        <v>0</v>
      </c>
      <c r="J77" s="51">
        <f>F77-(1/H77)</f>
        <v/>
      </c>
      <c r="K77" s="51">
        <f>((I77-((H77-1)/H77))-(-5/6))/((5-(5/6))-(-5/6))</f>
        <v/>
      </c>
      <c r="L77" s="51">
        <f>E77-((E75+E76+E78)/3)</f>
        <v/>
      </c>
      <c r="M77" s="70">
        <f>0.5 + (L77 * 0.09)</f>
        <v/>
      </c>
      <c r="N77" s="51">
        <f>((H77-(G77-1))/H77)*(IF(I77&lt;&gt;0,(I77+H77)/H77,1))</f>
        <v/>
      </c>
      <c r="O77" s="71">
        <f>(N77-(1/6))/(10/6)</f>
        <v/>
      </c>
      <c r="P77" s="69" t="n">
        <v>8</v>
      </c>
      <c r="Q77" s="71">
        <f>IF(F77=1,(((1-((P77-3)/12))*0.5)+0.5),((P77/15)*0.5))</f>
        <v/>
      </c>
      <c r="R77" s="51" t="n">
        <v>0</v>
      </c>
      <c r="S77" s="69" t="n">
        <v>2</v>
      </c>
      <c r="T77" s="51" t="n">
        <v>1</v>
      </c>
      <c r="U77" s="71">
        <f>IFERROR(T77/S77, 1)</f>
        <v/>
      </c>
      <c r="V77" s="72" t="n">
        <v>0</v>
      </c>
      <c r="W77" s="73">
        <f>5*((O77*0.3)+(Q77*0.175)+(R77*0.175)+(U77*0.175)+((1-V77)*0.175))</f>
        <v/>
      </c>
    </row>
    <row r="78" ht="14.25" customHeight="1" s="52">
      <c r="A78" s="92" t="n">
        <v>46066</v>
      </c>
      <c r="B78" s="75" t="n">
        <v>20</v>
      </c>
      <c r="C78" s="75" t="inlineStr">
        <is>
          <t>Ryan</t>
        </is>
      </c>
      <c r="D78" s="75" t="inlineStr">
        <is>
          <t>Kratos, Stoic Father/Atreus, Impulsive Son</t>
        </is>
      </c>
      <c r="E78" s="76" t="n">
        <v>2</v>
      </c>
      <c r="F78" s="77" t="n">
        <v>0</v>
      </c>
      <c r="G78" s="75" t="n">
        <v>4</v>
      </c>
      <c r="H78" s="75" t="n">
        <v>4</v>
      </c>
      <c r="I78" s="75" t="n">
        <v>0</v>
      </c>
      <c r="J78" s="75">
        <f>F78-(1/H78)</f>
        <v/>
      </c>
      <c r="K78" s="75">
        <f>((I78-((H78-1)/H78))-(-5/6))/((5-(5/6))-(-5/6))</f>
        <v/>
      </c>
      <c r="L78" s="75">
        <f>E78-((E75+E76+E77)/3)</f>
        <v/>
      </c>
      <c r="M78" s="78">
        <f>0.5 + (L78 * 0.09)</f>
        <v/>
      </c>
      <c r="N78" s="75">
        <f>((H78-(G78-1))/H78)*(IF(I78&lt;&gt;0,(I78+H78)/H78,1))</f>
        <v/>
      </c>
      <c r="O78" s="79">
        <f>(N78-(1/6))/(10/6)</f>
        <v/>
      </c>
      <c r="P78" s="77" t="n">
        <v>8</v>
      </c>
      <c r="Q78" s="79">
        <f>IF(F78=1,(((1-((P78-3)/12))*0.5)+0.5),((P78/15)*0.5))</f>
        <v/>
      </c>
      <c r="R78" s="75" t="n">
        <v>1</v>
      </c>
      <c r="S78" s="77" t="n">
        <v>0</v>
      </c>
      <c r="T78" s="75" t="n">
        <v>0</v>
      </c>
      <c r="U78" s="79">
        <f>IFERROR(T78/S78, 1)</f>
        <v/>
      </c>
      <c r="V78" s="80" t="n">
        <v>0</v>
      </c>
      <c r="W78" s="81">
        <f>5*((O78*0.3)+(Q78*0.175)+(R78*0.175)+(U78*0.175)+((1-V78)*0.175))</f>
        <v/>
      </c>
    </row>
    <row r="79" ht="14.25" customHeight="1" s="52">
      <c r="A79" s="93" t="n">
        <v>46066</v>
      </c>
      <c r="B79" s="51" t="n">
        <v>21</v>
      </c>
      <c r="C79" s="51" t="inlineStr">
        <is>
          <t>Manny</t>
        </is>
      </c>
      <c r="D79" s="51" t="inlineStr">
        <is>
          <t>Aragorn, the Uniter</t>
        </is>
      </c>
      <c r="E79" s="68" t="n">
        <v>3</v>
      </c>
      <c r="F79" s="69" t="n">
        <v>1</v>
      </c>
      <c r="G79" s="51" t="n">
        <v>1</v>
      </c>
      <c r="H79" s="51" t="n">
        <v>4</v>
      </c>
      <c r="I79" s="51" t="n">
        <v>2</v>
      </c>
      <c r="J79" s="51">
        <f>F79-(1/H79)</f>
        <v/>
      </c>
      <c r="K79" s="51">
        <f>((I79-((H79-1)/H79))-(-5/6))/((5-(5/6))-(-5/6))</f>
        <v/>
      </c>
      <c r="L79" s="51">
        <f>E79-((E80+E81+E82)/3)</f>
        <v/>
      </c>
      <c r="M79" s="70">
        <f>0.5 + (L79 * 0.09)</f>
        <v/>
      </c>
      <c r="N79" s="51">
        <f>((H79-(G79-1))/H79)*(IF(I79&lt;&gt;0,(I79+H79)/H79,1))</f>
        <v/>
      </c>
      <c r="O79" s="71">
        <f>(N79-(1/6))/(10/6)</f>
        <v/>
      </c>
      <c r="P79" s="69" t="n">
        <v>10</v>
      </c>
      <c r="Q79" s="71">
        <f>IF(F79=1,(((1-((P79-3)/12))*0.5)+0.5),((P79/15)*0.5))</f>
        <v/>
      </c>
      <c r="R79" s="51" t="n">
        <v>1</v>
      </c>
      <c r="S79" s="69" t="n">
        <v>1</v>
      </c>
      <c r="T79" s="51" t="n">
        <v>0</v>
      </c>
      <c r="U79" s="71">
        <f>IFERROR(T79/S79, 1)</f>
        <v/>
      </c>
      <c r="V79" s="72" t="n">
        <v>0</v>
      </c>
      <c r="W79" s="73">
        <f>5*((O79*0.3)+(Q79*0.175)+(R79*0.175)+(U79*0.175)+((1-V79)*0.175))</f>
        <v/>
      </c>
    </row>
    <row r="80" ht="14.25" customHeight="1" s="52">
      <c r="A80" s="93" t="n">
        <v>46066</v>
      </c>
      <c r="B80" s="51" t="n">
        <v>21</v>
      </c>
      <c r="C80" s="51" t="inlineStr">
        <is>
          <t>Joseph</t>
        </is>
      </c>
      <c r="D80" s="51" t="inlineStr">
        <is>
          <t>Ulalek, Fused Atrocity</t>
        </is>
      </c>
      <c r="E80" s="68" t="n">
        <v>2</v>
      </c>
      <c r="F80" s="69" t="n">
        <v>0</v>
      </c>
      <c r="G80" s="51" t="n">
        <v>2</v>
      </c>
      <c r="H80" s="51" t="n">
        <v>4</v>
      </c>
      <c r="I80" s="51" t="n">
        <v>0</v>
      </c>
      <c r="J80" s="51">
        <f>F80-(1/H80)</f>
        <v/>
      </c>
      <c r="K80" s="51">
        <f>((I80-((H80-1)/H80))-(-5/6))/((5-(5/6))-(-5/6))</f>
        <v/>
      </c>
      <c r="L80" s="51">
        <f>E80-((E79+E81+E82)/3)</f>
        <v/>
      </c>
      <c r="M80" s="70">
        <f>0.5 + (L80 * 0.09)</f>
        <v/>
      </c>
      <c r="N80" s="51">
        <f>((H80-(G80-1))/H80)*(IF(I80&lt;&gt;0,(I80+H80)/H80,1))</f>
        <v/>
      </c>
      <c r="O80" s="71">
        <f>(N80-(1/6))/(10/6)</f>
        <v/>
      </c>
      <c r="P80" s="69" t="n">
        <v>10</v>
      </c>
      <c r="Q80" s="71">
        <f>IF(F80=1,(((1-((P80-3)/12))*0.5)+0.5),((P80/15)*0.5))</f>
        <v/>
      </c>
      <c r="R80" s="51" t="n">
        <v>0</v>
      </c>
      <c r="S80" s="69" t="n">
        <v>1</v>
      </c>
      <c r="T80" s="51" t="n">
        <v>0</v>
      </c>
      <c r="U80" s="71">
        <f>IFERROR(T80/S80, 1)</f>
        <v/>
      </c>
      <c r="V80" s="72" t="n">
        <v>1</v>
      </c>
      <c r="W80" s="73">
        <f>5*((O80*0.3)+(Q80*0.175)+(R80*0.175)+(U80*0.175)+((1-V80)*0.175))</f>
        <v/>
      </c>
    </row>
    <row r="81" ht="14.25" customHeight="1" s="52">
      <c r="A81" s="93" t="n">
        <v>46066</v>
      </c>
      <c r="B81" s="51" t="n">
        <v>21</v>
      </c>
      <c r="C81" s="51" t="inlineStr">
        <is>
          <t>Ryan</t>
        </is>
      </c>
      <c r="D81" s="51" t="inlineStr">
        <is>
          <t>Ashling, The Limitless</t>
        </is>
      </c>
      <c r="E81" s="68" t="n">
        <v>2</v>
      </c>
      <c r="F81" s="69" t="n">
        <v>0</v>
      </c>
      <c r="G81" s="51" t="n">
        <v>3</v>
      </c>
      <c r="H81" s="51" t="n">
        <v>4</v>
      </c>
      <c r="I81" s="51" t="n">
        <v>1</v>
      </c>
      <c r="J81" s="51">
        <f>F81-(1/H81)</f>
        <v/>
      </c>
      <c r="K81" s="51">
        <f>((I81-((H81-1)/H81))-(-5/6))/((5-(5/6))-(-5/6))</f>
        <v/>
      </c>
      <c r="L81" s="51">
        <f>E81-((E79+E80+E82)/3)</f>
        <v/>
      </c>
      <c r="M81" s="70">
        <f>0.5 + (L81 * 0.09)</f>
        <v/>
      </c>
      <c r="N81" s="51">
        <f>((H81-(G81-1))/H81)*(IF(I81&lt;&gt;0,(I81+H81)/H81,1))</f>
        <v/>
      </c>
      <c r="O81" s="71">
        <f>(N81-(1/6))/(10/6)</f>
        <v/>
      </c>
      <c r="P81" s="69" t="n">
        <v>9</v>
      </c>
      <c r="Q81" s="71">
        <f>IF(F81=1,(((1-((P81-3)/12))*0.5)+0.5),((P81/15)*0.5))</f>
        <v/>
      </c>
      <c r="R81" s="51" t="n">
        <v>1</v>
      </c>
      <c r="S81" s="69" t="n">
        <v>1</v>
      </c>
      <c r="T81" s="51" t="n">
        <v>0</v>
      </c>
      <c r="U81" s="71">
        <f>IFERROR(T81/S81, 1)</f>
        <v/>
      </c>
      <c r="V81" s="72" t="n">
        <v>0</v>
      </c>
      <c r="W81" s="73">
        <f>5*((O81*0.3)+(Q81*0.175)+(R81*0.175)+(U81*0.175)+((1-V81)*0.175))</f>
        <v/>
      </c>
    </row>
    <row r="82" ht="14.25" customHeight="1" s="52">
      <c r="A82" s="92" t="n">
        <v>46066</v>
      </c>
      <c r="B82" s="75" t="n">
        <v>21</v>
      </c>
      <c r="C82" s="75" t="inlineStr">
        <is>
          <t>Mateo</t>
        </is>
      </c>
      <c r="D82" s="75" t="inlineStr">
        <is>
          <t>Auntie Ool, Cursewretch</t>
        </is>
      </c>
      <c r="E82" s="76" t="n">
        <v>4</v>
      </c>
      <c r="F82" s="77" t="n">
        <v>0</v>
      </c>
      <c r="G82" s="75" t="n">
        <v>4</v>
      </c>
      <c r="H82" s="75" t="n">
        <v>4</v>
      </c>
      <c r="I82" s="75" t="n">
        <v>0</v>
      </c>
      <c r="J82" s="75">
        <f>F82-(1/H82)</f>
        <v/>
      </c>
      <c r="K82" s="75">
        <f>((I82-((H82-1)/H82))-(-5/6))/((5-(5/6))-(-5/6))</f>
        <v/>
      </c>
      <c r="L82" s="75">
        <f>E82-((E79+E80+E81)/3)</f>
        <v/>
      </c>
      <c r="M82" s="78">
        <f>0.5 + (L82 * 0.09)</f>
        <v/>
      </c>
      <c r="N82" s="75">
        <f>((H82-(G82-1))/H82)*(IF(I82&lt;&gt;0,(I82+H82)/H82,1))</f>
        <v/>
      </c>
      <c r="O82" s="79">
        <f>(N82-(1/6))/(10/6)</f>
        <v/>
      </c>
      <c r="P82" s="77" t="n">
        <v>9</v>
      </c>
      <c r="Q82" s="79">
        <f>IF(F82=1,(((1-((P82-3)/12))*0.5)+0.5),((P82/15)*0.5))</f>
        <v/>
      </c>
      <c r="R82" s="75" t="n">
        <v>1</v>
      </c>
      <c r="S82" s="77" t="n">
        <v>1</v>
      </c>
      <c r="T82" s="75" t="n">
        <v>1</v>
      </c>
      <c r="U82" s="79">
        <f>IFERROR(T82/S82, 1)</f>
        <v/>
      </c>
      <c r="V82" s="80" t="n">
        <v>0</v>
      </c>
      <c r="W82" s="81">
        <f>5*((O82*0.3)+(Q82*0.175)+(R82*0.175)+(U82*0.175)+((1-V82)*0.175))</f>
        <v/>
      </c>
    </row>
    <row r="83" ht="14.25" customHeight="1" s="52">
      <c r="A83" s="90" t="n">
        <v>46073</v>
      </c>
      <c r="B83" s="87" t="n">
        <v>22</v>
      </c>
      <c r="C83" s="87" t="inlineStr">
        <is>
          <t>Mateo</t>
        </is>
      </c>
      <c r="D83" s="87" t="inlineStr">
        <is>
          <t>Chatterfang, Squirrel General</t>
        </is>
      </c>
      <c r="E83" s="91" t="n">
        <v>2</v>
      </c>
      <c r="F83" s="83" t="n">
        <v>1</v>
      </c>
      <c r="G83" s="87" t="n">
        <v>1</v>
      </c>
      <c r="H83" s="87" t="n">
        <v>5</v>
      </c>
      <c r="I83" s="87" t="n">
        <v>3</v>
      </c>
      <c r="J83" s="87">
        <f>F83-(1/H83)</f>
        <v/>
      </c>
      <c r="K83" s="87">
        <f>((I83-((H83-1)/H83))-(-5/6))/((5-(5/6))-(-5/6))</f>
        <v/>
      </c>
      <c r="L83" s="87">
        <f>E83-((E84+E85+E86+E87)/4)</f>
        <v/>
      </c>
      <c r="M83" s="94">
        <f>0.5 + (L83 * 0.09)</f>
        <v/>
      </c>
      <c r="N83" s="87">
        <f>((H83-(G83-1))/H83)*(IF(I83&lt;&gt;0,(I83+H83)/H83,1))</f>
        <v/>
      </c>
      <c r="O83" s="88">
        <f>(N83-(1/6))/(10/6)</f>
        <v/>
      </c>
      <c r="P83" s="83" t="n">
        <v>8</v>
      </c>
      <c r="Q83" s="88">
        <f>IF(F83=1,(((1-((P83-3)/12))*0.5)+0.5),((P83/15)*0.5))</f>
        <v/>
      </c>
      <c r="R83" s="87" t="n">
        <v>1</v>
      </c>
      <c r="S83" s="83" t="n">
        <v>0</v>
      </c>
      <c r="T83" s="87" t="n">
        <v>0</v>
      </c>
      <c r="U83" s="88">
        <f>IFERROR(T83/S83, 1)</f>
        <v/>
      </c>
      <c r="V83" s="89" t="n">
        <v>0</v>
      </c>
      <c r="W83" s="84">
        <f>5*((O83*0.3)+(Q83*0.175)+(R83*0.175)+(U83*0.175)+((1-V83)*0.175))</f>
        <v/>
      </c>
    </row>
    <row r="84" ht="14.25" customHeight="1" s="52">
      <c r="A84" s="93" t="n">
        <v>46073</v>
      </c>
      <c r="B84" s="51" t="n">
        <v>22</v>
      </c>
      <c r="C84" s="51" t="inlineStr">
        <is>
          <t>Ryan</t>
        </is>
      </c>
      <c r="D84" s="51" t="inlineStr">
        <is>
          <t>Fire Lord Zuko</t>
        </is>
      </c>
      <c r="E84" s="68" t="n">
        <v>3</v>
      </c>
      <c r="F84" s="69" t="n">
        <v>0</v>
      </c>
      <c r="G84" s="51" t="n">
        <v>2</v>
      </c>
      <c r="H84" s="51" t="n">
        <v>5</v>
      </c>
      <c r="I84" s="51" t="n">
        <v>0</v>
      </c>
      <c r="J84" s="51">
        <f>F84-(1/H84)</f>
        <v/>
      </c>
      <c r="K84" s="51">
        <f>((I84-((H84-1)/H84))-(-5/6))/((5-(5/6))-(-5/6))</f>
        <v/>
      </c>
      <c r="L84" s="51">
        <f>E84-((E83+E85+E86+E87)/4)</f>
        <v/>
      </c>
      <c r="M84" s="70">
        <f>0.5 + (L84 * 0.09)</f>
        <v/>
      </c>
      <c r="N84" s="51">
        <f>((H84-(G84-1))/H84)*(IF(I84&lt;&gt;0,(I84+H84)/H84,1))</f>
        <v/>
      </c>
      <c r="O84" s="71">
        <f>(N84-(1/6))/(10/6)</f>
        <v/>
      </c>
      <c r="P84" s="69" t="n">
        <v>8</v>
      </c>
      <c r="Q84" s="71">
        <f>IF(F84=1,(((1-((P84-3)/12))*0.5)+0.5),((P84/15)*0.5))</f>
        <v/>
      </c>
      <c r="R84" s="51" t="n">
        <v>0</v>
      </c>
      <c r="S84" s="69" t="n">
        <v>0</v>
      </c>
      <c r="T84" s="51" t="n">
        <v>0</v>
      </c>
      <c r="U84" s="71">
        <f>IFERROR(T84/S84, 1)</f>
        <v/>
      </c>
      <c r="V84" s="72" t="n">
        <v>1</v>
      </c>
      <c r="W84" s="73">
        <f>5*((O84*0.3)+(Q84*0.175)+(R84*0.175)+(U84*0.175)+((1-V84)*0.175))</f>
        <v/>
      </c>
    </row>
    <row r="85" ht="14.25" customHeight="1" s="52">
      <c r="A85" s="93" t="n">
        <v>46073</v>
      </c>
      <c r="B85" s="51" t="n">
        <v>22</v>
      </c>
      <c r="C85" s="51" t="inlineStr">
        <is>
          <t>Manny</t>
        </is>
      </c>
      <c r="D85" s="51" t="inlineStr">
        <is>
          <t>Aragorn, the Uniter</t>
        </is>
      </c>
      <c r="E85" s="68" t="n">
        <v>3</v>
      </c>
      <c r="F85" s="69" t="n">
        <v>0</v>
      </c>
      <c r="G85" s="51" t="n">
        <v>3</v>
      </c>
      <c r="H85" s="51" t="n">
        <v>5</v>
      </c>
      <c r="I85" s="51" t="n">
        <v>1</v>
      </c>
      <c r="J85" s="51">
        <f>F85-(1/H85)</f>
        <v/>
      </c>
      <c r="K85" s="51">
        <f>((I85-((H85-1)/H85))-(-5/6))/((5-(5/6))-(-5/6))</f>
        <v/>
      </c>
      <c r="L85" s="51">
        <f>E85-((E83+E84+E86+E87)/4)</f>
        <v/>
      </c>
      <c r="M85" s="70">
        <f>0.5 + (L85 * 0.09)</f>
        <v/>
      </c>
      <c r="N85" s="51">
        <f>((H85-(G85-1))/H85)*(IF(I85&lt;&gt;0,(I85+H85)/H85,1))</f>
        <v/>
      </c>
      <c r="O85" s="71">
        <f>(N85-(1/6))/(10/6)</f>
        <v/>
      </c>
      <c r="P85" s="69" t="n">
        <v>7</v>
      </c>
      <c r="Q85" s="71">
        <f>IF(F85=1,(((1-((P85-3)/12))*0.5)+0.5),((P85/15)*0.5))</f>
        <v/>
      </c>
      <c r="R85" s="51" t="n">
        <v>1</v>
      </c>
      <c r="S85" s="69" t="n">
        <v>0</v>
      </c>
      <c r="T85" s="51" t="n">
        <v>0</v>
      </c>
      <c r="U85" s="71">
        <f>IFERROR(T85/S85, 1)</f>
        <v/>
      </c>
      <c r="V85" s="72" t="n">
        <v>0</v>
      </c>
      <c r="W85" s="73">
        <f>5*((O85*0.3)+(Q85*0.175)+(R85*0.175)+(U85*0.175)+((1-V85)*0.175))</f>
        <v/>
      </c>
    </row>
    <row r="86" ht="14.25" customHeight="1" s="52">
      <c r="A86" s="93" t="n">
        <v>46073</v>
      </c>
      <c r="B86" s="51" t="n">
        <v>22</v>
      </c>
      <c r="C86" s="51" t="inlineStr">
        <is>
          <t>Becca</t>
        </is>
      </c>
      <c r="D86" s="51" t="inlineStr">
        <is>
          <t>Ms. Bumbleflower</t>
        </is>
      </c>
      <c r="E86" s="68" t="n">
        <v>2</v>
      </c>
      <c r="F86" s="69" t="n">
        <v>0</v>
      </c>
      <c r="G86" s="51" t="n">
        <v>3</v>
      </c>
      <c r="H86" s="51" t="n">
        <v>5</v>
      </c>
      <c r="I86" s="51" t="n">
        <v>0</v>
      </c>
      <c r="J86" s="51">
        <f>F86-(1/H86)</f>
        <v/>
      </c>
      <c r="K86" s="51">
        <f>((I86-((H86-1)/H86))-(-5/6))/((5-(5/6))-(-5/6))</f>
        <v/>
      </c>
      <c r="L86" s="51">
        <f>E86-((E83+E84+E85+E87)/4)</f>
        <v/>
      </c>
      <c r="M86" s="70">
        <f>0.5 + (L86 * 0.09)</f>
        <v/>
      </c>
      <c r="N86" s="51">
        <f>((H86-(G86-1))/H86)*(IF(I86&lt;&gt;0,(I86+H86)/H86,1))</f>
        <v/>
      </c>
      <c r="O86" s="71">
        <f>(N86-(1/6))/(10/6)</f>
        <v/>
      </c>
      <c r="P86" s="69" t="n">
        <v>7</v>
      </c>
      <c r="Q86" s="71">
        <f>IF(F86=1,(((1-((P86-3)/12))*0.5)+0.5),((P86/15)*0.5))</f>
        <v/>
      </c>
      <c r="R86" s="51" t="n">
        <v>0</v>
      </c>
      <c r="S86" s="69" t="n">
        <v>0</v>
      </c>
      <c r="T86" s="51" t="n">
        <v>0</v>
      </c>
      <c r="U86" s="71">
        <f>IFERROR(T86/S86, 1)</f>
        <v/>
      </c>
      <c r="V86" s="72" t="n">
        <v>0</v>
      </c>
      <c r="W86" s="73">
        <f>5*((O86*0.3)+(Q86*0.175)+(R86*0.175)+(U86*0.175)+((1-V86)*0.175))</f>
        <v/>
      </c>
    </row>
    <row r="87" ht="14.25" customHeight="1" s="52">
      <c r="A87" s="92" t="n">
        <v>46073</v>
      </c>
      <c r="B87" s="75" t="n">
        <v>22</v>
      </c>
      <c r="C87" s="75" t="inlineStr">
        <is>
          <t>Red</t>
        </is>
      </c>
      <c r="D87" s="75" t="inlineStr">
        <is>
          <t>Cloud, Ex-SOLDIER</t>
        </is>
      </c>
      <c r="E87" s="76" t="n">
        <v>2</v>
      </c>
      <c r="F87" s="77" t="n">
        <v>0</v>
      </c>
      <c r="G87" s="75" t="n">
        <v>5</v>
      </c>
      <c r="H87" s="75" t="n">
        <v>5</v>
      </c>
      <c r="I87" s="75" t="n">
        <v>0</v>
      </c>
      <c r="J87" s="75">
        <f>F87-(1/H87)</f>
        <v/>
      </c>
      <c r="K87" s="75">
        <f>((I87-((H87-1)/H87))-(-5/6))/((5-(5/6))-(-5/6))</f>
        <v/>
      </c>
      <c r="L87" s="75">
        <f>E87-((E83+E84+E85+E86)/4)</f>
        <v/>
      </c>
      <c r="M87" s="78">
        <f>0.5 + (L87 * 0.09)</f>
        <v/>
      </c>
      <c r="N87" s="75">
        <f>((H87-(G87-1))/H87)*(IF(I87&lt;&gt;0,(I87+H87)/H87,1))</f>
        <v/>
      </c>
      <c r="O87" s="79">
        <f>(N87-(1/6))/(10/6)</f>
        <v/>
      </c>
      <c r="P87" s="77" t="n">
        <v>7</v>
      </c>
      <c r="Q87" s="79">
        <f>IF(F87=1,(((1-((P87-3)/12))*0.5)+0.5),((P87/15)*0.5))</f>
        <v/>
      </c>
      <c r="R87" s="75" t="n">
        <v>1</v>
      </c>
      <c r="S87" s="77" t="n">
        <v>0</v>
      </c>
      <c r="T87" s="75" t="n">
        <v>0</v>
      </c>
      <c r="U87" s="79">
        <f>IFERROR(T87/S87, 1)</f>
        <v/>
      </c>
      <c r="V87" s="80" t="n">
        <v>0</v>
      </c>
      <c r="W87" s="81">
        <f>5*((O87*0.3)+(Q87*0.175)+(R87*0.175)+(U87*0.175)+((1-V87)*0.175))</f>
        <v/>
      </c>
    </row>
    <row r="88" ht="14.25" customHeight="1" s="52">
      <c r="A88" s="93" t="n">
        <v>46073</v>
      </c>
      <c r="B88" s="51" t="n">
        <v>23</v>
      </c>
      <c r="C88" s="51" t="inlineStr">
        <is>
          <t>Mateo</t>
        </is>
      </c>
      <c r="D88" s="51" t="inlineStr">
        <is>
          <t>Teval, the Balanced Scale</t>
        </is>
      </c>
      <c r="E88" s="68" t="n">
        <v>2</v>
      </c>
      <c r="F88" s="69" t="n">
        <v>1</v>
      </c>
      <c r="G88" s="51" t="n">
        <v>1</v>
      </c>
      <c r="H88" s="51" t="n">
        <v>5</v>
      </c>
      <c r="I88" s="51" t="n">
        <v>3</v>
      </c>
      <c r="J88" s="51">
        <f>F88-(1/H88)</f>
        <v/>
      </c>
      <c r="K88" s="51">
        <f>((I88-((H88-1)/H88))-(-5/6))/((5-(5/6))-(-5/6))</f>
        <v/>
      </c>
      <c r="L88" s="87">
        <f>E88-((E89+E90+E91+E92)/4)</f>
        <v/>
      </c>
      <c r="M88" s="94">
        <f>0.5 + (L88 * 0.09)</f>
        <v/>
      </c>
      <c r="N88" s="51">
        <f>((H88-(G88-1))/H88)*(IF(I88&lt;&gt;0,(I88+H88)/H88,1))</f>
        <v/>
      </c>
      <c r="O88" s="71">
        <f>(N88-(1/6))/(10/6)</f>
        <v/>
      </c>
      <c r="P88" s="69" t="n">
        <v>8</v>
      </c>
      <c r="Q88" s="71">
        <f>IF(F88=1,(((1-((P88-3)/12))*0.5)+0.5),((P88/15)*0.5))</f>
        <v/>
      </c>
      <c r="R88" s="51" t="n">
        <v>1</v>
      </c>
      <c r="S88" s="69" t="n">
        <v>0</v>
      </c>
      <c r="T88" s="51" t="n">
        <v>0</v>
      </c>
      <c r="U88" s="71">
        <f>IFERROR(T88/S88, 1)</f>
        <v/>
      </c>
      <c r="V88" s="72" t="n">
        <v>0</v>
      </c>
      <c r="W88" s="73">
        <f>5*((O88*0.3)+(Q88*0.175)+(R88*0.175)+(U88*0.175)+((1-V88)*0.175))</f>
        <v/>
      </c>
    </row>
    <row r="89" ht="14.25" customHeight="1" s="52">
      <c r="A89" s="93" t="n">
        <v>46073</v>
      </c>
      <c r="B89" s="51" t="n">
        <v>23</v>
      </c>
      <c r="C89" s="51" t="inlineStr">
        <is>
          <t>Becca</t>
        </is>
      </c>
      <c r="D89" s="51" t="inlineStr">
        <is>
          <t>Aminatou, Veil Piercer</t>
        </is>
      </c>
      <c r="E89" s="68" t="n">
        <v>4</v>
      </c>
      <c r="F89" s="69" t="n">
        <v>0</v>
      </c>
      <c r="G89" s="51" t="n">
        <v>2</v>
      </c>
      <c r="H89" s="51" t="n">
        <v>5</v>
      </c>
      <c r="I89" s="51" t="n">
        <v>0</v>
      </c>
      <c r="J89" s="51">
        <f>F89-(1/H89)</f>
        <v/>
      </c>
      <c r="K89" s="51">
        <f>((I89-((H89-1)/H89))-(-5/6))/((5-(5/6))-(-5/6))</f>
        <v/>
      </c>
      <c r="L89" s="51">
        <f>E89-((E88+E90+E91+E92)/4)</f>
        <v/>
      </c>
      <c r="M89" s="70">
        <f>0.5 + (L89 * 0.09)</f>
        <v/>
      </c>
      <c r="N89" s="51">
        <f>((H89-(G89-1))/H89)*(IF(I89&lt;&gt;0,(I89+H89)/H89,1))</f>
        <v/>
      </c>
      <c r="O89" s="71">
        <f>(N89-(1/6))/(10/6)</f>
        <v/>
      </c>
      <c r="P89" s="69" t="n">
        <v>8</v>
      </c>
      <c r="Q89" s="71">
        <f>IF(F89=1,(((1-((P89-3)/12))*0.5)+0.5),((P89/15)*0.5))</f>
        <v/>
      </c>
      <c r="R89" s="51" t="n">
        <v>0</v>
      </c>
      <c r="S89" s="69" t="n">
        <v>0</v>
      </c>
      <c r="T89" s="51" t="n">
        <v>0</v>
      </c>
      <c r="U89" s="71">
        <f>IFERROR(T89/S89, 1)</f>
        <v/>
      </c>
      <c r="V89" s="72" t="n">
        <v>0</v>
      </c>
      <c r="W89" s="73">
        <f>5*((O89*0.3)+(Q89*0.175)+(R89*0.175)+(U89*0.175)+((1-V89)*0.175))</f>
        <v/>
      </c>
    </row>
    <row r="90" ht="14.25" customHeight="1" s="52">
      <c r="A90" s="93" t="n">
        <v>46073</v>
      </c>
      <c r="B90" s="51" t="n">
        <v>23</v>
      </c>
      <c r="C90" s="51" t="inlineStr">
        <is>
          <t>Ryan</t>
        </is>
      </c>
      <c r="D90" s="51" t="inlineStr">
        <is>
          <t>Kratos, Stoic Father/Atreus, Impulsive Son</t>
        </is>
      </c>
      <c r="E90" s="68" t="n">
        <v>2</v>
      </c>
      <c r="F90" s="69" t="n">
        <v>0</v>
      </c>
      <c r="G90" s="51" t="n">
        <v>3</v>
      </c>
      <c r="H90" s="51" t="n">
        <v>5</v>
      </c>
      <c r="I90" s="51" t="n">
        <v>1</v>
      </c>
      <c r="J90" s="51">
        <f>F90-(1/H90)</f>
        <v/>
      </c>
      <c r="K90" s="51">
        <f>((I90-((H90-1)/H90))-(-5/6))/((5-(5/6))-(-5/6))</f>
        <v/>
      </c>
      <c r="L90" s="51">
        <f>E90-((E88+E89+E91+E92)/4)</f>
        <v/>
      </c>
      <c r="M90" s="70">
        <f>0.5 + (L90 * 0.09)</f>
        <v/>
      </c>
      <c r="N90" s="51">
        <f>((H90-(G90-1))/H90)*(IF(I90&lt;&gt;0,(I90+H90)/H90,1))</f>
        <v/>
      </c>
      <c r="O90" s="71">
        <f>(N90-(1/6))/(10/6)</f>
        <v/>
      </c>
      <c r="P90" s="69" t="n">
        <v>7</v>
      </c>
      <c r="Q90" s="71">
        <f>IF(F90=1,(((1-((P90-3)/12))*0.5)+0.5),((P90/15)*0.5))</f>
        <v/>
      </c>
      <c r="R90" s="51" t="n">
        <v>0</v>
      </c>
      <c r="S90" s="69" t="n">
        <v>1</v>
      </c>
      <c r="T90" s="51" t="n">
        <v>0</v>
      </c>
      <c r="U90" s="71">
        <f>IFERROR(T90/S90, 1)</f>
        <v/>
      </c>
      <c r="V90" s="72" t="n">
        <v>0</v>
      </c>
      <c r="W90" s="73">
        <f>5*((O90*0.3)+(Q90*0.175)+(R90*0.175)+(U90*0.175)+((1-V90)*0.175))</f>
        <v/>
      </c>
    </row>
    <row r="91" ht="14.25" customHeight="1" s="52">
      <c r="A91" s="93" t="n">
        <v>46073</v>
      </c>
      <c r="B91" s="51" t="n">
        <v>23</v>
      </c>
      <c r="C91" s="51" t="inlineStr">
        <is>
          <t>Manny</t>
        </is>
      </c>
      <c r="D91" s="51" t="inlineStr">
        <is>
          <t>Rashmi, Eternities Crafter</t>
        </is>
      </c>
      <c r="E91" s="68" t="n">
        <v>3</v>
      </c>
      <c r="F91" s="69" t="n">
        <v>0</v>
      </c>
      <c r="G91" s="51" t="n">
        <v>4</v>
      </c>
      <c r="H91" s="51" t="n">
        <v>5</v>
      </c>
      <c r="I91" s="51" t="n">
        <v>0</v>
      </c>
      <c r="J91" s="51">
        <f>F91-(1/H91)</f>
        <v/>
      </c>
      <c r="K91" s="51">
        <f>((I91-((H91-1)/H91))-(-5/6))/((5-(5/6))-(-5/6))</f>
        <v/>
      </c>
      <c r="L91" s="51">
        <f>E91-((E88+E89+E90+E92)/4)</f>
        <v/>
      </c>
      <c r="M91" s="70">
        <f>0.5 + (L91 * 0.09)</f>
        <v/>
      </c>
      <c r="N91" s="51">
        <f>((H91-(G91-1))/H91)*(IF(I91&lt;&gt;0,(I91+H91)/H91,1))</f>
        <v/>
      </c>
      <c r="O91" s="71">
        <f>(N91-(1/6))/(10/6)</f>
        <v/>
      </c>
      <c r="P91" s="69" t="n">
        <v>6</v>
      </c>
      <c r="Q91" s="71">
        <f>IF(F91=1,(((1-((P91-3)/12))*0.5)+0.5),((P91/15)*0.5))</f>
        <v/>
      </c>
      <c r="R91" s="51" t="n">
        <v>0</v>
      </c>
      <c r="S91" s="69" t="n">
        <v>1</v>
      </c>
      <c r="T91" s="51" t="n">
        <v>1</v>
      </c>
      <c r="U91" s="71">
        <f>IFERROR(T91/S91, 1)</f>
        <v/>
      </c>
      <c r="V91" s="72" t="n">
        <v>1</v>
      </c>
      <c r="W91" s="73">
        <f>5*((O91*0.3)+(Q91*0.175)+(R91*0.175)+(U91*0.175)+((1-V91)*0.175))</f>
        <v/>
      </c>
    </row>
    <row r="92" ht="14.25" customHeight="1" s="52">
      <c r="A92" s="92" t="n">
        <v>46073</v>
      </c>
      <c r="B92" s="75" t="n">
        <v>23</v>
      </c>
      <c r="C92" s="75" t="inlineStr">
        <is>
          <t>Red</t>
        </is>
      </c>
      <c r="D92" s="75" t="inlineStr">
        <is>
          <t>Cloud, Ex-SOLDIER</t>
        </is>
      </c>
      <c r="E92" s="76" t="n">
        <v>2</v>
      </c>
      <c r="F92" s="77" t="n">
        <v>0</v>
      </c>
      <c r="G92" s="75" t="n">
        <v>5</v>
      </c>
      <c r="H92" s="75" t="n">
        <v>5</v>
      </c>
      <c r="I92" s="75" t="n">
        <v>0</v>
      </c>
      <c r="J92" s="75">
        <f>F92-(1/H92)</f>
        <v/>
      </c>
      <c r="K92" s="75">
        <f>((I92-((H92-1)/H92))-(-5/6))/((5-(5/6))-(-5/6))</f>
        <v/>
      </c>
      <c r="L92" s="75">
        <f>E92-((E88+E89+E90+E91)/4)</f>
        <v/>
      </c>
      <c r="M92" s="78">
        <f>0.5 + (L92 * 0.09)</f>
        <v/>
      </c>
      <c r="N92" s="75">
        <f>((H92-(G92-1))/H92)*(IF(I92&lt;&gt;0,(I92+H92)/H92,1))</f>
        <v/>
      </c>
      <c r="O92" s="79">
        <f>(N92-(1/6))/(10/6)</f>
        <v/>
      </c>
      <c r="P92" s="77" t="n">
        <v>6</v>
      </c>
      <c r="Q92" s="79">
        <f>IF(F92=1,(((1-((P92-3)/12))*0.5)+0.5),((P92/15)*0.5))</f>
        <v/>
      </c>
      <c r="R92" s="75" t="n">
        <v>0</v>
      </c>
      <c r="S92" s="77" t="n">
        <v>1</v>
      </c>
      <c r="T92" s="75" t="n">
        <v>0</v>
      </c>
      <c r="U92" s="79">
        <f>IFERROR(T92/S92, 1)</f>
        <v/>
      </c>
      <c r="V92" s="80" t="n">
        <v>0</v>
      </c>
      <c r="W92" s="81">
        <f>5*((O92*0.3)+(Q92*0.175)+(R92*0.175)+(U92*0.175)+((1-V92)*0.175))</f>
        <v/>
      </c>
    </row>
    <row r="93" ht="14.25" customHeight="1" s="52">
      <c r="A93" s="93" t="n">
        <v>46076</v>
      </c>
      <c r="B93" s="51" t="n">
        <v>24</v>
      </c>
      <c r="C93" s="51" t="inlineStr">
        <is>
          <t>Mateo</t>
        </is>
      </c>
      <c r="D93" s="51" t="inlineStr">
        <is>
          <t>Ureni of the Unwritten</t>
        </is>
      </c>
      <c r="E93" s="68" t="n">
        <v>3</v>
      </c>
      <c r="F93" s="69" t="n">
        <v>1</v>
      </c>
      <c r="G93" s="51" t="n">
        <v>1</v>
      </c>
      <c r="H93" s="51" t="n">
        <v>4</v>
      </c>
      <c r="I93" s="51" t="n">
        <v>3</v>
      </c>
      <c r="J93" s="51">
        <f>F93-(1/H93)</f>
        <v/>
      </c>
      <c r="K93" s="51">
        <f>((I93-((H93-1)/H93))-(-5/6))/((5-(5/6))-(-5/6))</f>
        <v/>
      </c>
      <c r="L93" s="51">
        <f>E93-((E94+E95+E96)/3)</f>
        <v/>
      </c>
      <c r="M93" s="70">
        <f>0.5 + (L93 * 0.09)</f>
        <v/>
      </c>
      <c r="N93" s="51">
        <f>((H93-(G93-1))/H93)*(IF(I93&lt;&gt;0,(I93+H93)/H93,1))</f>
        <v/>
      </c>
      <c r="O93" s="71">
        <f>(N93-(1/6))/(10/6)</f>
        <v/>
      </c>
      <c r="P93" s="69" t="n">
        <v>8</v>
      </c>
      <c r="Q93" s="71">
        <f>IF(F93=1,(((1-((P93-3)/12))*0.5)+0.5),((P93/15)*0.5))</f>
        <v/>
      </c>
      <c r="R93" s="51" t="n">
        <v>1</v>
      </c>
      <c r="S93" s="69" t="n">
        <v>0</v>
      </c>
      <c r="T93" s="51" t="n">
        <v>0</v>
      </c>
      <c r="U93" s="71">
        <f>IFERROR(T93/S93, 1)</f>
        <v/>
      </c>
      <c r="V93" s="72" t="n">
        <v>0</v>
      </c>
      <c r="W93" s="73">
        <f>5*((O93*0.3)+(Q93*0.175)+(R93*0.175)+(U93*0.175)+((1-V93)*0.175))</f>
        <v/>
      </c>
    </row>
    <row r="94" ht="14.25" customHeight="1" s="52">
      <c r="A94" s="93" t="n">
        <v>46076</v>
      </c>
      <c r="B94" s="51" t="n">
        <v>24</v>
      </c>
      <c r="C94" s="51" t="inlineStr">
        <is>
          <t>Ryan</t>
        </is>
      </c>
      <c r="D94" s="51" t="inlineStr">
        <is>
          <t>Kratos, Stoic Father/Atreus, Impulsive Son</t>
        </is>
      </c>
      <c r="E94" s="68" t="n">
        <v>2</v>
      </c>
      <c r="F94" s="69" t="n">
        <v>0</v>
      </c>
      <c r="G94" s="51" t="n">
        <v>2</v>
      </c>
      <c r="H94" s="51" t="n">
        <v>4</v>
      </c>
      <c r="I94" s="51" t="n">
        <v>0</v>
      </c>
      <c r="J94" s="51">
        <f>F94-(1/H94)</f>
        <v/>
      </c>
      <c r="K94" s="51">
        <f>((I94-((H94-1)/H94))-(-5/6))/((5-(5/6))-(-5/6))</f>
        <v/>
      </c>
      <c r="L94" s="51">
        <f>E94-((E93+E95+E96)/3)</f>
        <v/>
      </c>
      <c r="M94" s="70">
        <f>0.5 + (L94 * 0.09)</f>
        <v/>
      </c>
      <c r="N94" s="51">
        <f>((H94-(G94-1))/H94)*(IF(I94&lt;&gt;0,(I94+H94)/H94,1))</f>
        <v/>
      </c>
      <c r="O94" s="71">
        <f>(N94-(1/6))/(10/6)</f>
        <v/>
      </c>
      <c r="P94" s="69" t="n">
        <v>8</v>
      </c>
      <c r="Q94" s="71">
        <f>IF(F94=1,(((1-((P94-3)/12))*0.5)+0.5),((P94/15)*0.5))</f>
        <v/>
      </c>
      <c r="R94" s="51" t="n">
        <v>1</v>
      </c>
      <c r="S94" s="69" t="n">
        <v>2</v>
      </c>
      <c r="T94" s="51" t="n">
        <v>1</v>
      </c>
      <c r="U94" s="71">
        <f>IFERROR(T94/S94, 1)</f>
        <v/>
      </c>
      <c r="V94" s="72" t="n">
        <v>0</v>
      </c>
      <c r="W94" s="73">
        <f>5*((O94*0.3)+(Q94*0.175)+(R94*0.175)+(U94*0.175)+((1-V94)*0.175))</f>
        <v/>
      </c>
    </row>
    <row r="95" ht="14.25" customHeight="1" s="52">
      <c r="A95" s="93" t="n">
        <v>46076</v>
      </c>
      <c r="B95" s="51" t="n">
        <v>24</v>
      </c>
      <c r="C95" s="51" t="inlineStr">
        <is>
          <t>Joseph</t>
        </is>
      </c>
      <c r="D95" s="51" t="inlineStr">
        <is>
          <t>Ultima, Origin of Oblivion</t>
        </is>
      </c>
      <c r="E95" s="68" t="n">
        <v>3</v>
      </c>
      <c r="F95" s="69" t="n">
        <v>0</v>
      </c>
      <c r="G95" s="51" t="n">
        <v>3</v>
      </c>
      <c r="H95" s="51" t="n">
        <v>4</v>
      </c>
      <c r="I95" s="51" t="n">
        <v>0</v>
      </c>
      <c r="J95" s="51">
        <f>F95-(1/H95)</f>
        <v/>
      </c>
      <c r="K95" s="51">
        <f>((I95-((H95-1)/H95))-(-5/6))/((5-(5/6))-(-5/6))</f>
        <v/>
      </c>
      <c r="L95" s="51">
        <f>E95-((E93+E94+E96)/3)</f>
        <v/>
      </c>
      <c r="M95" s="70">
        <f>0.5 + (L95 * 0.09)</f>
        <v/>
      </c>
      <c r="N95" s="51">
        <f>((H95-(G95-1))/H95)*(IF(I95&lt;&gt;0,(I95+H95)/H95,1))</f>
        <v/>
      </c>
      <c r="O95" s="71">
        <f>(N95-(1/6))/(10/6)</f>
        <v/>
      </c>
      <c r="P95" s="69" t="n">
        <v>7</v>
      </c>
      <c r="Q95" s="71">
        <f>IF(F95=1,(((1-((P95-3)/12))*0.5)+0.5),((P95/15)*0.5))</f>
        <v/>
      </c>
      <c r="R95" s="51" t="n">
        <v>1</v>
      </c>
      <c r="S95" s="69" t="n">
        <v>1</v>
      </c>
      <c r="T95" s="51" t="n">
        <v>0</v>
      </c>
      <c r="U95" s="71">
        <f>IFERROR(T95/S95, 1)</f>
        <v/>
      </c>
      <c r="V95" s="72" t="n">
        <v>0</v>
      </c>
      <c r="W95" s="73">
        <f>5*((O95*0.3)+(Q95*0.175)+(R95*0.175)+(U95*0.175)+((1-V95)*0.175))</f>
        <v/>
      </c>
    </row>
    <row r="96" ht="14.25" customHeight="1" s="52">
      <c r="A96" s="92" t="n">
        <v>46076</v>
      </c>
      <c r="B96" s="75" t="n">
        <v>24</v>
      </c>
      <c r="C96" s="75" t="inlineStr">
        <is>
          <t>Manny</t>
        </is>
      </c>
      <c r="D96" s="75" t="inlineStr">
        <is>
          <t>Frodo, Adventurous Hobbit/Sam, Loyal Attendant</t>
        </is>
      </c>
      <c r="E96" s="76" t="n">
        <v>4</v>
      </c>
      <c r="F96" s="77" t="n">
        <v>0</v>
      </c>
      <c r="G96" s="75" t="n">
        <v>3</v>
      </c>
      <c r="H96" s="75" t="n">
        <v>4</v>
      </c>
      <c r="I96" s="75" t="n">
        <v>0</v>
      </c>
      <c r="J96" s="75">
        <f>F96-(1/H96)</f>
        <v/>
      </c>
      <c r="K96" s="75">
        <f>((I96-((H96-1)/H96))-(-5/6))/((5-(5/6))-(-5/6))</f>
        <v/>
      </c>
      <c r="L96" s="75">
        <f>E96-((E93+E94+E95)/3)</f>
        <v/>
      </c>
      <c r="M96" s="78">
        <f>0.5 + (L96 * 0.09)</f>
        <v/>
      </c>
      <c r="N96" s="75">
        <f>((H96-(G96-1))/H96)*(IF(I96&lt;&gt;0,(I96+H96)/H96,1))</f>
        <v/>
      </c>
      <c r="O96" s="79">
        <f>(N96-(1/6))/(10/6)</f>
        <v/>
      </c>
      <c r="P96" s="77" t="n">
        <v>7</v>
      </c>
      <c r="Q96" s="79">
        <f>IF(F96=1,(((1-((P96-3)/12))*0.5)+0.5),((P96/15)*0.5))</f>
        <v/>
      </c>
      <c r="R96" s="75" t="n">
        <v>0</v>
      </c>
      <c r="S96" s="77" t="n">
        <v>0</v>
      </c>
      <c r="T96" s="75" t="n">
        <v>0</v>
      </c>
      <c r="U96" s="79">
        <f>IFERROR(T96/S96, 1)</f>
        <v/>
      </c>
      <c r="V96" s="80" t="n">
        <v>0</v>
      </c>
      <c r="W96" s="81">
        <f>5*((O96*0.3)+(Q96*0.175)+(R96*0.175)+(U96*0.175)+((1-V96)*0.175))</f>
        <v/>
      </c>
    </row>
    <row r="97" ht="14.25" customHeight="1" s="52">
      <c r="A97" s="93" t="n">
        <v>46080</v>
      </c>
      <c r="B97" s="51" t="n">
        <v>25</v>
      </c>
      <c r="C97" s="51" t="inlineStr">
        <is>
          <t>Joseph</t>
        </is>
      </c>
      <c r="D97" s="51" t="inlineStr">
        <is>
          <t>Hei Bai, Forest Guardian</t>
        </is>
      </c>
      <c r="E97" s="68" t="n">
        <v>3</v>
      </c>
      <c r="F97" s="69" t="n">
        <v>1</v>
      </c>
      <c r="G97" s="51" t="n">
        <v>1</v>
      </c>
      <c r="H97" s="51" t="n">
        <v>5</v>
      </c>
      <c r="I97" s="51" t="n">
        <v>1</v>
      </c>
      <c r="J97" s="51">
        <f>F97-(1/H97)</f>
        <v/>
      </c>
      <c r="K97" s="51">
        <f>((I97-((H97-1)/H97))-(-5/6))/((5-(5/6))-(-5/6))</f>
        <v/>
      </c>
      <c r="L97" s="87">
        <f>E97-((E98+E99+E100+E101)/4)</f>
        <v/>
      </c>
      <c r="M97" s="94">
        <f>0.5 + (L97 * 0.09)</f>
        <v/>
      </c>
      <c r="N97" s="51">
        <f>((H97-(G97-1))/H97)*(IF(I97&lt;&gt;0,(I97+H97)/H97,1))</f>
        <v/>
      </c>
      <c r="O97" s="71">
        <f>(N97-(1/6))/(10/6)</f>
        <v/>
      </c>
      <c r="P97" s="69" t="n">
        <v>10</v>
      </c>
      <c r="Q97" s="71">
        <f>IF(F97=1,(((1-((P97-3)/12))*0.5)+0.5),((P97/15)*0.5))</f>
        <v/>
      </c>
      <c r="R97" s="51" t="n">
        <v>1</v>
      </c>
      <c r="S97" s="69" t="n">
        <v>1</v>
      </c>
      <c r="T97" s="51" t="n">
        <v>0</v>
      </c>
      <c r="U97" s="71">
        <f>IFERROR(T97/S97, 1)</f>
        <v/>
      </c>
      <c r="V97" s="72" t="n">
        <v>0</v>
      </c>
      <c r="W97" s="73">
        <f>5*((O97*0.3)+(Q97*0.175)+(R97*0.175)+(U97*0.175)+((1-V97)*0.175))</f>
        <v/>
      </c>
    </row>
    <row r="98" ht="14.25" customHeight="1" s="52">
      <c r="A98" s="93" t="n">
        <v>46080</v>
      </c>
      <c r="B98" s="51" t="n">
        <v>25</v>
      </c>
      <c r="C98" s="51" t="inlineStr">
        <is>
          <t>Ryan</t>
        </is>
      </c>
      <c r="D98" s="51" t="inlineStr">
        <is>
          <t>Eowyn, Shieldmaiden</t>
        </is>
      </c>
      <c r="E98" s="68" t="n">
        <v>2</v>
      </c>
      <c r="F98" s="69" t="n">
        <v>0</v>
      </c>
      <c r="G98" s="51" t="n">
        <v>2</v>
      </c>
      <c r="H98" s="51" t="n">
        <v>5</v>
      </c>
      <c r="I98" s="51" t="n">
        <v>2</v>
      </c>
      <c r="J98" s="51">
        <f>F98-(1/H98)</f>
        <v/>
      </c>
      <c r="K98" s="51">
        <f>((I98-((H98-1)/H98))-(-5/6))/((5-(5/6))-(-5/6))</f>
        <v/>
      </c>
      <c r="L98" s="51">
        <f>E98-((E97+E99+E100+E101)/4)</f>
        <v/>
      </c>
      <c r="M98" s="70">
        <f>0.5 + (L98 * 0.09)</f>
        <v/>
      </c>
      <c r="N98" s="51">
        <f>((H98-(G98-1))/H98)*(IF(I98&lt;&gt;0,(I98+H98)/H98,1))</f>
        <v/>
      </c>
      <c r="O98" s="71">
        <f>(N98-(1/6))/(10/6)</f>
        <v/>
      </c>
      <c r="P98" s="69" t="n">
        <v>10</v>
      </c>
      <c r="Q98" s="71">
        <f>IF(F98=1,(((1-((P98-3)/12))*0.5)+0.5),((P98/15)*0.5))</f>
        <v/>
      </c>
      <c r="R98" s="51" t="n">
        <v>0</v>
      </c>
      <c r="S98" s="69" t="n">
        <v>1</v>
      </c>
      <c r="T98" s="51" t="n">
        <v>1</v>
      </c>
      <c r="U98" s="71">
        <f>IFERROR(T98/S98, 1)</f>
        <v/>
      </c>
      <c r="V98" s="72" t="n">
        <v>1</v>
      </c>
      <c r="W98" s="73">
        <f>5*((O98*0.3)+(Q98*0.175)+(R98*0.175)+(U98*0.175)+((1-V98)*0.175))</f>
        <v/>
      </c>
    </row>
    <row r="99" ht="14.25" customHeight="1" s="52">
      <c r="A99" s="93" t="n">
        <v>46080</v>
      </c>
      <c r="B99" s="51" t="n">
        <v>25</v>
      </c>
      <c r="C99" s="51" t="inlineStr">
        <is>
          <t>Mateo</t>
        </is>
      </c>
      <c r="D99" s="51" t="inlineStr">
        <is>
          <t>Fire Lord Azula</t>
        </is>
      </c>
      <c r="E99" s="68" t="n">
        <v>3</v>
      </c>
      <c r="F99" s="69" t="n">
        <v>0</v>
      </c>
      <c r="G99" s="51" t="n">
        <v>3</v>
      </c>
      <c r="H99" s="51" t="n">
        <v>5</v>
      </c>
      <c r="I99" s="51" t="n">
        <v>0</v>
      </c>
      <c r="J99" s="51">
        <f>F99-(1/H99)</f>
        <v/>
      </c>
      <c r="K99" s="51">
        <f>((I99-((H99-1)/H99))-(-5/6))/((5-(5/6))-(-5/6))</f>
        <v/>
      </c>
      <c r="L99" s="51">
        <f>E99-((E97+E98+E100+E101)/4)</f>
        <v/>
      </c>
      <c r="M99" s="70">
        <f>0.5 + (L99 * 0.09)</f>
        <v/>
      </c>
      <c r="N99" s="51">
        <f>((H99-(G99-1))/H99)*(IF(I99&lt;&gt;0,(I99+H99)/H99,1))</f>
        <v/>
      </c>
      <c r="O99" s="71">
        <f>(N99-(1/6))/(10/6)</f>
        <v/>
      </c>
      <c r="P99" s="69" t="n">
        <v>9</v>
      </c>
      <c r="Q99" s="71">
        <f>IF(F99=1,(((1-((P99-3)/12))*0.5)+0.5),((P99/15)*0.5))</f>
        <v/>
      </c>
      <c r="R99" s="51" t="n">
        <v>0</v>
      </c>
      <c r="S99" s="69" t="n">
        <v>2</v>
      </c>
      <c r="T99" s="51" t="n">
        <v>1</v>
      </c>
      <c r="U99" s="71">
        <f>IFERROR(T99/S99, 1)</f>
        <v/>
      </c>
      <c r="V99" s="72" t="n">
        <v>0</v>
      </c>
      <c r="W99" s="73">
        <f>5*((O99*0.3)+(Q99*0.175)+(R99*0.175)+(U99*0.175)+((1-V99)*0.175))</f>
        <v/>
      </c>
    </row>
    <row r="100" ht="14.25" customHeight="1" s="52">
      <c r="A100" s="93" t="n">
        <v>46080</v>
      </c>
      <c r="B100" s="51" t="n">
        <v>25</v>
      </c>
      <c r="C100" s="51" t="inlineStr">
        <is>
          <t>Manny</t>
        </is>
      </c>
      <c r="D100" s="51" t="inlineStr">
        <is>
          <t>Vayne Carudas Solidor</t>
        </is>
      </c>
      <c r="E100" s="68" t="n">
        <v>2</v>
      </c>
      <c r="F100" s="69" t="n">
        <v>0</v>
      </c>
      <c r="G100" s="51" t="n">
        <v>4</v>
      </c>
      <c r="H100" s="51" t="n">
        <v>5</v>
      </c>
      <c r="I100" s="51" t="n">
        <v>0</v>
      </c>
      <c r="J100" s="51">
        <f>F100-(1/H100)</f>
        <v/>
      </c>
      <c r="K100" s="51">
        <f>((I100-((H100-1)/H100))-(-5/6))/((5-(5/6))-(-5/6))</f>
        <v/>
      </c>
      <c r="L100" s="51">
        <f>E100-((E97+E98+E99+E101)/4)</f>
        <v/>
      </c>
      <c r="M100" s="70">
        <f>0.5 + (L100 * 0.09)</f>
        <v/>
      </c>
      <c r="N100" s="51">
        <f>((H100-(G100-1))/H100)*(IF(I100&lt;&gt;0,(I100+H100)/H100,1))</f>
        <v/>
      </c>
      <c r="O100" s="71">
        <f>(N100-(1/6))/(10/6)</f>
        <v/>
      </c>
      <c r="P100" s="69" t="n">
        <v>8</v>
      </c>
      <c r="Q100" s="71">
        <f>IF(F100=1,(((1-((P100-3)/12))*0.5)+0.5),((P100/15)*0.5))</f>
        <v/>
      </c>
      <c r="R100" s="51" t="n">
        <v>1</v>
      </c>
      <c r="S100" s="69" t="n">
        <v>2</v>
      </c>
      <c r="T100" s="51" t="n">
        <v>1</v>
      </c>
      <c r="U100" s="71">
        <f>IFERROR(T100/S100, 1)</f>
        <v/>
      </c>
      <c r="V100" s="72" t="n">
        <v>1</v>
      </c>
      <c r="W100" s="73">
        <f>5*((O100*0.3)+(Q100*0.175)+(R100*0.175)+(U100*0.175)+((1-V100)*0.175))</f>
        <v/>
      </c>
    </row>
    <row r="101" ht="14.25" customHeight="1" s="52">
      <c r="A101" s="92" t="n">
        <v>46080</v>
      </c>
      <c r="B101" s="75" t="n">
        <v>25</v>
      </c>
      <c r="C101" s="75" t="inlineStr">
        <is>
          <t>Becca</t>
        </is>
      </c>
      <c r="D101" s="75" t="inlineStr">
        <is>
          <t>Aminatou, Veil Piercer</t>
        </is>
      </c>
      <c r="E101" s="76" t="n">
        <v>4</v>
      </c>
      <c r="F101" s="77" t="n">
        <v>0</v>
      </c>
      <c r="G101" s="75" t="n">
        <v>5</v>
      </c>
      <c r="H101" s="75" t="n">
        <v>5</v>
      </c>
      <c r="I101" s="75" t="n">
        <v>1</v>
      </c>
      <c r="J101" s="75">
        <f>F101-(1/H101)</f>
        <v/>
      </c>
      <c r="K101" s="75">
        <f>((I101-((H101-1)/H101))-(-5/6))/((5-(5/6))-(-5/6))</f>
        <v/>
      </c>
      <c r="L101" s="75">
        <f>E101-((E97+E98+E99+E100)/4)</f>
        <v/>
      </c>
      <c r="M101" s="78">
        <f>0.5 + (L101 * 0.09)</f>
        <v/>
      </c>
      <c r="N101" s="75">
        <f>((H101-(G101-1))/H101)*(IF(I101&lt;&gt;0,(I101+H101)/H101,1))</f>
        <v/>
      </c>
      <c r="O101" s="79">
        <f>(N101-(1/6))/(10/6)</f>
        <v/>
      </c>
      <c r="P101" s="77" t="n">
        <v>7</v>
      </c>
      <c r="Q101" s="79">
        <f>IF(F101=1,(((1-((P101-3)/12))*0.5)+0.5),((P101/15)*0.5))</f>
        <v/>
      </c>
      <c r="R101" s="75" t="n">
        <v>0</v>
      </c>
      <c r="S101" s="77" t="n">
        <v>0</v>
      </c>
      <c r="T101" s="75" t="n">
        <v>0</v>
      </c>
      <c r="U101" s="79">
        <f>IFERROR(T101/S101, 1)</f>
        <v/>
      </c>
      <c r="V101" s="80" t="n">
        <v>0</v>
      </c>
      <c r="W101" s="81">
        <f>5*((O101*0.3)+(Q101*0.175)+(R101*0.175)+(U101*0.175)+((1-V101)*0.175))</f>
        <v/>
      </c>
    </row>
    <row r="102" ht="14.25" customHeight="1" s="52">
      <c r="A102" s="93" t="n">
        <v>46080</v>
      </c>
      <c r="B102" s="51" t="n">
        <v>26</v>
      </c>
      <c r="C102" s="51" t="inlineStr">
        <is>
          <t>Manny</t>
        </is>
      </c>
      <c r="D102" s="51" t="inlineStr">
        <is>
          <t>Avatar Aang</t>
        </is>
      </c>
      <c r="E102" s="68" t="n">
        <v>3</v>
      </c>
      <c r="F102" s="69" t="n">
        <v>1</v>
      </c>
      <c r="G102" s="51" t="n">
        <v>1</v>
      </c>
      <c r="H102" s="51" t="n">
        <v>5</v>
      </c>
      <c r="I102" s="51" t="n">
        <v>1</v>
      </c>
      <c r="J102" s="51">
        <f>F102-(1/H102)</f>
        <v/>
      </c>
      <c r="K102" s="51">
        <f>((I102-((H102-1)/H102))-(-5/6))/((5-(5/6))-(-5/6))</f>
        <v/>
      </c>
      <c r="L102" s="87">
        <f>E102-((E103+E104+E105+E106)/4)</f>
        <v/>
      </c>
      <c r="M102" s="94">
        <f>0.5 + (L102 * 0.09)</f>
        <v/>
      </c>
      <c r="N102" s="51">
        <f>((H102-(G102-1))/H102)*(IF(I102&lt;&gt;0,(I102+H102)/H102,1))</f>
        <v/>
      </c>
      <c r="O102" s="71">
        <f>(N102-(1/6))/(10/6)</f>
        <v/>
      </c>
      <c r="P102" s="69" t="n">
        <v>12</v>
      </c>
      <c r="Q102" s="71">
        <f>IF(F102=1,(((1-((P102-3)/12))*0.5)+0.5),((P102/15)*0.5))</f>
        <v/>
      </c>
      <c r="R102" s="51" t="n">
        <v>1</v>
      </c>
      <c r="S102" s="69" t="n">
        <v>1</v>
      </c>
      <c r="T102" s="51" t="n">
        <v>0</v>
      </c>
      <c r="U102" s="71">
        <f>IFERROR(T102/S102, 1)</f>
        <v/>
      </c>
      <c r="V102" s="72" t="n">
        <v>0</v>
      </c>
      <c r="W102" s="73">
        <f>5*((O102*0.3)+(Q102*0.175)+(R102*0.175)+(U102*0.175)+((1-V102)*0.175))</f>
        <v/>
      </c>
    </row>
    <row r="103" ht="14.25" customHeight="1" s="52">
      <c r="A103" s="93" t="n">
        <v>46080</v>
      </c>
      <c r="B103" s="51" t="n">
        <v>26</v>
      </c>
      <c r="C103" s="51" t="inlineStr">
        <is>
          <t>Becca</t>
        </is>
      </c>
      <c r="D103" s="51" t="inlineStr">
        <is>
          <t>Ms. Bumbleflower</t>
        </is>
      </c>
      <c r="E103" s="68" t="n">
        <v>2</v>
      </c>
      <c r="F103" s="69" t="n">
        <v>0</v>
      </c>
      <c r="G103" s="51" t="n">
        <v>2</v>
      </c>
      <c r="H103" s="51" t="n">
        <v>5</v>
      </c>
      <c r="I103" s="51" t="n">
        <v>0</v>
      </c>
      <c r="J103" s="51">
        <f>F103-(1/H103)</f>
        <v/>
      </c>
      <c r="K103" s="51">
        <f>((I103-((H103-1)/H103))-(-5/6))/((5-(5/6))-(-5/6))</f>
        <v/>
      </c>
      <c r="L103" s="51">
        <f>E103-((E102+E104+E105+E106)/4)</f>
        <v/>
      </c>
      <c r="M103" s="70">
        <f>0.5 + (L103 * 0.09)</f>
        <v/>
      </c>
      <c r="N103" s="51">
        <f>((H103-(G103-1))/H103)*(IF(I103&lt;&gt;0,(I103+H103)/H103,1))</f>
        <v/>
      </c>
      <c r="O103" s="71">
        <f>(N103-(1/6))/(10/6)</f>
        <v/>
      </c>
      <c r="P103" s="69" t="n">
        <v>12</v>
      </c>
      <c r="Q103" s="71">
        <f>IF(F103=1,(((1-((P103-3)/12))*0.5)+0.5),((P103/15)*0.5))</f>
        <v/>
      </c>
      <c r="R103" s="51" t="n">
        <v>1</v>
      </c>
      <c r="S103" s="69" t="n">
        <v>2</v>
      </c>
      <c r="T103" s="51" t="n">
        <v>1</v>
      </c>
      <c r="U103" s="71">
        <f>IFERROR(T103/S103, 1)</f>
        <v/>
      </c>
      <c r="V103" s="72" t="n">
        <v>0</v>
      </c>
      <c r="W103" s="73">
        <f>5*((O103*0.3)+(Q103*0.175)+(R103*0.175)+(U103*0.175)+((1-V103)*0.175))</f>
        <v/>
      </c>
    </row>
    <row r="104" ht="14.25" customHeight="1" s="52">
      <c r="A104" s="93" t="n">
        <v>46080</v>
      </c>
      <c r="B104" s="51" t="n">
        <v>26</v>
      </c>
      <c r="C104" s="51" t="inlineStr">
        <is>
          <t>Ryan</t>
        </is>
      </c>
      <c r="D104" s="51" t="inlineStr">
        <is>
          <t>Davros, Dalek Creator</t>
        </is>
      </c>
      <c r="E104" s="68" t="n">
        <v>2</v>
      </c>
      <c r="F104" s="69" t="n">
        <v>0</v>
      </c>
      <c r="G104" s="51" t="n">
        <v>3</v>
      </c>
      <c r="H104" s="51" t="n">
        <v>5</v>
      </c>
      <c r="I104" s="51" t="n">
        <v>2</v>
      </c>
      <c r="J104" s="51">
        <f>F104-(1/H104)</f>
        <v/>
      </c>
      <c r="K104" s="51">
        <f>((I104-((H104-1)/H104))-(-5/6))/((5-(5/6))-(-5/6))</f>
        <v/>
      </c>
      <c r="L104" s="51">
        <f>E104-((E102+E103+E105+E106)/4)</f>
        <v/>
      </c>
      <c r="M104" s="70">
        <f>0.5 + (L104 * 0.09)</f>
        <v/>
      </c>
      <c r="N104" s="51">
        <f>((H104-(G104-1))/H104)*(IF(I104&lt;&gt;0,(I104+H104)/H104,1))</f>
        <v/>
      </c>
      <c r="O104" s="71">
        <f>(N104-(1/6))/(10/6)</f>
        <v/>
      </c>
      <c r="P104" s="69" t="n">
        <v>8</v>
      </c>
      <c r="Q104" s="71">
        <f>IF(F104=1,(((1-((P104-3)/12))*0.5)+0.5),((P104/15)*0.5))</f>
        <v/>
      </c>
      <c r="R104" s="51" t="n">
        <v>1</v>
      </c>
      <c r="S104" s="69" t="n">
        <v>1</v>
      </c>
      <c r="T104" s="51" t="n">
        <v>0</v>
      </c>
      <c r="U104" s="71">
        <f>IFERROR(T104/S104, 1)</f>
        <v/>
      </c>
      <c r="V104" s="72" t="n">
        <v>0</v>
      </c>
      <c r="W104" s="73">
        <f>5*((O104*0.3)+(Q104*0.175)+(R104*0.175)+(U104*0.175)+((1-V104)*0.175))</f>
        <v/>
      </c>
    </row>
    <row r="105" ht="14.25" customHeight="1" s="52">
      <c r="A105" s="93" t="n">
        <v>46080</v>
      </c>
      <c r="B105" s="51" t="n">
        <v>26</v>
      </c>
      <c r="C105" s="51" t="inlineStr">
        <is>
          <t>Mateo</t>
        </is>
      </c>
      <c r="D105" s="51" t="inlineStr">
        <is>
          <t>Leonardo, the Balance/Michelangelo, the Heart</t>
        </is>
      </c>
      <c r="E105" s="68" t="n">
        <v>2</v>
      </c>
      <c r="F105" s="69" t="n">
        <v>0</v>
      </c>
      <c r="G105" s="51" t="n">
        <v>3</v>
      </c>
      <c r="H105" s="51" t="n">
        <v>5</v>
      </c>
      <c r="I105" s="51" t="n">
        <v>0</v>
      </c>
      <c r="J105" s="51">
        <f>F105-(1/H105)</f>
        <v/>
      </c>
      <c r="K105" s="51">
        <f>((I105-((H105-1)/H105))-(-5/6))/((5-(5/6))-(-5/6))</f>
        <v/>
      </c>
      <c r="L105" s="51">
        <f>E105-((E102+E103+E104+E106)/4)</f>
        <v/>
      </c>
      <c r="M105" s="70">
        <f>0.5 + (L105 * 0.09)</f>
        <v/>
      </c>
      <c r="N105" s="51">
        <f>((H105-(G105-1))/H105)*(IF(I105&lt;&gt;0,(I105+H105)/H105,1))</f>
        <v/>
      </c>
      <c r="O105" s="71">
        <f>(N105-(1/6))/(10/6)</f>
        <v/>
      </c>
      <c r="P105" s="69" t="n">
        <v>8</v>
      </c>
      <c r="Q105" s="71">
        <f>IF(F105=1,(((1-((P105-3)/12))*0.5)+0.5),((P105/15)*0.5))</f>
        <v/>
      </c>
      <c r="R105" s="51" t="n">
        <v>1</v>
      </c>
      <c r="S105" s="69" t="n">
        <v>1</v>
      </c>
      <c r="T105" s="51" t="n">
        <v>0</v>
      </c>
      <c r="U105" s="71">
        <f>IFERROR(T105/S105, 1)</f>
        <v/>
      </c>
      <c r="V105" s="72" t="n">
        <v>0</v>
      </c>
      <c r="W105" s="73">
        <f>5*((O105*0.3)+(Q105*0.175)+(R105*0.175)+(U105*0.175)+((1-V105)*0.175))</f>
        <v/>
      </c>
    </row>
    <row r="106" ht="14.25" customHeight="1" s="52">
      <c r="A106" s="92" t="n">
        <v>46080</v>
      </c>
      <c r="B106" s="75" t="n">
        <v>26</v>
      </c>
      <c r="C106" s="75" t="inlineStr">
        <is>
          <t>Joseph</t>
        </is>
      </c>
      <c r="D106" s="75" t="inlineStr">
        <is>
          <t>Ultima, Origin of Oblivion</t>
        </is>
      </c>
      <c r="E106" s="76" t="n">
        <v>3</v>
      </c>
      <c r="F106" s="77" t="n">
        <v>0</v>
      </c>
      <c r="G106" s="75" t="n">
        <v>3</v>
      </c>
      <c r="H106" s="75" t="n">
        <v>5</v>
      </c>
      <c r="I106" s="75" t="n">
        <v>1</v>
      </c>
      <c r="J106" s="75">
        <f>F106-(1/H106)</f>
        <v/>
      </c>
      <c r="K106" s="75">
        <f>((I106-((H106-1)/H106))-(-5/6))/((5-(5/6))-(-5/6))</f>
        <v/>
      </c>
      <c r="L106" s="75">
        <f>E106-((E102+E103+E104+E105)/4)</f>
        <v/>
      </c>
      <c r="M106" s="78">
        <f>0.5 + (L106 * 0.09)</f>
        <v/>
      </c>
      <c r="N106" s="75">
        <f>((H106-(G106-1))/H106)*(IF(I106&lt;&gt;0,(I106+H106)/H106,1))</f>
        <v/>
      </c>
      <c r="O106" s="79">
        <f>(N106-(1/6))/(10/6)</f>
        <v/>
      </c>
      <c r="P106" s="77" t="n">
        <v>8</v>
      </c>
      <c r="Q106" s="79">
        <f>IF(F106=1,(((1-((P106-3)/12))*0.5)+0.5),((P106/15)*0.5))</f>
        <v/>
      </c>
      <c r="R106" s="75" t="n">
        <v>0</v>
      </c>
      <c r="S106" s="77" t="n">
        <v>0</v>
      </c>
      <c r="T106" s="75" t="n">
        <v>0</v>
      </c>
      <c r="U106" s="79">
        <f>IFERROR(T106/S106, 1)</f>
        <v/>
      </c>
      <c r="V106" s="80" t="n">
        <v>0</v>
      </c>
      <c r="W106" s="81">
        <f>5*((O106*0.3)+(Q106*0.175)+(R106*0.175)+(U106*0.175)+((1-V106)*0.175))</f>
        <v/>
      </c>
    </row>
    <row r="107" ht="14.25" customHeight="1" s="52">
      <c r="A107" s="93" t="n">
        <v>46087</v>
      </c>
      <c r="B107" s="51" t="n">
        <v>27</v>
      </c>
      <c r="C107" s="51" t="inlineStr">
        <is>
          <t>Ryan</t>
        </is>
      </c>
      <c r="D107" s="51" t="inlineStr">
        <is>
          <t>Cloud, Ex-SOLDIER</t>
        </is>
      </c>
      <c r="E107" s="68" t="n">
        <v>2</v>
      </c>
      <c r="F107" s="69" t="n">
        <v>1</v>
      </c>
      <c r="G107" s="51" t="n">
        <v>1</v>
      </c>
      <c r="H107" s="51" t="n">
        <v>4</v>
      </c>
      <c r="I107" s="51" t="n">
        <v>1</v>
      </c>
      <c r="J107" s="51">
        <f>F107-(1/H107)</f>
        <v/>
      </c>
      <c r="K107" s="51">
        <f>((I107-((H107-1)/H107))-(-5/6))/((5-(5/6))-(-5/6))</f>
        <v/>
      </c>
      <c r="L107" s="51">
        <f>E107-((E108+E109+E110)/3)</f>
        <v/>
      </c>
      <c r="M107" s="70">
        <f>0.5 + (L107 * 0.09)</f>
        <v/>
      </c>
      <c r="N107" s="51">
        <f>((H107-(G107-1))/H107)*(IF(I107&lt;&gt;0,(I107+H107)/H107,1))</f>
        <v/>
      </c>
      <c r="O107" s="71">
        <f>(N107-(1/6))/(10/6)</f>
        <v/>
      </c>
      <c r="P107" s="69" t="n">
        <v>8</v>
      </c>
      <c r="Q107" s="71">
        <f>IF(F107=1,(((1-((P107-3)/12))*0.5)+0.5),((P107/15)*0.5))</f>
        <v/>
      </c>
      <c r="R107" s="51" t="n">
        <v>1</v>
      </c>
      <c r="S107" s="69" t="n">
        <v>0</v>
      </c>
      <c r="T107" s="51" t="n">
        <v>0</v>
      </c>
      <c r="U107" s="71">
        <f>IFERROR(T107/S107, 1)</f>
        <v/>
      </c>
      <c r="V107" s="72" t="n">
        <v>0</v>
      </c>
      <c r="W107" s="73">
        <f>5*((O107*0.3)+(Q107*0.175)+(R107*0.175)+(U107*0.175)+((1-V107)*0.175))</f>
        <v/>
      </c>
    </row>
    <row r="108" ht="14.25" customHeight="1" s="52">
      <c r="A108" s="93" t="n">
        <v>46087</v>
      </c>
      <c r="B108" s="51" t="n">
        <v>27</v>
      </c>
      <c r="C108" s="51" t="inlineStr">
        <is>
          <t>Michelle</t>
        </is>
      </c>
      <c r="D108" s="51" t="inlineStr">
        <is>
          <t>The Wise Mothman</t>
        </is>
      </c>
      <c r="E108" s="68" t="n">
        <v>2</v>
      </c>
      <c r="F108" s="69" t="n">
        <v>0</v>
      </c>
      <c r="G108" s="51" t="n">
        <v>2</v>
      </c>
      <c r="H108" s="51" t="n">
        <v>4</v>
      </c>
      <c r="I108" s="51" t="n">
        <v>2</v>
      </c>
      <c r="J108" s="51">
        <f>F108-(1/H108)</f>
        <v/>
      </c>
      <c r="K108" s="51">
        <f>((I108-((H108-1)/H108))-(-5/6))/((5-(5/6))-(-5/6))</f>
        <v/>
      </c>
      <c r="L108" s="51">
        <f>E108-((E107+E109+E110)/3)</f>
        <v/>
      </c>
      <c r="M108" s="70">
        <f>0.5 + (L108 * 0.09)</f>
        <v/>
      </c>
      <c r="N108" s="51">
        <f>((H108-(G108-1))/H108)*(IF(I108&lt;&gt;0,(I108+H108)/H108,1))</f>
        <v/>
      </c>
      <c r="O108" s="71">
        <f>(N108-(1/6))/(10/6)</f>
        <v/>
      </c>
      <c r="P108" s="69" t="n">
        <v>8</v>
      </c>
      <c r="Q108" s="71">
        <f>IF(F108=1,(((1-((P108-3)/12))*0.5)+0.5),((P108/15)*0.5))</f>
        <v/>
      </c>
      <c r="R108" s="51" t="n">
        <v>1</v>
      </c>
      <c r="S108" s="69" t="n">
        <v>0</v>
      </c>
      <c r="T108" s="51" t="n">
        <v>0</v>
      </c>
      <c r="U108" s="71">
        <f>IFERROR(T108/S108, 1)</f>
        <v/>
      </c>
      <c r="V108" s="72" t="n">
        <v>0</v>
      </c>
      <c r="W108" s="73">
        <f>5*((O108*0.3)+(Q108*0.175)+(R108*0.175)+(U108*0.175)+((1-V108)*0.175))</f>
        <v/>
      </c>
    </row>
    <row r="109" ht="14.25" customHeight="1" s="52">
      <c r="A109" s="93" t="n">
        <v>46087</v>
      </c>
      <c r="B109" s="51" t="n">
        <v>27</v>
      </c>
      <c r="C109" s="51" t="inlineStr">
        <is>
          <t>Mateo</t>
        </is>
      </c>
      <c r="D109" s="51" t="inlineStr">
        <is>
          <t>Leonardo, the Balance/Michelangelo, the Heart</t>
        </is>
      </c>
      <c r="E109" s="68" t="n">
        <v>2</v>
      </c>
      <c r="F109" s="69" t="n">
        <v>0</v>
      </c>
      <c r="G109" s="51" t="n">
        <v>3</v>
      </c>
      <c r="H109" s="51" t="n">
        <v>4</v>
      </c>
      <c r="I109" s="51" t="n">
        <v>0</v>
      </c>
      <c r="J109" s="51">
        <f>F109-(1/H109)</f>
        <v/>
      </c>
      <c r="K109" s="51">
        <f>((I109-((H109-1)/H109))-(-5/6))/((5-(5/6))-(-5/6))</f>
        <v/>
      </c>
      <c r="L109" s="51">
        <f>E109-((E107+E108+E110)/3)</f>
        <v/>
      </c>
      <c r="M109" s="70">
        <f>0.5 + (L109 * 0.09)</f>
        <v/>
      </c>
      <c r="N109" s="51">
        <f>((H109-(G109-1))/H109)*(IF(I109&lt;&gt;0,(I109+H109)/H109,1))</f>
        <v/>
      </c>
      <c r="O109" s="71">
        <f>(N109-(1/6))/(10/6)</f>
        <v/>
      </c>
      <c r="P109" s="69" t="n">
        <v>8</v>
      </c>
      <c r="Q109" s="71">
        <f>IF(F109=1,(((1-((P109-3)/12))*0.5)+0.5),((P109/15)*0.5))</f>
        <v/>
      </c>
      <c r="R109" s="51" t="n">
        <v>1</v>
      </c>
      <c r="S109" s="69" t="n">
        <v>0</v>
      </c>
      <c r="T109" s="51" t="n">
        <v>0</v>
      </c>
      <c r="U109" s="71">
        <f>IFERROR(T109/S109, 1)</f>
        <v/>
      </c>
      <c r="V109" s="72" t="n">
        <v>0</v>
      </c>
      <c r="W109" s="73">
        <f>5*((O109*0.3)+(Q109*0.175)+(R109*0.175)+(U109*0.175)+((1-V109)*0.175))</f>
        <v/>
      </c>
    </row>
    <row r="110" ht="14.25" customHeight="1" s="52">
      <c r="A110" s="92" t="n">
        <v>46087</v>
      </c>
      <c r="B110" s="75" t="n">
        <v>27</v>
      </c>
      <c r="C110" s="75" t="inlineStr">
        <is>
          <t>Becca</t>
        </is>
      </c>
      <c r="D110" s="75" t="inlineStr">
        <is>
          <t>Aminatou, Veil Piercer</t>
        </is>
      </c>
      <c r="E110" s="76" t="n">
        <v>4</v>
      </c>
      <c r="F110" s="77" t="n">
        <v>0</v>
      </c>
      <c r="G110" s="75" t="n">
        <v>4</v>
      </c>
      <c r="H110" s="75" t="n">
        <v>4</v>
      </c>
      <c r="I110" s="75" t="n">
        <v>0</v>
      </c>
      <c r="J110" s="75">
        <f>F110-(1/H110)</f>
        <v/>
      </c>
      <c r="K110" s="75">
        <f>((I110-((H110-1)/H110))-(-5/6))/((5-(5/6))-(-5/6))</f>
        <v/>
      </c>
      <c r="L110" s="75">
        <f>E110-((E107+E108+E109)/3)</f>
        <v/>
      </c>
      <c r="M110" s="78">
        <f>0.5 + (L110 * 0.09)</f>
        <v/>
      </c>
      <c r="N110" s="75">
        <f>((H110-(G110-1))/H110)*(IF(I110&lt;&gt;0,(I110+H110)/H110,1))</f>
        <v/>
      </c>
      <c r="O110" s="79">
        <f>(N110-(1/6))/(10/6)</f>
        <v/>
      </c>
      <c r="P110" s="77" t="n">
        <v>7</v>
      </c>
      <c r="Q110" s="79">
        <f>IF(F110=1,(((1-((P110-3)/12))*0.5)+0.5),((P110/15)*0.5))</f>
        <v/>
      </c>
      <c r="R110" s="75" t="n">
        <v>0</v>
      </c>
      <c r="S110" s="77" t="n">
        <v>0</v>
      </c>
      <c r="T110" s="75" t="n">
        <v>0</v>
      </c>
      <c r="U110" s="79">
        <f>IFERROR(T110/S110, 1)</f>
        <v/>
      </c>
      <c r="V110" s="80" t="n">
        <v>0</v>
      </c>
      <c r="W110" s="81">
        <f>5*((O110*0.3)+(Q110*0.175)+(R110*0.175)+(U110*0.175)+((1-V110)*0.175))</f>
        <v/>
      </c>
    </row>
    <row r="111" ht="14.25" customHeight="1" s="52">
      <c r="A111" s="93" t="n">
        <v>46096</v>
      </c>
      <c r="B111" s="51" t="n">
        <v>28</v>
      </c>
      <c r="C111" s="51" t="inlineStr">
        <is>
          <t>Manny</t>
        </is>
      </c>
      <c r="D111" s="51" t="inlineStr">
        <is>
          <t>Athreos, God of Passage</t>
        </is>
      </c>
      <c r="E111" s="68" t="n">
        <v>4</v>
      </c>
      <c r="F111" s="69" t="n">
        <v>1</v>
      </c>
      <c r="G111" s="51" t="n">
        <v>1</v>
      </c>
      <c r="H111" s="51" t="n">
        <v>3</v>
      </c>
      <c r="I111" s="51" t="n">
        <v>2</v>
      </c>
      <c r="J111" s="51">
        <f>F111-(1/H111)</f>
        <v/>
      </c>
      <c r="K111" s="51">
        <f>((I111-((H111-1)/H111))-(-5/6))/((5-(5/6))-(-5/6))</f>
        <v/>
      </c>
      <c r="L111" s="68">
        <f>E111-((E112+E113)/2)</f>
        <v/>
      </c>
      <c r="M111" s="70">
        <f>0.5 + (L111 * 0.09)</f>
        <v/>
      </c>
      <c r="N111" s="51">
        <f>((H111-(G111-1))/H111)*(IF(I111&lt;&gt;0,(I111+H111)/H111,1))</f>
        <v/>
      </c>
      <c r="O111" s="71">
        <f>(N111-(1/6))/(10/6)</f>
        <v/>
      </c>
      <c r="P111" s="69" t="n">
        <v>7</v>
      </c>
      <c r="Q111" s="71">
        <f>IF(F111=1,(((1-((P111-3)/12))*0.5)+0.5),((P111/15)*0.5))</f>
        <v/>
      </c>
      <c r="R111" s="51" t="n">
        <v>1</v>
      </c>
      <c r="S111" s="69" t="n">
        <v>0</v>
      </c>
      <c r="T111" s="51" t="n">
        <v>0</v>
      </c>
      <c r="U111" s="71">
        <f>IFERROR(T111/S111, 1)</f>
        <v/>
      </c>
      <c r="V111" s="72" t="n">
        <v>0</v>
      </c>
      <c r="W111" s="73">
        <f>5*((O111*0.3)+(Q111*0.175)+(R111*0.175)+(U111*0.175)+((1-V111)*0.175))</f>
        <v/>
      </c>
    </row>
    <row r="112" ht="14.25" customHeight="1" s="52">
      <c r="A112" s="93" t="n">
        <v>46096</v>
      </c>
      <c r="B112" s="51" t="n">
        <v>28</v>
      </c>
      <c r="C112" s="51" t="inlineStr">
        <is>
          <t>Ryan</t>
        </is>
      </c>
      <c r="D112" s="51" t="inlineStr">
        <is>
          <t>Kratos, Stoic Father/Atreus, Impulsive Son</t>
        </is>
      </c>
      <c r="E112" s="68" t="n">
        <v>2</v>
      </c>
      <c r="F112" s="69" t="n">
        <v>0</v>
      </c>
      <c r="G112" s="51" t="n">
        <v>2</v>
      </c>
      <c r="H112" s="51" t="n">
        <v>3</v>
      </c>
      <c r="I112" s="51" t="n">
        <v>0</v>
      </c>
      <c r="J112" s="51">
        <f>F112-(1/H112)</f>
        <v/>
      </c>
      <c r="K112" s="51">
        <f>((I112-((H112-1)/H112))-(-5/6))/((5-(5/6))-(-5/6))</f>
        <v/>
      </c>
      <c r="L112" s="51">
        <f>E112-((E111+E113)/2)</f>
        <v/>
      </c>
      <c r="M112" s="70">
        <f>0.5 + (L112 * 0.09)</f>
        <v/>
      </c>
      <c r="N112" s="51">
        <f>((H112-(G112-1))/H112)*(IF(I112&lt;&gt;0,(I112+H112)/H112,1))</f>
        <v/>
      </c>
      <c r="O112" s="71">
        <f>(N112-(1/6))/(10/6)</f>
        <v/>
      </c>
      <c r="P112" s="69" t="n">
        <v>7</v>
      </c>
      <c r="Q112" s="71">
        <f>IF(F112=1,(((1-((P112-3)/12))*0.5)+0.5),((P112/15)*0.5))</f>
        <v/>
      </c>
      <c r="R112" s="51" t="n">
        <v>0</v>
      </c>
      <c r="S112" s="69" t="n">
        <v>0</v>
      </c>
      <c r="T112" s="51" t="n">
        <v>0</v>
      </c>
      <c r="U112" s="71">
        <f>IFERROR(T112/S112, 1)</f>
        <v/>
      </c>
      <c r="V112" s="72" t="n">
        <v>0</v>
      </c>
      <c r="W112" s="73">
        <f>5*((O112*0.3)+(Q112*0.175)+(R112*0.175)+(U112*0.175)+((1-V112)*0.175))</f>
        <v/>
      </c>
    </row>
    <row r="113" ht="14.25" customHeight="1" s="52">
      <c r="A113" s="92" t="n">
        <v>46096</v>
      </c>
      <c r="B113" s="75" t="n">
        <v>28</v>
      </c>
      <c r="C113" s="75" t="inlineStr">
        <is>
          <t>Mateo</t>
        </is>
      </c>
      <c r="D113" s="75" t="inlineStr">
        <is>
          <t>Fire Lord Azula</t>
        </is>
      </c>
      <c r="E113" s="76" t="n">
        <v>3</v>
      </c>
      <c r="F113" s="77" t="n">
        <v>0</v>
      </c>
      <c r="G113" s="75" t="n">
        <v>3</v>
      </c>
      <c r="H113" s="75" t="n">
        <v>3</v>
      </c>
      <c r="I113" s="75" t="n">
        <v>0</v>
      </c>
      <c r="J113" s="75">
        <f>F113-(1/H113)</f>
        <v/>
      </c>
      <c r="K113" s="75">
        <f>((I113-((H113-1)/H113))-(-5/6))/((5-(5/6))-(-5/6))</f>
        <v/>
      </c>
      <c r="L113" s="75">
        <f>E113-((E111+E112)/2)</f>
        <v/>
      </c>
      <c r="M113" s="78">
        <f>0.5 + (L113 * 0.09)</f>
        <v/>
      </c>
      <c r="N113" s="75">
        <f>((H113-(G113-1))/H113)*(IF(I113&lt;&gt;0,(I113+H113)/H113,1))</f>
        <v/>
      </c>
      <c r="O113" s="79">
        <f>(N113-(1/6))/(10/6)</f>
        <v/>
      </c>
      <c r="P113" s="77" t="n">
        <v>7</v>
      </c>
      <c r="Q113" s="79">
        <f>IF(F113=1,(((1-((P113-3)/12))*0.5)+0.5),((P113/15)*0.5))</f>
        <v/>
      </c>
      <c r="R113" s="75" t="n">
        <v>0</v>
      </c>
      <c r="S113" s="77" t="n">
        <v>0</v>
      </c>
      <c r="T113" s="75" t="n">
        <v>0</v>
      </c>
      <c r="U113" s="79">
        <f>IFERROR(T113/S113, 1)</f>
        <v/>
      </c>
      <c r="V113" s="80" t="n">
        <v>0</v>
      </c>
      <c r="W113" s="81">
        <f>5*((O113*0.3)+(Q113*0.175)+(R113*0.175)+(U113*0.175)+((1-V113)*0.175))</f>
        <v/>
      </c>
    </row>
    <row r="114" ht="14.25" customHeight="1" s="52">
      <c r="A114" s="93" t="n">
        <v>46101</v>
      </c>
      <c r="B114" s="51" t="n">
        <v>29</v>
      </c>
      <c r="C114" s="51" t="inlineStr">
        <is>
          <t>Mateo</t>
        </is>
      </c>
      <c r="D114" s="51" t="inlineStr">
        <is>
          <t>Teval, the Balanced Scale</t>
        </is>
      </c>
      <c r="E114" s="68" t="n">
        <v>2</v>
      </c>
      <c r="F114" s="69" t="n">
        <v>1</v>
      </c>
      <c r="G114" s="51" t="n">
        <v>1</v>
      </c>
      <c r="H114" s="51" t="n">
        <v>8</v>
      </c>
      <c r="I114" s="51" t="n">
        <v>4</v>
      </c>
      <c r="J114" s="51">
        <f>F114-(1/H114)</f>
        <v/>
      </c>
      <c r="K114" s="51">
        <f>((I114-((H114-1)/H114))-(-5/6))/((5-(5/6))-(-5/6))</f>
        <v/>
      </c>
      <c r="L114" s="68">
        <f>E114-((E115+E116+E117+E118+E119+E120+E121)/7)</f>
        <v/>
      </c>
      <c r="M114" s="70">
        <f>0.5 + (L114 * 0.09)</f>
        <v/>
      </c>
      <c r="N114" s="51">
        <f>((H114-(G114-1))/H114)*(IF(I114&lt;&gt;0,(I114+H114)/H114,1))</f>
        <v/>
      </c>
      <c r="O114" s="71">
        <f>(N114-(1/6))/(10/6)</f>
        <v/>
      </c>
      <c r="P114" s="69" t="n">
        <v>8</v>
      </c>
      <c r="Q114" s="71">
        <f>IF(F114=1,(((1-((P114-3)/12))*0.5)+0.5),((P114/15)*0.5))</f>
        <v/>
      </c>
      <c r="R114" s="51" t="n">
        <v>1</v>
      </c>
      <c r="S114" s="69" t="n">
        <v>0</v>
      </c>
      <c r="T114" s="51" t="n">
        <v>0</v>
      </c>
      <c r="U114" s="71">
        <f>IFERROR(T114/S114, 1)</f>
        <v/>
      </c>
      <c r="V114" s="72" t="n">
        <v>0</v>
      </c>
      <c r="W114" s="73">
        <f>5*((O114*0.3)+(Q114*0.175)+(R114*0.175)+(U114*0.175)+((1-V114)*0.175))</f>
        <v/>
      </c>
    </row>
    <row r="115" ht="14.25" customHeight="1" s="52">
      <c r="A115" s="93" t="n">
        <v>46101</v>
      </c>
      <c r="B115" s="51" t="n">
        <v>29</v>
      </c>
      <c r="C115" s="51" t="inlineStr">
        <is>
          <t>Manny</t>
        </is>
      </c>
      <c r="D115" s="51" t="inlineStr">
        <is>
          <t>Galadriel, Light of Valinor</t>
        </is>
      </c>
      <c r="E115" s="68" t="n">
        <v>3</v>
      </c>
      <c r="F115" s="69" t="n">
        <v>0</v>
      </c>
      <c r="G115" s="51" t="n">
        <v>4</v>
      </c>
      <c r="H115" s="51" t="n">
        <v>8</v>
      </c>
      <c r="I115" s="51" t="n">
        <v>0</v>
      </c>
      <c r="J115" s="51">
        <f>F115-(1/H115)</f>
        <v/>
      </c>
      <c r="K115" s="51">
        <f>((I115-((H115-1)/H115))-(-5/6))/((5-(5/6))-(-5/6))</f>
        <v/>
      </c>
      <c r="L115" s="51">
        <f>E115-((E114+E116+E117+E118+E119+E120+E121)/7)</f>
        <v/>
      </c>
      <c r="M115" s="70">
        <f>0.5 + (L115 * 0.09)</f>
        <v/>
      </c>
      <c r="N115" s="51">
        <f>((H115-(G115-1))/H115)*(IF(I115&lt;&gt;0,(I115+H115)/H115,1))</f>
        <v/>
      </c>
      <c r="O115" s="71">
        <f>(N115-(1/6))/(10/6)</f>
        <v/>
      </c>
      <c r="P115" s="69" t="n">
        <v>7</v>
      </c>
      <c r="Q115" s="71">
        <f>IF(F115=1,(((1-((P115-3)/12))*0.5)+0.5),((P115/15)*0.5))</f>
        <v/>
      </c>
      <c r="R115" s="51" t="n">
        <v>0</v>
      </c>
      <c r="S115" s="69" t="n">
        <v>0</v>
      </c>
      <c r="T115" s="51" t="n">
        <v>0</v>
      </c>
      <c r="U115" s="71">
        <f>IFERROR(T115/S115, 1)</f>
        <v/>
      </c>
      <c r="V115" s="72" t="n">
        <v>0</v>
      </c>
      <c r="W115" s="73">
        <f>5*((O115*0.3)+(Q115*0.175)+(R115*0.175)+(U115*0.175)+((1-V115)*0.175))</f>
        <v/>
      </c>
    </row>
    <row r="116" ht="14.25" customHeight="1" s="52">
      <c r="A116" s="93" t="n">
        <v>46101</v>
      </c>
      <c r="B116" s="51" t="n">
        <v>29</v>
      </c>
      <c r="C116" s="51" t="inlineStr">
        <is>
          <t>Ryan</t>
        </is>
      </c>
      <c r="D116" s="51" t="inlineStr">
        <is>
          <t>Kratos, Stoic Father/Atreus, Impulsive Son</t>
        </is>
      </c>
      <c r="E116" s="68" t="n">
        <v>2</v>
      </c>
      <c r="F116" s="69" t="n">
        <v>0</v>
      </c>
      <c r="G116" s="51" t="n">
        <v>3</v>
      </c>
      <c r="H116" s="51" t="n">
        <v>8</v>
      </c>
      <c r="I116" s="51" t="n">
        <v>0</v>
      </c>
      <c r="J116" s="51">
        <f>F116-(1/H116)</f>
        <v/>
      </c>
      <c r="K116" s="51">
        <f>((I116-((H116-1)/H116))-(-5/6))/((5-(5/6))-(-5/6))</f>
        <v/>
      </c>
      <c r="L116" s="51">
        <f>E116-((E114+E115+E117+E118+E119+E120+E121)/7)</f>
        <v/>
      </c>
      <c r="M116" s="70">
        <f>0.5 + (L116 * 0.09)</f>
        <v/>
      </c>
      <c r="N116" s="51">
        <f>((H116-(G116-1))/H116)*(IF(I116&lt;&gt;0,(I116+H116)/H116,1))</f>
        <v/>
      </c>
      <c r="O116" s="71">
        <f>(N116-(1/6))/(10/6)</f>
        <v/>
      </c>
      <c r="P116" s="69" t="n">
        <v>7</v>
      </c>
      <c r="Q116" s="71">
        <f>IF(F116=1,(((1-((P116-3)/12))*0.5)+0.5),((P116/15)*0.5))</f>
        <v/>
      </c>
      <c r="R116" s="51" t="n">
        <v>0</v>
      </c>
      <c r="S116" s="69" t="n">
        <v>1</v>
      </c>
      <c r="T116" s="51" t="n">
        <v>0</v>
      </c>
      <c r="U116" s="71">
        <f>IFERROR(T116/S116, 1)</f>
        <v/>
      </c>
      <c r="V116" s="72" t="n">
        <v>0</v>
      </c>
      <c r="W116" s="73">
        <f>5*((O116*0.3)+(Q116*0.175)+(R116*0.175)+(U116*0.175)+((1-V116)*0.175))</f>
        <v/>
      </c>
    </row>
    <row r="117" ht="14.25" customHeight="1" s="52">
      <c r="A117" s="93" t="n">
        <v>46101</v>
      </c>
      <c r="B117" s="51" t="n">
        <v>29</v>
      </c>
      <c r="C117" s="51" t="inlineStr">
        <is>
          <t>Becca</t>
        </is>
      </c>
      <c r="D117" s="51" t="inlineStr">
        <is>
          <t>Aminatou, Veil Piercer</t>
        </is>
      </c>
      <c r="E117" s="68" t="n">
        <v>4</v>
      </c>
      <c r="F117" s="69" t="n">
        <v>0</v>
      </c>
      <c r="G117" s="51" t="n">
        <v>4</v>
      </c>
      <c r="H117" s="51" t="n">
        <v>8</v>
      </c>
      <c r="I117" s="51" t="n">
        <v>0</v>
      </c>
      <c r="J117" s="51">
        <f>F117-(1/H117)</f>
        <v/>
      </c>
      <c r="K117" s="51">
        <f>((I117-((H117-1)/H117))-(-5/6))/((5-(5/6))-(-5/6))</f>
        <v/>
      </c>
      <c r="L117" s="51">
        <f>E117-((E114+E115+E116+E118+E119+E120+E121)/7)</f>
        <v/>
      </c>
      <c r="M117" s="70">
        <f>0.5 + (L117 * 0.09)</f>
        <v/>
      </c>
      <c r="N117" s="51">
        <f>((H117-(G117-1))/H117)*(IF(I117&lt;&gt;0,(I117+H117)/H117,1))</f>
        <v/>
      </c>
      <c r="O117" s="71">
        <f>(N117-(1/6))/(10/6)</f>
        <v/>
      </c>
      <c r="P117" s="69" t="n">
        <v>7</v>
      </c>
      <c r="Q117" s="71">
        <f>IF(F117=1,(((1-((P117-3)/12))*0.5)+0.5),((P117/15)*0.5))</f>
        <v/>
      </c>
      <c r="R117" s="51" t="n">
        <v>0</v>
      </c>
      <c r="S117" s="69" t="n">
        <v>0</v>
      </c>
      <c r="T117" s="51" t="n">
        <v>0</v>
      </c>
      <c r="U117" s="71">
        <f>IFERROR(T117/S117, 1)</f>
        <v/>
      </c>
      <c r="V117" s="72" t="n">
        <v>0</v>
      </c>
      <c r="W117" s="73">
        <f>5*((O117*0.3)+(Q117*0.175)+(R117*0.175)+(U117*0.175)+((1-V117)*0.175))</f>
        <v/>
      </c>
    </row>
    <row r="118" ht="14.25" customHeight="1" s="52">
      <c r="A118" s="93" t="n">
        <v>46101</v>
      </c>
      <c r="B118" s="51" t="n">
        <v>29</v>
      </c>
      <c r="C118" s="51" t="inlineStr">
        <is>
          <t>Michelle</t>
        </is>
      </c>
      <c r="D118" s="51" t="inlineStr">
        <is>
          <t>The Wise Mothman</t>
        </is>
      </c>
      <c r="E118" s="68" t="n">
        <v>2</v>
      </c>
      <c r="F118" s="69" t="n">
        <v>0</v>
      </c>
      <c r="G118" s="51" t="n">
        <v>4</v>
      </c>
      <c r="H118" s="51" t="n">
        <v>8</v>
      </c>
      <c r="I118" s="51" t="n">
        <v>0</v>
      </c>
      <c r="J118" s="51">
        <f>F118-(1/H118)</f>
        <v/>
      </c>
      <c r="K118" s="51">
        <f>((I118-((H118-1)/H118))-(-5/6))/((5-(5/6))-(-5/6))</f>
        <v/>
      </c>
      <c r="L118" s="51">
        <f>E118-((E114+E115+E116+E117+E119+E120+E121)/7)</f>
        <v/>
      </c>
      <c r="M118" s="70">
        <f>0.5 + (L118 * 0.09)</f>
        <v/>
      </c>
      <c r="N118" s="51">
        <f>((H118-(G118-1))/H118)*(IF(I118&lt;&gt;0,(I118+H118)/H118,1))</f>
        <v/>
      </c>
      <c r="O118" s="71">
        <f>(N118-(1/6))/(10/6)</f>
        <v/>
      </c>
      <c r="P118" s="69" t="n">
        <v>7</v>
      </c>
      <c r="Q118" s="71">
        <f>IF(F118=1,(((1-((P118-3)/12))*0.5)+0.5),((P118/15)*0.5))</f>
        <v/>
      </c>
      <c r="R118" s="51" t="n">
        <v>0</v>
      </c>
      <c r="S118" s="69" t="n">
        <v>1</v>
      </c>
      <c r="T118" s="51" t="n">
        <v>0</v>
      </c>
      <c r="U118" s="71">
        <f>IFERROR(T118/S118, 1)</f>
        <v/>
      </c>
      <c r="V118" s="72" t="n">
        <v>0</v>
      </c>
      <c r="W118" s="73">
        <f>5*((O118*0.3)+(Q118*0.175)+(R118*0.175)+(U118*0.175)+((1-V118)*0.175))</f>
        <v/>
      </c>
    </row>
    <row r="119" ht="14.25" customHeight="1" s="52">
      <c r="A119" s="93" t="n">
        <v>46101</v>
      </c>
      <c r="B119" s="51" t="n">
        <v>29</v>
      </c>
      <c r="C119" s="51" t="inlineStr">
        <is>
          <t>Joseph</t>
        </is>
      </c>
      <c r="D119" s="51" t="inlineStr">
        <is>
          <t>Hei Bai, Forest Guardian</t>
        </is>
      </c>
      <c r="E119" s="68" t="n">
        <v>3</v>
      </c>
      <c r="F119" s="69" t="n">
        <v>0</v>
      </c>
      <c r="G119" s="51" t="n">
        <v>4</v>
      </c>
      <c r="H119" s="51" t="n">
        <v>8</v>
      </c>
      <c r="I119" s="51" t="n">
        <v>0</v>
      </c>
      <c r="J119" s="51">
        <f>F119-(1/H119)</f>
        <v/>
      </c>
      <c r="K119" s="51">
        <f>((I119-((H119-1)/H119))-(-5/6))/((5-(5/6))-(-5/6))</f>
        <v/>
      </c>
      <c r="L119" s="51">
        <f>E119-((E114+E115+E116+E117+E118+E120+E121)/7)</f>
        <v/>
      </c>
      <c r="M119" s="70">
        <f>0.5 + (L119 * 0.09)</f>
        <v/>
      </c>
      <c r="N119" s="51">
        <f>((H119-(G119-1))/H119)*(IF(I119&lt;&gt;0,(I119+H119)/H119,1))</f>
        <v/>
      </c>
      <c r="O119" s="71">
        <f>(N119-(1/6))/(10/6)</f>
        <v/>
      </c>
      <c r="P119" s="69" t="n">
        <v>7</v>
      </c>
      <c r="Q119" s="71">
        <f>IF(F119=1,(((1-((P119-3)/12))*0.5)+0.5),((P119/15)*0.5))</f>
        <v/>
      </c>
      <c r="R119" s="51" t="n">
        <v>0</v>
      </c>
      <c r="S119" s="69" t="n">
        <v>0</v>
      </c>
      <c r="T119" s="51" t="n">
        <v>0</v>
      </c>
      <c r="U119" s="71">
        <f>IFERROR(T119/S119, 1)</f>
        <v/>
      </c>
      <c r="V119" s="72" t="n">
        <v>0</v>
      </c>
      <c r="W119" s="73">
        <f>5*((O119*0.3)+(Q119*0.175)+(R119*0.175)+(U119*0.175)+((1-V119)*0.175))</f>
        <v/>
      </c>
    </row>
    <row r="120" ht="14.25" customHeight="1" s="52">
      <c r="A120" s="93" t="n">
        <v>46101</v>
      </c>
      <c r="B120" s="51" t="n">
        <v>29</v>
      </c>
      <c r="C120" s="51" t="inlineStr">
        <is>
          <t>Red</t>
        </is>
      </c>
      <c r="D120" s="51" t="inlineStr">
        <is>
          <t>Squall, SeeD Mercenary</t>
        </is>
      </c>
      <c r="E120" s="68" t="n">
        <v>3</v>
      </c>
      <c r="F120" s="69" t="n">
        <v>0</v>
      </c>
      <c r="G120" s="51" t="n">
        <v>4</v>
      </c>
      <c r="H120" s="51" t="n">
        <v>8</v>
      </c>
      <c r="I120" s="51" t="n">
        <v>0</v>
      </c>
      <c r="J120" s="51">
        <f>F120-(1/H120)</f>
        <v/>
      </c>
      <c r="K120" s="51">
        <f>((I120-((H120-1)/H120))-(-5/6))/((5-(5/6))-(-5/6))</f>
        <v/>
      </c>
      <c r="L120" s="51">
        <f>E120-((E114+E115+E116+E117+E118+E119+E121)/7)</f>
        <v/>
      </c>
      <c r="M120" s="70">
        <f>0.5 + (L120 * 0.09)</f>
        <v/>
      </c>
      <c r="N120" s="51">
        <f>((H120-(G120-1))/H120)*(IF(I120&lt;&gt;0,(I120+H120)/H120,1))</f>
        <v/>
      </c>
      <c r="O120" s="71">
        <f>(N120-(1/6))/(10/6)</f>
        <v/>
      </c>
      <c r="P120" s="69" t="n">
        <v>7</v>
      </c>
      <c r="Q120" s="71">
        <f>IF(F120=1,(((1-((P120-3)/12))*0.5)+0.5),((P120/15)*0.5))</f>
        <v/>
      </c>
      <c r="R120" s="51" t="n">
        <v>1</v>
      </c>
      <c r="S120" s="69" t="n">
        <v>0</v>
      </c>
      <c r="T120" s="51" t="n">
        <v>0</v>
      </c>
      <c r="U120" s="71">
        <f>IFERROR(T120/S120, 1)</f>
        <v/>
      </c>
      <c r="V120" s="72" t="n">
        <v>0</v>
      </c>
      <c r="W120" s="73">
        <f>5*((O120*0.3)+(Q120*0.175)+(R120*0.175)+(U120*0.175)+((1-V120)*0.175))</f>
        <v/>
      </c>
    </row>
    <row r="121" ht="14.25" customHeight="1" s="52">
      <c r="A121" s="92" t="n">
        <v>46101</v>
      </c>
      <c r="B121" s="75" t="n">
        <v>29</v>
      </c>
      <c r="C121" s="75" t="inlineStr">
        <is>
          <t>Kristy</t>
        </is>
      </c>
      <c r="D121" s="75" t="inlineStr">
        <is>
          <t>Edgar Markov</t>
        </is>
      </c>
      <c r="E121" s="76" t="n">
        <v>4</v>
      </c>
      <c r="F121" s="77" t="n">
        <v>0</v>
      </c>
      <c r="G121" s="75" t="n">
        <v>2</v>
      </c>
      <c r="H121" s="75" t="n">
        <v>8</v>
      </c>
      <c r="I121" s="75" t="n">
        <v>3</v>
      </c>
      <c r="J121" s="75">
        <f>F121-(1/H121)</f>
        <v/>
      </c>
      <c r="K121" s="75">
        <f>((I121-((H121-1)/H121))-(-5/6))/((5-(5/6))-(-5/6))</f>
        <v/>
      </c>
      <c r="L121" s="75">
        <f>E121-((E114+E115+E116+E117+E118+E119+E120)/7)</f>
        <v/>
      </c>
      <c r="M121" s="78">
        <f>0.5 + (L121 * 0.09)</f>
        <v/>
      </c>
      <c r="N121" s="75">
        <f>((H121-(G121-1))/H121)*(IF(I121&lt;&gt;0,(I121+H121)/H121,1))</f>
        <v/>
      </c>
      <c r="O121" s="79">
        <f>(N121-(1/6))/(10/6)</f>
        <v/>
      </c>
      <c r="P121" s="77" t="n">
        <v>8</v>
      </c>
      <c r="Q121" s="79">
        <f>IF(F121=1,(((1-((P121-3)/12))*0.5)+0.5),((P121/15)*0.5))</f>
        <v/>
      </c>
      <c r="R121" s="75" t="n">
        <v>1</v>
      </c>
      <c r="S121" s="77" t="n">
        <v>0</v>
      </c>
      <c r="T121" s="75" t="n">
        <v>0</v>
      </c>
      <c r="U121" s="79">
        <f>IFERROR(T121/S121, 1)</f>
        <v/>
      </c>
      <c r="V121" s="80" t="n">
        <v>0</v>
      </c>
      <c r="W121" s="81">
        <f>5*((O121*0.3)+(Q121*0.175)+(R121*0.175)+(U121*0.175)+((1-V121)*0.175))</f>
        <v/>
      </c>
    </row>
    <row r="122" ht="14.25" customHeight="1" s="52">
      <c r="A122" s="93" t="n">
        <v>46101</v>
      </c>
      <c r="B122" s="51" t="n">
        <v>30</v>
      </c>
      <c r="C122" s="51" t="inlineStr">
        <is>
          <t>Mateo</t>
        </is>
      </c>
      <c r="D122" s="51" t="inlineStr">
        <is>
          <t>Auntie Ool, Cursewretch</t>
        </is>
      </c>
      <c r="E122" s="68" t="n">
        <v>4</v>
      </c>
      <c r="F122" s="69" t="n">
        <v>1</v>
      </c>
      <c r="G122" s="51" t="n">
        <v>1</v>
      </c>
      <c r="H122" s="51" t="n">
        <v>5</v>
      </c>
      <c r="I122" s="51" t="n">
        <v>2</v>
      </c>
      <c r="J122" s="51">
        <f>F122-(1/H122)</f>
        <v/>
      </c>
      <c r="K122" s="51">
        <f>((I122-((H122-1)/H122))-(-5/6))/((5-(5/6))-(-5/6))</f>
        <v/>
      </c>
      <c r="L122" s="87">
        <f>E122-((E123+E124+E125+E126)/4)</f>
        <v/>
      </c>
      <c r="M122" s="94">
        <f>0.5 + (L122 * 0.09)</f>
        <v/>
      </c>
      <c r="N122" s="51">
        <f>((H122-(G122-1))/H122)*(IF(I122&lt;&gt;0,(I122+H122)/H122,1))</f>
        <v/>
      </c>
      <c r="O122" s="71">
        <f>(N122-(1/6))/(10/6)</f>
        <v/>
      </c>
      <c r="P122" s="69" t="n">
        <v>13</v>
      </c>
      <c r="Q122" s="71">
        <f>IF(F122=1,(((1-((P122-3)/12))*0.5)+0.5),((P122/15)*0.5))</f>
        <v/>
      </c>
      <c r="R122" s="51" t="n">
        <v>1</v>
      </c>
      <c r="S122" s="69" t="n">
        <v>1</v>
      </c>
      <c r="T122" s="51" t="n">
        <v>0</v>
      </c>
      <c r="U122" s="71">
        <f>IFERROR(T122/S122, 1)</f>
        <v/>
      </c>
      <c r="V122" s="72" t="n">
        <v>0</v>
      </c>
      <c r="W122" s="73">
        <f>5*((O122*0.3)+(Q122*0.175)+(R122*0.175)+(U122*0.175)+((1-V122)*0.175))</f>
        <v/>
      </c>
    </row>
    <row r="123" ht="14.25" customHeight="1" s="52">
      <c r="A123" s="93" t="n">
        <v>46101</v>
      </c>
      <c r="B123" s="51" t="n">
        <v>30</v>
      </c>
      <c r="C123" s="51" t="inlineStr">
        <is>
          <t>Ryan</t>
        </is>
      </c>
      <c r="D123" s="51" t="inlineStr">
        <is>
          <t>Fire Lord Zuko</t>
        </is>
      </c>
      <c r="E123" s="68" t="n">
        <v>3</v>
      </c>
      <c r="F123" s="69" t="n">
        <v>0</v>
      </c>
      <c r="G123" s="51" t="n">
        <v>2</v>
      </c>
      <c r="H123" s="51" t="n">
        <v>5</v>
      </c>
      <c r="I123" s="51" t="n">
        <v>0</v>
      </c>
      <c r="J123" s="51">
        <f>F123-(1/H123)</f>
        <v/>
      </c>
      <c r="K123" s="51">
        <f>((I123-((H123-1)/H123))-(-5/6))/((5-(5/6))-(-5/6))</f>
        <v/>
      </c>
      <c r="L123" s="51">
        <f>E123-((E122+E124+E125+E126)/4)</f>
        <v/>
      </c>
      <c r="M123" s="70">
        <f>0.5 + (L123 * 0.09)</f>
        <v/>
      </c>
      <c r="N123" s="51">
        <f>((H123-(G123-1))/H123)*(IF(I123&lt;&gt;0,(I123+H123)/H123,1))</f>
        <v/>
      </c>
      <c r="O123" s="71">
        <f>(N123-(1/6))/(10/6)</f>
        <v/>
      </c>
      <c r="P123" s="69" t="n">
        <v>13</v>
      </c>
      <c r="Q123" s="71">
        <f>IF(F123=1,(((1-((P123-3)/12))*0.5)+0.5),((P123/15)*0.5))</f>
        <v/>
      </c>
      <c r="R123" s="51" t="n">
        <v>0</v>
      </c>
      <c r="S123" s="69" t="n">
        <v>1</v>
      </c>
      <c r="T123" s="51" t="n">
        <v>1</v>
      </c>
      <c r="U123" s="71">
        <f>IFERROR(T123/S123, 1)</f>
        <v/>
      </c>
      <c r="V123" s="72" t="n">
        <v>0</v>
      </c>
      <c r="W123" s="73">
        <f>5*((O123*0.3)+(Q123*0.175)+(R123*0.175)+(U123*0.175)+((1-V123)*0.175))</f>
        <v/>
      </c>
    </row>
    <row r="124" ht="14.25" customHeight="1" s="52">
      <c r="A124" s="93" t="n">
        <v>46101</v>
      </c>
      <c r="B124" s="51" t="n">
        <v>30</v>
      </c>
      <c r="C124" s="51" t="inlineStr">
        <is>
          <t>Kristy</t>
        </is>
      </c>
      <c r="D124" s="51" t="inlineStr">
        <is>
          <t>Edgar Markov</t>
        </is>
      </c>
      <c r="E124" s="68" t="n">
        <v>4</v>
      </c>
      <c r="F124" s="69" t="n">
        <v>0</v>
      </c>
      <c r="G124" s="51" t="n">
        <v>3</v>
      </c>
      <c r="H124" s="51" t="n">
        <v>5</v>
      </c>
      <c r="I124" s="51" t="n">
        <v>1</v>
      </c>
      <c r="J124" s="51">
        <f>F124-(1/H124)</f>
        <v/>
      </c>
      <c r="K124" s="51">
        <f>((I124-((H124-1)/H124))-(-5/6))/((5-(5/6))-(-5/6))</f>
        <v/>
      </c>
      <c r="L124" s="51">
        <f>E124-((E122+E123+E125+E126)/4)</f>
        <v/>
      </c>
      <c r="M124" s="70">
        <f>0.5 + (L124 * 0.09)</f>
        <v/>
      </c>
      <c r="N124" s="51">
        <f>((H124-(G124-1))/H124)*(IF(I124&lt;&gt;0,(I124+H124)/H124,1))</f>
        <v/>
      </c>
      <c r="O124" s="71">
        <f>(N124-(1/6))/(10/6)</f>
        <v/>
      </c>
      <c r="P124" s="69" t="n">
        <v>12</v>
      </c>
      <c r="Q124" s="71">
        <f>IF(F124=1,(((1-((P124-3)/12))*0.5)+0.5),((P124/15)*0.5))</f>
        <v/>
      </c>
      <c r="R124" s="51" t="n">
        <v>1</v>
      </c>
      <c r="S124" s="69" t="n">
        <v>0</v>
      </c>
      <c r="T124" s="51" t="n">
        <v>0</v>
      </c>
      <c r="U124" s="71">
        <f>IFERROR(T124/S124, 1)</f>
        <v/>
      </c>
      <c r="V124" s="72" t="n">
        <v>0</v>
      </c>
      <c r="W124" s="73">
        <f>5*((O124*0.3)+(Q124*0.175)+(R124*0.175)+(U124*0.175)+((1-V124)*0.175))</f>
        <v/>
      </c>
    </row>
    <row r="125" ht="14.25" customHeight="1" s="52">
      <c r="A125" s="93" t="n">
        <v>46101</v>
      </c>
      <c r="B125" s="51" t="n">
        <v>30</v>
      </c>
      <c r="C125" s="51" t="inlineStr">
        <is>
          <t>Red</t>
        </is>
      </c>
      <c r="D125" s="51" t="inlineStr">
        <is>
          <t>Squall, SeeD Mercenary</t>
        </is>
      </c>
      <c r="E125" s="68" t="n">
        <v>3</v>
      </c>
      <c r="F125" s="69" t="n">
        <v>0</v>
      </c>
      <c r="G125" s="51" t="n">
        <v>4</v>
      </c>
      <c r="H125" s="51" t="n">
        <v>5</v>
      </c>
      <c r="I125" s="51" t="n">
        <v>1</v>
      </c>
      <c r="J125" s="51">
        <f>F125-(1/H125)</f>
        <v/>
      </c>
      <c r="K125" s="51">
        <f>((I125-((H125-1)/H125))-(-5/6))/((5-(5/6))-(-5/6))</f>
        <v/>
      </c>
      <c r="L125" s="51">
        <f>E125-((E122+E123+E124+E126)/4)</f>
        <v/>
      </c>
      <c r="M125" s="70">
        <f>0.5 + (L125 * 0.09)</f>
        <v/>
      </c>
      <c r="N125" s="51">
        <f>((H125-(G125-1))/H125)*(IF(I125&lt;&gt;0,(I125+H125)/H125,1))</f>
        <v/>
      </c>
      <c r="O125" s="71">
        <f>(N125-(1/6))/(10/6)</f>
        <v/>
      </c>
      <c r="P125" s="69" t="n">
        <v>9</v>
      </c>
      <c r="Q125" s="71">
        <f>IF(F125=1,(((1-((P125-3)/12))*0.5)+0.5),((P125/15)*0.5))</f>
        <v/>
      </c>
      <c r="R125" s="51" t="n">
        <v>1</v>
      </c>
      <c r="S125" s="69" t="n">
        <v>0</v>
      </c>
      <c r="T125" s="51" t="n">
        <v>0</v>
      </c>
      <c r="U125" s="71">
        <f>IFERROR(T125/S125, 1)</f>
        <v/>
      </c>
      <c r="V125" s="72" t="n">
        <v>0</v>
      </c>
      <c r="W125" s="73">
        <f>5*((O125*0.3)+(Q125*0.175)+(R125*0.175)+(U125*0.175)+((1-V125)*0.175))</f>
        <v/>
      </c>
    </row>
    <row r="126" ht="14.25" customHeight="1" s="52">
      <c r="A126" s="92" t="n">
        <v>46101</v>
      </c>
      <c r="B126" s="75" t="n">
        <v>30</v>
      </c>
      <c r="C126" s="75" t="inlineStr">
        <is>
          <t>Manny</t>
        </is>
      </c>
      <c r="D126" s="75" t="inlineStr">
        <is>
          <t>Athreos, God of Passage</t>
        </is>
      </c>
      <c r="E126" s="76" t="n">
        <v>4</v>
      </c>
      <c r="F126" s="77" t="n">
        <v>0</v>
      </c>
      <c r="G126" s="75" t="n">
        <v>5</v>
      </c>
      <c r="H126" s="75" t="n">
        <v>5</v>
      </c>
      <c r="I126" s="75" t="n">
        <v>0</v>
      </c>
      <c r="J126" s="75">
        <f>F126-(1/H126)</f>
        <v/>
      </c>
      <c r="K126" s="75">
        <f>((I126-((H126-1)/H126))-(-5/6))/((5-(5/6))-(-5/6))</f>
        <v/>
      </c>
      <c r="L126" s="75">
        <f>E126-((E122+E123+E124+E125)/4)</f>
        <v/>
      </c>
      <c r="M126" s="78">
        <f>0.5 + (L126 * 0.09)</f>
        <v/>
      </c>
      <c r="N126" s="75">
        <f>((H126-(G126-1))/H126)*(IF(I126&lt;&gt;0,(I126+H126)/H126,1))</f>
        <v/>
      </c>
      <c r="O126" s="79">
        <f>(N126-(1/6))/(10/6)</f>
        <v/>
      </c>
      <c r="P126" s="77" t="n">
        <v>8</v>
      </c>
      <c r="Q126" s="79">
        <f>IF(F126=1,(((1-((P126-3)/12))*0.5)+0.5),((P126/15)*0.5))</f>
        <v/>
      </c>
      <c r="R126" s="75" t="n">
        <v>1</v>
      </c>
      <c r="S126" s="77" t="n">
        <v>0</v>
      </c>
      <c r="T126" s="75" t="n">
        <v>0</v>
      </c>
      <c r="U126" s="79">
        <f>IFERROR(T126/S126, 1)</f>
        <v/>
      </c>
      <c r="V126" s="80" t="n">
        <v>0</v>
      </c>
      <c r="W126" s="81">
        <f>5*((O126*0.3)+(Q126*0.175)+(R126*0.175)+(U126*0.175)+((1-V126)*0.175))</f>
        <v/>
      </c>
    </row>
  </sheetData>
  <autoFilter ref="A2:W74"/>
  <mergeCells count="3">
    <mergeCell ref="P1:Q1"/>
    <mergeCell ref="A1:E1"/>
    <mergeCell ref="S1:U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X116"/>
  <sheetViews>
    <sheetView showFormulas="0" showGridLines="1" showRowColHeaders="1" showZeros="1" rightToLeft="0" tabSelected="0" showOutlineSymbols="1" defaultGridColor="1" view="normal" topLeftCell="A1" colorId="64" zoomScale="96" zoomScaleNormal="96" zoomScalePageLayoutView="100" workbookViewId="0">
      <selection pane="topLeft" activeCell="D18" activeCellId="0" sqref="D18"/>
    </sheetView>
  </sheetViews>
  <sheetFormatPr baseColWidth="8" defaultColWidth="8.5390625" defaultRowHeight="14.25" zeroHeight="0" outlineLevelRow="0"/>
  <cols>
    <col width="10" customWidth="1" style="51" min="1" max="1"/>
    <col width="11.22" customWidth="1" style="51" min="3" max="3"/>
    <col width="48.44" customWidth="1" style="51" min="4" max="4"/>
    <col width="21.78" customWidth="1" style="51" min="5" max="5"/>
    <col width="11.22" customWidth="1" style="51" min="6" max="6"/>
    <col width="9.33" customWidth="1" style="51" min="9" max="9"/>
    <col width="28.22" customWidth="1" style="51" min="10" max="10"/>
    <col width="32.78" customWidth="1" style="51" min="11" max="13"/>
    <col width="29.33" customWidth="1" style="51" min="14" max="14"/>
    <col width="20.78" customWidth="1" style="51" min="15" max="16"/>
    <col width="14" customWidth="1" style="51" min="17" max="18"/>
    <col width="10.11" customWidth="1" style="51" min="19" max="19"/>
    <col width="19.22" customWidth="1" style="51" min="20" max="21"/>
    <col width="19" customWidth="1" style="51" min="22" max="23"/>
    <col width="26.78" customWidth="1" style="51" min="24" max="24"/>
  </cols>
  <sheetData>
    <row r="1" ht="14.25" customHeight="1" s="52">
      <c r="A1" s="53" t="inlineStr">
        <is>
          <t>Base Game Info</t>
        </is>
      </c>
      <c r="B1" s="54" t="n"/>
      <c r="C1" s="54" t="n"/>
      <c r="D1" s="54" t="n"/>
      <c r="E1" s="55" t="n"/>
      <c r="F1" s="56" t="inlineStr">
        <is>
          <t>Player Score</t>
        </is>
      </c>
      <c r="G1" s="57" t="n"/>
      <c r="H1" s="57" t="n"/>
      <c r="I1" s="57" t="n"/>
      <c r="J1" s="57" t="n"/>
      <c r="K1" s="57" t="n"/>
      <c r="L1" s="57" t="n"/>
      <c r="M1" s="57" t="n"/>
      <c r="N1" s="57" t="n"/>
      <c r="O1" s="58" t="n"/>
      <c r="P1" s="53" t="inlineStr">
        <is>
          <t>Turn of Victory/Loss</t>
        </is>
      </c>
      <c r="Q1" s="55" t="n"/>
      <c r="R1" s="53" t="inlineStr">
        <is>
          <t>Pop-Off</t>
        </is>
      </c>
      <c r="S1" s="53" t="inlineStr">
        <is>
          <t>Deck Resilience</t>
        </is>
      </c>
      <c r="T1" s="54" t="n"/>
      <c r="U1" s="55" t="n"/>
      <c r="V1" s="59" t="inlineStr">
        <is>
          <t>Games Clearly Behind</t>
        </is>
      </c>
      <c r="W1" s="60" t="inlineStr">
        <is>
          <t>Game Calculated Deck Strength</t>
        </is>
      </c>
      <c r="X1" s="95" t="n"/>
    </row>
    <row r="2" ht="14.25" customHeight="1" s="52">
      <c r="A2" s="61" t="inlineStr">
        <is>
          <t>Game Date</t>
        </is>
      </c>
      <c r="B2" s="62" t="inlineStr">
        <is>
          <t>Game #</t>
        </is>
      </c>
      <c r="C2" s="62" t="inlineStr">
        <is>
          <t>Player Name</t>
        </is>
      </c>
      <c r="D2" s="62" t="inlineStr">
        <is>
          <t>Commander</t>
        </is>
      </c>
      <c r="E2" s="63" t="inlineStr">
        <is>
          <t>Commander Strength</t>
        </is>
      </c>
      <c r="F2" s="61" t="inlineStr">
        <is>
          <t>Game Result</t>
        </is>
      </c>
      <c r="G2" s="62" t="inlineStr">
        <is>
          <t>Place</t>
        </is>
      </c>
      <c r="H2" s="62" t="inlineStr">
        <is>
          <t>Pod Size</t>
        </is>
      </c>
      <c r="I2" s="62" t="inlineStr">
        <is>
          <t>Knockouts</t>
        </is>
      </c>
      <c r="J2" s="62" t="inlineStr">
        <is>
          <t>Adjusted Pod Size Win/Loss Score</t>
        </is>
      </c>
      <c r="K2" s="62" t="inlineStr">
        <is>
          <t>Knockout Score</t>
        </is>
      </c>
      <c r="L2" s="62" t="inlineStr">
        <is>
          <t>Deck Strength Comparison Differential</t>
        </is>
      </c>
      <c r="M2" s="62" t="inlineStr">
        <is>
          <t>Win Probability based on Deck Strength</t>
        </is>
      </c>
      <c r="N2" s="62" t="inlineStr">
        <is>
          <t>Player Score</t>
        </is>
      </c>
      <c r="O2" s="63" t="inlineStr">
        <is>
          <t>Normalized Player Score</t>
        </is>
      </c>
      <c r="P2" s="64" t="inlineStr">
        <is>
          <t>TOV</t>
        </is>
      </c>
      <c r="Q2" s="65" t="inlineStr">
        <is>
          <t>Normalized TOV</t>
        </is>
      </c>
      <c r="R2" s="66" t="inlineStr">
        <is>
          <t>Pop-Off</t>
        </is>
      </c>
      <c r="S2" s="61" t="inlineStr">
        <is>
          <t>Disruptions</t>
        </is>
      </c>
      <c r="T2" s="62" t="inlineStr">
        <is>
          <t>Successful Recoveries</t>
        </is>
      </c>
      <c r="U2" s="63" t="inlineStr">
        <is>
          <t>Deck Resilience Score</t>
        </is>
      </c>
      <c r="V2" s="66" t="inlineStr">
        <is>
          <t>Games Clearly Behind</t>
        </is>
      </c>
      <c r="W2" s="66" t="inlineStr">
        <is>
          <t>Current Deck Bracket</t>
        </is>
      </c>
      <c r="X2" s="66" t="inlineStr">
        <is>
          <t>Game Calculated Deck Strength</t>
        </is>
      </c>
    </row>
    <row r="3" ht="14.25" customHeight="1" s="52">
      <c r="A3" s="93" t="n">
        <v>46114</v>
      </c>
      <c r="B3" s="51" t="n">
        <v>1</v>
      </c>
      <c r="C3" s="51" t="inlineStr">
        <is>
          <t>Becca</t>
        </is>
      </c>
      <c r="D3" s="51" t="inlineStr">
        <is>
          <t>Ms. Bumbleflower</t>
        </is>
      </c>
      <c r="E3" s="68" t="n">
        <v>2</v>
      </c>
      <c r="F3" s="51" t="n">
        <v>1</v>
      </c>
      <c r="G3" s="51" t="n">
        <v>1</v>
      </c>
      <c r="H3" s="51" t="n">
        <v>5</v>
      </c>
      <c r="I3" s="51" t="n">
        <v>1</v>
      </c>
      <c r="J3" s="51">
        <f>F3-(1/H3)</f>
        <v/>
      </c>
      <c r="K3" s="51">
        <f>((I3-((H3-1)/H3))-(-5/6))/((5-(5/6))-(-5/6))</f>
        <v/>
      </c>
      <c r="L3" s="87">
        <f>E3-((E4+E5+E6+E7)/4)</f>
        <v/>
      </c>
      <c r="M3" s="94">
        <f>0.5 + (L3 * 0.09)</f>
        <v/>
      </c>
      <c r="N3" s="51">
        <f>((H3-(G3-1))/H3)*(IF(I3&lt;&gt;0,(I3+H3)/H3,1))</f>
        <v/>
      </c>
      <c r="O3" s="71">
        <f>(N3-(1/6))/(10/6)</f>
        <v/>
      </c>
      <c r="P3" s="51" t="n">
        <v>12</v>
      </c>
      <c r="Q3" s="71">
        <f>IF(F3=1,(((1-((P3-3)/15))*0.5)+0.5),((P3/18)*0.5))</f>
        <v/>
      </c>
      <c r="R3" s="51" t="n">
        <v>0</v>
      </c>
      <c r="S3" s="51" t="n">
        <v>0</v>
      </c>
      <c r="T3" s="51" t="n">
        <v>0</v>
      </c>
      <c r="U3" s="71">
        <f>IFERROR(T3/S3, 1)</f>
        <v/>
      </c>
      <c r="V3" s="96" t="n">
        <v>0</v>
      </c>
      <c r="W3" s="51" t="n">
        <v>2</v>
      </c>
      <c r="X3" s="82">
        <f>((O3*0.3)+(Q3*0.175)+(R3*0.175)+(U3*0.175)+((1-V3)*0.175))+W3</f>
        <v/>
      </c>
    </row>
    <row r="4" ht="14.25" customHeight="1" s="52">
      <c r="A4" s="93" t="n">
        <v>46114</v>
      </c>
      <c r="B4" s="51" t="n">
        <v>1</v>
      </c>
      <c r="C4" s="51" t="inlineStr">
        <is>
          <t>Mateo</t>
        </is>
      </c>
      <c r="D4" s="51" t="inlineStr">
        <is>
          <t>High Perfect Morcant</t>
        </is>
      </c>
      <c r="E4" s="68" t="n">
        <v>2</v>
      </c>
      <c r="F4" s="51" t="n">
        <v>0</v>
      </c>
      <c r="G4" s="51" t="n">
        <v>2</v>
      </c>
      <c r="H4" s="51" t="n">
        <v>5</v>
      </c>
      <c r="I4" s="51" t="n">
        <v>1</v>
      </c>
      <c r="J4" s="51">
        <f>F4-(1/H4)</f>
        <v/>
      </c>
      <c r="K4" s="51">
        <f>((I4-((H4-1)/H4))-(-5/6))/((5-(5/6))-(-5/6))</f>
        <v/>
      </c>
      <c r="L4" s="51">
        <f>E4-((E3+E5+E6+E7)/4)</f>
        <v/>
      </c>
      <c r="M4" s="70">
        <f>0.5 + (L4 * 0.09)</f>
        <v/>
      </c>
      <c r="N4" s="51">
        <f>((H4-(G4-1))/H4)*(IF(I4&lt;&gt;0,(I4+H4)/H4,1))</f>
        <v/>
      </c>
      <c r="O4" s="71">
        <f>(N4-(1/6))/(10/6)</f>
        <v/>
      </c>
      <c r="P4" s="51" t="n">
        <v>12</v>
      </c>
      <c r="Q4" s="71">
        <f>IF(F4=1,(((1-((P4-3)/15))*0.5)+0.5),((P4/18)*0.5))</f>
        <v/>
      </c>
      <c r="R4" s="51" t="n">
        <v>0</v>
      </c>
      <c r="S4" s="51" t="n">
        <v>2</v>
      </c>
      <c r="T4" s="51" t="n">
        <v>0</v>
      </c>
      <c r="U4" s="71">
        <f>IFERROR(T4/S4, 1)</f>
        <v/>
      </c>
      <c r="V4" s="72" t="n">
        <v>0</v>
      </c>
      <c r="W4" s="51" t="n">
        <v>2</v>
      </c>
      <c r="X4" s="82">
        <f>((O4*0.3)+(Q4*0.175)+(R4*0.175)+(U4*0.175)+((1-V4)*0.175))+W4</f>
        <v/>
      </c>
    </row>
    <row r="5" ht="14.25" customHeight="1" s="52">
      <c r="A5" s="93" t="n">
        <v>46114</v>
      </c>
      <c r="B5" s="51" t="n">
        <v>1</v>
      </c>
      <c r="C5" s="51" t="inlineStr">
        <is>
          <t>Manny</t>
        </is>
      </c>
      <c r="D5" s="51" t="inlineStr">
        <is>
          <t>Galadriel, Light of Valinor</t>
        </is>
      </c>
      <c r="E5" s="68" t="n">
        <v>3</v>
      </c>
      <c r="F5" s="51" t="n">
        <v>0</v>
      </c>
      <c r="G5" s="51" t="n">
        <v>3</v>
      </c>
      <c r="H5" s="51" t="n">
        <v>5</v>
      </c>
      <c r="I5" s="51" t="n">
        <v>1</v>
      </c>
      <c r="J5" s="51">
        <f>F5-(1/H5)</f>
        <v/>
      </c>
      <c r="K5" s="51">
        <f>((I5-((H5-1)/H5))-(-5/6))/((5-(5/6))-(-5/6))</f>
        <v/>
      </c>
      <c r="L5" s="51">
        <f>E5-((E3+E4+E6+E7)/4)</f>
        <v/>
      </c>
      <c r="M5" s="70">
        <f>0.5 + (L5 * 0.09)</f>
        <v/>
      </c>
      <c r="N5" s="51">
        <f>((H5-(G5-1))/H5)*(IF(I5&lt;&gt;0,(I5+H5)/H5,1))</f>
        <v/>
      </c>
      <c r="O5" s="71">
        <f>(N5-(1/6))/(10/6)</f>
        <v/>
      </c>
      <c r="P5" s="51" t="n">
        <v>11</v>
      </c>
      <c r="Q5" s="71">
        <f>IF(F5=1,(((1-((P5-3)/15))*0.5)+0.5),((P5/18)*0.5))</f>
        <v/>
      </c>
      <c r="R5" s="51" t="n">
        <v>1</v>
      </c>
      <c r="S5" s="51" t="n">
        <v>0</v>
      </c>
      <c r="T5" s="51" t="n">
        <v>0</v>
      </c>
      <c r="U5" s="71">
        <f>IFERROR(T5/S5, 1)</f>
        <v/>
      </c>
      <c r="V5" s="72" t="n">
        <v>0</v>
      </c>
      <c r="W5" s="51" t="n">
        <v>3</v>
      </c>
      <c r="X5" s="82">
        <f>((O5*0.3)+(Q5*0.175)+(R5*0.175)+(U5*0.175)+((1-V5)*0.175))+W5</f>
        <v/>
      </c>
    </row>
    <row r="6" ht="14.25" customHeight="1" s="52">
      <c r="A6" s="93" t="n">
        <v>46114</v>
      </c>
      <c r="B6" s="51" t="n">
        <v>1</v>
      </c>
      <c r="C6" s="51" t="inlineStr">
        <is>
          <t>Ryan</t>
        </is>
      </c>
      <c r="D6" s="51" t="inlineStr">
        <is>
          <t>Eowyn, Shieldmaiden</t>
        </is>
      </c>
      <c r="E6" s="68" t="n">
        <v>3</v>
      </c>
      <c r="F6" s="51" t="n">
        <v>0</v>
      </c>
      <c r="G6" s="51" t="n">
        <v>4</v>
      </c>
      <c r="H6" s="51" t="n">
        <v>5</v>
      </c>
      <c r="I6" s="51" t="n">
        <v>1</v>
      </c>
      <c r="J6" s="51">
        <f>F6-(1/H6)</f>
        <v/>
      </c>
      <c r="K6" s="51">
        <f>((I6-((H6-1)/H6))-(-5/6))/((5-(5/6))-(-5/6))</f>
        <v/>
      </c>
      <c r="L6" s="51">
        <f>E6-((E3+E4+E5+E7)/4)</f>
        <v/>
      </c>
      <c r="M6" s="70">
        <f>0.5 + (L6 * 0.09)</f>
        <v/>
      </c>
      <c r="N6" s="51">
        <f>((H6-(G6-1))/H6)*(IF(I6&lt;&gt;0,(I6+H6)/H6,1))</f>
        <v/>
      </c>
      <c r="O6" s="71">
        <f>(N6-(1/6))/(10/6)</f>
        <v/>
      </c>
      <c r="P6" s="51" t="n">
        <v>9</v>
      </c>
      <c r="Q6" s="71">
        <f>IF(F6=1,(((1-((P6-3)/15))*0.5)+0.5),((P6/18)*0.5))</f>
        <v/>
      </c>
      <c r="R6" s="51" t="n">
        <v>1</v>
      </c>
      <c r="S6" s="51" t="n">
        <v>1</v>
      </c>
      <c r="T6" s="51" t="n">
        <v>1</v>
      </c>
      <c r="U6" s="71">
        <f>IFERROR(T6/S6, 1)</f>
        <v/>
      </c>
      <c r="V6" s="72" t="n">
        <v>0</v>
      </c>
      <c r="W6" s="51" t="n">
        <v>3</v>
      </c>
      <c r="X6" s="82">
        <f>((O6*0.3)+(Q6*0.175)+(R6*0.175)+(U6*0.175)+((1-V6)*0.175))+W6</f>
        <v/>
      </c>
    </row>
    <row r="7" ht="14.25" customHeight="1" s="52">
      <c r="A7" s="92" t="n">
        <v>46114</v>
      </c>
      <c r="B7" s="75" t="n">
        <v>1</v>
      </c>
      <c r="C7" s="75" t="inlineStr">
        <is>
          <t>Kristy</t>
        </is>
      </c>
      <c r="D7" s="75" t="inlineStr">
        <is>
          <t>Edgar Markov</t>
        </is>
      </c>
      <c r="E7" s="76" t="n">
        <v>3</v>
      </c>
      <c r="F7" s="75" t="n">
        <v>0</v>
      </c>
      <c r="G7" s="75" t="n">
        <v>5</v>
      </c>
      <c r="H7" s="75" t="n">
        <v>5</v>
      </c>
      <c r="I7" s="75" t="n">
        <v>0</v>
      </c>
      <c r="J7" s="75">
        <f>F7-(1/H7)</f>
        <v/>
      </c>
      <c r="K7" s="75">
        <f>((I7-((H7-1)/H7))-(-5/6))/((5-(5/6))-(-5/6))</f>
        <v/>
      </c>
      <c r="L7" s="75">
        <f>E7-((E3+E4+E5+E6)/4)</f>
        <v/>
      </c>
      <c r="M7" s="78">
        <f>0.5 + (L7 * 0.09)</f>
        <v/>
      </c>
      <c r="N7" s="75">
        <f>((H7-(G7-1))/H7)*(IF(I7&lt;&gt;0,(I7+H7)/H7,1))</f>
        <v/>
      </c>
      <c r="O7" s="79">
        <f>(N7-(1/6))/(10/6)</f>
        <v/>
      </c>
      <c r="P7" s="75" t="n">
        <v>7</v>
      </c>
      <c r="Q7" s="79">
        <f>IF(F7=1,(((1-((P7-3)/15))*0.5)+0.5),((P7/18)*0.5))</f>
        <v/>
      </c>
      <c r="R7" s="75" t="n">
        <v>1</v>
      </c>
      <c r="S7" s="75" t="n">
        <v>0</v>
      </c>
      <c r="T7" s="75" t="n">
        <v>0</v>
      </c>
      <c r="U7" s="79">
        <f>IFERROR(T7/S7, 1)</f>
        <v/>
      </c>
      <c r="V7" s="80" t="n">
        <v>0</v>
      </c>
      <c r="W7" s="77" t="n">
        <v>4</v>
      </c>
      <c r="X7" s="85">
        <f>((O7*0.3)+(Q7*0.175)+(R7*0.175)+(U7*0.175)+((1-V7)*0.175))+W7</f>
        <v/>
      </c>
    </row>
    <row r="8" ht="14.25" customHeight="1" s="52">
      <c r="A8" s="93" t="n">
        <v>46115</v>
      </c>
      <c r="B8" s="51" t="n">
        <v>2</v>
      </c>
      <c r="C8" s="51" t="inlineStr">
        <is>
          <t>Ryan</t>
        </is>
      </c>
      <c r="D8" s="51" t="inlineStr">
        <is>
          <t>Ashling, The Limitless</t>
        </is>
      </c>
      <c r="E8" s="68" t="n">
        <v>3</v>
      </c>
      <c r="F8" s="51" t="n">
        <v>1</v>
      </c>
      <c r="G8" s="51" t="n">
        <v>1</v>
      </c>
      <c r="H8" s="51" t="n">
        <v>6</v>
      </c>
      <c r="I8" s="51" t="n">
        <v>1</v>
      </c>
      <c r="J8" s="51">
        <f>F8-(1/H8)</f>
        <v/>
      </c>
      <c r="K8" s="51">
        <f>((I8-((H8-1)/H8))-(-5/6))/((5-(5/6))-(-5/6))</f>
        <v/>
      </c>
      <c r="L8" s="51">
        <f>E8-((E9+E10+E11+E12+E13)/5)</f>
        <v/>
      </c>
      <c r="M8" s="70">
        <f>0.5 + (L8 * 0.09)</f>
        <v/>
      </c>
      <c r="N8" s="51">
        <f>((H8-(G8-1))/H8)*(IF(I8&lt;&gt;0,(I8+H8)/H8,1))</f>
        <v/>
      </c>
      <c r="O8" s="71">
        <f>(N8-(1/6))/(10/6)</f>
        <v/>
      </c>
      <c r="P8" s="51" t="n">
        <v>13</v>
      </c>
      <c r="Q8" s="71">
        <f>IF(F8=1,(((1-((P8-3)/15))*0.5)+0.5),((P8/18)*0.5))</f>
        <v/>
      </c>
      <c r="R8" s="51" t="n">
        <v>1</v>
      </c>
      <c r="S8" s="51" t="n">
        <v>1</v>
      </c>
      <c r="T8" s="51" t="n">
        <v>0</v>
      </c>
      <c r="U8" s="71">
        <f>IFERROR(T8/S8, 1)</f>
        <v/>
      </c>
      <c r="V8" s="72" t="n">
        <v>0</v>
      </c>
      <c r="W8" s="69" t="n">
        <v>3</v>
      </c>
      <c r="X8" s="82">
        <f>((O8*0.3)+(Q8*0.175)+(R8*0.175)+(U8*0.175)+((1-V8)*0.175))+W8</f>
        <v/>
      </c>
    </row>
    <row r="9" ht="14.25" customHeight="1" s="52">
      <c r="A9" s="93" t="n">
        <v>46115</v>
      </c>
      <c r="B9" s="51" t="n">
        <v>2</v>
      </c>
      <c r="C9" s="51" t="inlineStr">
        <is>
          <t>Mateo</t>
        </is>
      </c>
      <c r="D9" s="51" t="inlineStr">
        <is>
          <t>Leonardo, the Balance/Michelangelo, the Heart</t>
        </is>
      </c>
      <c r="E9" s="68" t="n">
        <v>2</v>
      </c>
      <c r="F9" s="51" t="n">
        <v>0</v>
      </c>
      <c r="G9" s="51" t="n">
        <v>2</v>
      </c>
      <c r="H9" s="51" t="n">
        <v>6</v>
      </c>
      <c r="I9" s="51" t="n">
        <v>4</v>
      </c>
      <c r="J9" s="51">
        <f>F9-(1/H9)</f>
        <v/>
      </c>
      <c r="K9" s="51">
        <f>((I9-((H9-1)/H9))-(-5/6))/((5-(5/6))-(-5/6))</f>
        <v/>
      </c>
      <c r="L9" s="51">
        <f>E9-((E8+E10+E11+E12+E13)/5)</f>
        <v/>
      </c>
      <c r="M9" s="70">
        <f>0.5 + (L9 * 0.09)</f>
        <v/>
      </c>
      <c r="N9" s="51">
        <f>((H9-(G9-1))/H9)*(IF(I9&lt;&gt;0,(I9+H9)/H9,1))</f>
        <v/>
      </c>
      <c r="O9" s="71">
        <f>(N9-(1/6))/(10/6)</f>
        <v/>
      </c>
      <c r="P9" s="51" t="n">
        <v>13</v>
      </c>
      <c r="Q9" s="71">
        <f>IF(F9=1,(((1-((P9-3)/15))*0.5)+0.5),((P9/18)*0.5))</f>
        <v/>
      </c>
      <c r="R9" s="51" t="n">
        <v>1</v>
      </c>
      <c r="S9" s="51" t="n">
        <v>1</v>
      </c>
      <c r="T9" s="51" t="n">
        <v>0</v>
      </c>
      <c r="U9" s="71">
        <f>IFERROR(T9/S9, 1)</f>
        <v/>
      </c>
      <c r="V9" s="72" t="n">
        <v>0</v>
      </c>
      <c r="W9" s="69" t="n">
        <v>2</v>
      </c>
      <c r="X9" s="82">
        <f>((O9*0.3)+(Q9*0.175)+(R9*0.175)+(U9*0.175)+((1-V9)*0.175))+W9</f>
        <v/>
      </c>
    </row>
    <row r="10" ht="14.25" customHeight="1" s="52">
      <c r="A10" s="93" t="n">
        <v>46115</v>
      </c>
      <c r="B10" s="51" t="n">
        <v>2</v>
      </c>
      <c r="C10" s="51" t="inlineStr">
        <is>
          <t>Joseph</t>
        </is>
      </c>
      <c r="D10" s="51" t="inlineStr">
        <is>
          <t>Valgavoth, Harrower of Souls</t>
        </is>
      </c>
      <c r="E10" s="68" t="n">
        <v>3</v>
      </c>
      <c r="F10" s="51" t="n">
        <v>0</v>
      </c>
      <c r="G10" s="51" t="n">
        <v>3</v>
      </c>
      <c r="H10" s="51" t="n">
        <v>6</v>
      </c>
      <c r="I10" s="51" t="n">
        <v>0</v>
      </c>
      <c r="J10" s="51">
        <f>F10-(1/H10)</f>
        <v/>
      </c>
      <c r="K10" s="51">
        <f>((I10-((H10-1)/H10))-(-5/6))/((5-(5/6))-(-5/6))</f>
        <v/>
      </c>
      <c r="L10" s="51">
        <f>E10-((E8+E9+E11+E12+E13)/5)</f>
        <v/>
      </c>
      <c r="M10" s="70">
        <f>0.5 + (L10 * 0.09)</f>
        <v/>
      </c>
      <c r="N10" s="51">
        <f>((H10-(G10-1))/H10)*(IF(I10&lt;&gt;0,(I10+H10)/H10,1))</f>
        <v/>
      </c>
      <c r="O10" s="71">
        <f>(N10-(1/6))/(10/6)</f>
        <v/>
      </c>
      <c r="P10" s="51" t="n">
        <v>12</v>
      </c>
      <c r="Q10" s="71">
        <f>IF(F10=1,(((1-((P10-3)/15))*0.5)+0.5),((P10/18)*0.5))</f>
        <v/>
      </c>
      <c r="R10" s="51" t="n">
        <v>0</v>
      </c>
      <c r="S10" s="51" t="n">
        <v>2</v>
      </c>
      <c r="T10" s="51" t="n">
        <v>1</v>
      </c>
      <c r="U10" s="71">
        <f>IFERROR(T10/S10, 1)</f>
        <v/>
      </c>
      <c r="V10" s="72" t="n">
        <v>1</v>
      </c>
      <c r="W10" s="69" t="n">
        <v>3</v>
      </c>
      <c r="X10" s="82">
        <f>((O10*0.3)+(Q10*0.175)+(R10*0.175)+(U10*0.175)+((1-V10)*0.175))+W10</f>
        <v/>
      </c>
    </row>
    <row r="11" ht="14.25" customHeight="1" s="52">
      <c r="A11" s="93" t="n">
        <v>46115</v>
      </c>
      <c r="B11" s="51" t="n">
        <v>2</v>
      </c>
      <c r="C11" s="51" t="inlineStr">
        <is>
          <t>Red</t>
        </is>
      </c>
      <c r="D11" s="51" t="inlineStr">
        <is>
          <t>Cloud, Ex-SOLDIER</t>
        </is>
      </c>
      <c r="E11" s="68" t="n">
        <v>2</v>
      </c>
      <c r="F11" s="51" t="n">
        <v>0</v>
      </c>
      <c r="G11" s="51" t="n">
        <v>3</v>
      </c>
      <c r="H11" s="51" t="n">
        <v>6</v>
      </c>
      <c r="I11" s="51" t="n">
        <v>0</v>
      </c>
      <c r="J11" s="51">
        <f>F11-(1/H11)</f>
        <v/>
      </c>
      <c r="K11" s="51">
        <f>((I11-((H11-1)/H11))-(-5/6))/((5-(5/6))-(-5/6))</f>
        <v/>
      </c>
      <c r="L11" s="51">
        <f>E11-((E8+E9+E10+E12+E13)/5)</f>
        <v/>
      </c>
      <c r="M11" s="70">
        <f>0.5 + (L11 * 0.09)</f>
        <v/>
      </c>
      <c r="N11" s="51">
        <f>((H11-(G11-1))/H11)*(IF(I11&lt;&gt;0,(I11+H11)/H11,1))</f>
        <v/>
      </c>
      <c r="O11" s="71">
        <f>(N11-(1/6))/(10/6)</f>
        <v/>
      </c>
      <c r="P11" s="51" t="n">
        <v>12</v>
      </c>
      <c r="Q11" s="71">
        <f>IF(F11=1,(((1-((P11-3)/15))*0.5)+0.5),((P11/18)*0.5))</f>
        <v/>
      </c>
      <c r="R11" s="51" t="n">
        <v>0</v>
      </c>
      <c r="S11" s="51" t="n">
        <v>0</v>
      </c>
      <c r="T11" s="51" t="n">
        <v>0</v>
      </c>
      <c r="U11" s="71">
        <f>IFERROR(T11/S11, 1)</f>
        <v/>
      </c>
      <c r="V11" s="72" t="n">
        <v>1</v>
      </c>
      <c r="W11" s="69" t="n">
        <v>2</v>
      </c>
      <c r="X11" s="82">
        <f>((O11*0.3)+(Q11*0.175)+(R11*0.175)+(U11*0.175)+((1-V11)*0.175))+W11</f>
        <v/>
      </c>
    </row>
    <row r="12" ht="14.25" customHeight="1" s="52">
      <c r="A12" s="93" t="n">
        <v>46115</v>
      </c>
      <c r="B12" s="51" t="n">
        <v>2</v>
      </c>
      <c r="C12" s="51" t="inlineStr">
        <is>
          <t>Kristy</t>
        </is>
      </c>
      <c r="D12" s="51" t="inlineStr">
        <is>
          <t>Edgar Markov</t>
        </is>
      </c>
      <c r="E12" s="68" t="n">
        <v>3</v>
      </c>
      <c r="F12" s="51" t="n">
        <v>0</v>
      </c>
      <c r="G12" s="51" t="n">
        <v>5</v>
      </c>
      <c r="H12" s="51" t="n">
        <v>6</v>
      </c>
      <c r="I12" s="51" t="n">
        <v>0</v>
      </c>
      <c r="J12" s="51">
        <f>F12-(1/H12)</f>
        <v/>
      </c>
      <c r="K12" s="51">
        <f>((I12-((H12-1)/H12))-(-5/6))/((5-(5/6))-(-5/6))</f>
        <v/>
      </c>
      <c r="L12" s="51">
        <f>E12-((E8+E9+E10+E11+E13)/5)</f>
        <v/>
      </c>
      <c r="M12" s="70">
        <f>0.5 + (L12 * 0.09)</f>
        <v/>
      </c>
      <c r="N12" s="51">
        <f>((H12-(G12-1))/H12)*(IF(I12&lt;&gt;0,(I12+H12)/H12,1))</f>
        <v/>
      </c>
      <c r="O12" s="71">
        <f>(N12-(1/6))/(10/6)</f>
        <v/>
      </c>
      <c r="P12" s="51" t="n">
        <v>11</v>
      </c>
      <c r="Q12" s="71">
        <f>IF(F12=1,(((1-((P12-3)/15))*0.5)+0.5),((P12/18)*0.5))</f>
        <v/>
      </c>
      <c r="R12" s="51" t="n">
        <v>1</v>
      </c>
      <c r="S12" s="51" t="n">
        <v>0</v>
      </c>
      <c r="T12" s="51" t="n">
        <v>0</v>
      </c>
      <c r="U12" s="71">
        <f>IFERROR(T12/S12, 1)</f>
        <v/>
      </c>
      <c r="V12" s="72" t="n">
        <v>0</v>
      </c>
      <c r="W12" s="69" t="n">
        <v>4</v>
      </c>
      <c r="X12" s="82">
        <f>((O12*0.3)+(Q12*0.175)+(R12*0.175)+(U12*0.175)+((1-V12)*0.175))+W12</f>
        <v/>
      </c>
    </row>
    <row r="13" ht="14.25" customHeight="1" s="52">
      <c r="A13" s="92" t="n">
        <v>46115</v>
      </c>
      <c r="B13" s="75" t="n">
        <v>2</v>
      </c>
      <c r="C13" s="75" t="inlineStr">
        <is>
          <t>Manny</t>
        </is>
      </c>
      <c r="D13" s="75" t="inlineStr">
        <is>
          <t>Atraxa, Praetor's Voice</t>
        </is>
      </c>
      <c r="E13" s="76" t="n">
        <v>3</v>
      </c>
      <c r="F13" s="75" t="n">
        <v>0</v>
      </c>
      <c r="G13" s="75" t="n">
        <v>6</v>
      </c>
      <c r="H13" s="75" t="n">
        <v>6</v>
      </c>
      <c r="I13" s="75" t="n">
        <v>0</v>
      </c>
      <c r="J13" s="75">
        <f>F13-(1/H13)</f>
        <v/>
      </c>
      <c r="K13" s="75">
        <f>((I13-((H13-1)/H13))-(-5/6))/((5-(5/6))-(-5/6))</f>
        <v/>
      </c>
      <c r="L13" s="75">
        <f>E13-((E8+E9+E10+E11+E12)/5)</f>
        <v/>
      </c>
      <c r="M13" s="78">
        <f>0.5 + (L13 * 0.09)</f>
        <v/>
      </c>
      <c r="N13" s="75">
        <f>((H13-(G13-1))/H13)*(IF(I13&lt;&gt;0,(I13+H13)/H13,1))</f>
        <v/>
      </c>
      <c r="O13" s="79">
        <f>(N13-(1/6))/(10/6)</f>
        <v/>
      </c>
      <c r="P13" s="75" t="n">
        <v>11</v>
      </c>
      <c r="Q13" s="79">
        <f>IF(F13=1,(((1-((P13-3)/15))*0.5)+0.5),((P13/18)*0.5))</f>
        <v/>
      </c>
      <c r="R13" s="75" t="n">
        <v>1</v>
      </c>
      <c r="S13" s="75" t="n">
        <v>0</v>
      </c>
      <c r="T13" s="75" t="n">
        <v>0</v>
      </c>
      <c r="U13" s="79">
        <f>IFERROR(T13/S13, 1)</f>
        <v/>
      </c>
      <c r="V13" s="80" t="n">
        <v>0</v>
      </c>
      <c r="W13" s="77" t="n">
        <v>3</v>
      </c>
      <c r="X13" s="85">
        <f>((O13*0.3)+(Q13*0.175)+(R13*0.175)+(U13*0.175)+((1-V13)*0.175))+W13</f>
        <v/>
      </c>
    </row>
    <row r="14" ht="14.25" customHeight="1" s="52">
      <c r="A14" s="93" t="n">
        <v>46122</v>
      </c>
      <c r="B14" s="51" t="n">
        <v>3</v>
      </c>
      <c r="C14" s="51" t="inlineStr">
        <is>
          <t>Mateo</t>
        </is>
      </c>
      <c r="D14" s="51" t="inlineStr">
        <is>
          <t>Zurgo Stormrender</t>
        </is>
      </c>
      <c r="E14" s="68" t="n">
        <v>3</v>
      </c>
      <c r="F14" s="51" t="n">
        <v>1</v>
      </c>
      <c r="G14" s="51" t="n">
        <v>1</v>
      </c>
      <c r="H14" s="51" t="n">
        <v>3</v>
      </c>
      <c r="I14" s="51" t="n">
        <v>2</v>
      </c>
      <c r="J14" s="51">
        <f>F14-(1/H14)</f>
        <v/>
      </c>
      <c r="K14" s="51">
        <f>((I14-((H14-1)/H14))-(-5/6))/((5-(5/6))-(-5/6))</f>
        <v/>
      </c>
      <c r="L14" s="68">
        <f>E14-((E15+E16)/2)</f>
        <v/>
      </c>
      <c r="M14" s="70">
        <f>0.5 + (L14 * 0.09)</f>
        <v/>
      </c>
      <c r="N14" s="51">
        <f>((H14-(G14-1))/H14)*(IF(I14&lt;&gt;0,(I14+H14)/H14,1))</f>
        <v/>
      </c>
      <c r="O14" s="71">
        <f>(N14-(1/6))/(10/6)</f>
        <v/>
      </c>
      <c r="P14" s="51" t="n">
        <v>9</v>
      </c>
      <c r="Q14" s="71">
        <f>IF(F14=1,(((1-((P14-3)/15))*0.5)+0.5),((P14/18)*0.5))</f>
        <v/>
      </c>
      <c r="R14" s="51" t="n">
        <v>1</v>
      </c>
      <c r="S14" s="51" t="n">
        <v>1</v>
      </c>
      <c r="T14" s="51" t="n">
        <v>1</v>
      </c>
      <c r="U14" s="71">
        <f>IFERROR(T14/S14, 1)</f>
        <v/>
      </c>
      <c r="V14" s="72" t="n">
        <v>0</v>
      </c>
      <c r="W14" s="69" t="n">
        <v>3</v>
      </c>
      <c r="X14" s="82">
        <f>((O14*0.3)+(Q14*0.175)+(R14*0.175)+(U14*0.175)+((1-V14)*0.175))+W14</f>
        <v/>
      </c>
    </row>
    <row r="15" ht="14.25" customHeight="1" s="52">
      <c r="A15" s="93" t="n">
        <v>46122</v>
      </c>
      <c r="B15" s="51" t="n">
        <v>3</v>
      </c>
      <c r="C15" s="51" t="inlineStr">
        <is>
          <t>Becca</t>
        </is>
      </c>
      <c r="D15" s="51" t="inlineStr">
        <is>
          <t>Aminatou, Veil Piercer</t>
        </is>
      </c>
      <c r="E15" s="68" t="n">
        <v>3</v>
      </c>
      <c r="F15" s="51" t="n">
        <v>0</v>
      </c>
      <c r="G15" s="51" t="n">
        <v>2</v>
      </c>
      <c r="H15" s="51" t="n">
        <v>3</v>
      </c>
      <c r="I15" s="51" t="n">
        <v>0</v>
      </c>
      <c r="J15" s="51">
        <f>F15-(1/H15)</f>
        <v/>
      </c>
      <c r="K15" s="51">
        <f>((I15-((H15-1)/H15))-(-5/6))/((5-(5/6))-(-5/6))</f>
        <v/>
      </c>
      <c r="L15" s="51">
        <f>E15-((E14+E16)/2)</f>
        <v/>
      </c>
      <c r="M15" s="70">
        <f>0.5 + (L15 * 0.09)</f>
        <v/>
      </c>
      <c r="N15" s="51">
        <f>((H15-(G15-1))/H15)*(IF(I15&lt;&gt;0,(I15+H15)/H15,1))</f>
        <v/>
      </c>
      <c r="O15" s="71">
        <f>(N15-(1/6))/(10/6)</f>
        <v/>
      </c>
      <c r="P15" s="51" t="n">
        <v>9</v>
      </c>
      <c r="Q15" s="71">
        <f>IF(F15=1,(((1-((P15-3)/15))*0.5)+0.5),((P15/18)*0.5))</f>
        <v/>
      </c>
      <c r="R15" s="51" t="n">
        <v>1</v>
      </c>
      <c r="S15" s="51" t="n">
        <v>0</v>
      </c>
      <c r="T15" s="51" t="n">
        <v>0</v>
      </c>
      <c r="U15" s="71">
        <f>IFERROR(T15/S15, 1)</f>
        <v/>
      </c>
      <c r="V15" s="72" t="n">
        <v>0</v>
      </c>
      <c r="W15" s="69" t="n">
        <v>4</v>
      </c>
      <c r="X15" s="82">
        <f>((O15*0.3)+(Q15*0.175)+(R15*0.175)+(U15*0.175)+((1-V15)*0.175))+W15</f>
        <v/>
      </c>
    </row>
    <row r="16" ht="14.25" customHeight="1" s="52">
      <c r="A16" s="92" t="n">
        <v>46122</v>
      </c>
      <c r="B16" s="75" t="n">
        <v>3</v>
      </c>
      <c r="C16" s="75" t="inlineStr">
        <is>
          <t>Ryan</t>
        </is>
      </c>
      <c r="D16" s="75" t="inlineStr">
        <is>
          <t>Kratos, Stoic Father/Atreus, Impulsive Son</t>
        </is>
      </c>
      <c r="E16" s="76" t="n">
        <v>2</v>
      </c>
      <c r="F16" s="75" t="n">
        <v>0</v>
      </c>
      <c r="G16" s="75" t="n">
        <v>3</v>
      </c>
      <c r="H16" s="75" t="n">
        <v>3</v>
      </c>
      <c r="I16" s="75" t="n">
        <v>0</v>
      </c>
      <c r="J16" s="75">
        <f>F16-(1/H16)</f>
        <v/>
      </c>
      <c r="K16" s="75">
        <f>((I16-((H16-1)/H16))-(-5/6))/((5-(5/6))-(-5/6))</f>
        <v/>
      </c>
      <c r="L16" s="75">
        <f>E16-((E14+E15)/2)</f>
        <v/>
      </c>
      <c r="M16" s="78">
        <f>0.5 + (L16 * 0.09)</f>
        <v/>
      </c>
      <c r="N16" s="75">
        <f>((H16-(G16-1))/H16)*(IF(I16&lt;&gt;0,(I16+H16)/H16,1))</f>
        <v/>
      </c>
      <c r="O16" s="79">
        <f>(N16-(1/6))/(10/6)</f>
        <v/>
      </c>
      <c r="P16" s="75" t="n">
        <v>8</v>
      </c>
      <c r="Q16" s="79">
        <f>IF(F16=1,(((1-((P16-3)/15))*0.5)+0.5),((P16/18)*0.5))</f>
        <v/>
      </c>
      <c r="R16" s="75" t="n">
        <v>1</v>
      </c>
      <c r="S16" s="75" t="n">
        <v>0</v>
      </c>
      <c r="T16" s="75" t="n">
        <v>0</v>
      </c>
      <c r="U16" s="79">
        <f>IFERROR(T16/S16, 1)</f>
        <v/>
      </c>
      <c r="V16" s="80" t="n">
        <v>0</v>
      </c>
      <c r="W16" s="77" t="n">
        <v>2</v>
      </c>
      <c r="X16" s="85">
        <f>((O16*0.3)+(Q16*0.175)+(R16*0.175)+(U16*0.175)+((1-V16)*0.175))+W16</f>
        <v/>
      </c>
    </row>
    <row r="17" ht="14.25" customHeight="1" s="52">
      <c r="A17" s="93" t="n">
        <v>46122</v>
      </c>
      <c r="B17" s="51" t="n">
        <v>4</v>
      </c>
      <c r="C17" s="51" t="inlineStr">
        <is>
          <t>Ryan</t>
        </is>
      </c>
      <c r="D17" s="51" t="inlineStr">
        <is>
          <t>Cloud, Ex-SOLDIER</t>
        </is>
      </c>
      <c r="E17" s="68" t="n">
        <v>3</v>
      </c>
      <c r="F17" s="51" t="n">
        <v>1</v>
      </c>
      <c r="G17" s="51" t="n">
        <v>1</v>
      </c>
      <c r="H17" s="51" t="n">
        <v>3</v>
      </c>
      <c r="I17" s="51" t="n">
        <v>2</v>
      </c>
      <c r="J17" s="51">
        <f>F17-(1/H17)</f>
        <v/>
      </c>
      <c r="K17" s="51">
        <f>((I17-((H17-1)/H17))-(-5/6))/((5-(5/6))-(-5/6))</f>
        <v/>
      </c>
      <c r="L17" s="68">
        <f>E17-((E18+E19)/2)</f>
        <v/>
      </c>
      <c r="M17" s="70">
        <f>0.5 + (L17 * 0.09)</f>
        <v/>
      </c>
      <c r="N17" s="51">
        <f>((H17-(G17-1))/H17)*(IF(I17&lt;&gt;0,(I17+H17)/H17,1))</f>
        <v/>
      </c>
      <c r="O17" s="71">
        <f>(N17-(1/6))/(10/6)</f>
        <v/>
      </c>
      <c r="P17" s="51" t="n">
        <v>12</v>
      </c>
      <c r="Q17" s="71">
        <f>IF(F17=1,(((1-((P17-3)/15))*0.5)+0.5),((P17/18)*0.5))</f>
        <v/>
      </c>
      <c r="R17" s="51" t="n">
        <v>1</v>
      </c>
      <c r="S17" s="51" t="n">
        <v>0</v>
      </c>
      <c r="T17" s="51" t="n">
        <v>0</v>
      </c>
      <c r="U17" s="71">
        <f>IFERROR(T17/S17, 1)</f>
        <v/>
      </c>
      <c r="V17" s="72" t="n">
        <v>0</v>
      </c>
      <c r="W17" s="69" t="n">
        <v>3</v>
      </c>
      <c r="X17" s="82">
        <f>((O17*0.3)+(Q17*0.175)+(R17*0.175)+(U17*0.175)+((1-V17)*0.175))+W17</f>
        <v/>
      </c>
    </row>
    <row r="18" ht="14.25" customHeight="1" s="52">
      <c r="A18" s="93" t="n">
        <v>46122</v>
      </c>
      <c r="B18" s="51" t="n">
        <v>4</v>
      </c>
      <c r="C18" s="51" t="inlineStr">
        <is>
          <t>Becca</t>
        </is>
      </c>
      <c r="D18" s="51" t="inlineStr">
        <is>
          <t>Ms. Bumbleflower</t>
        </is>
      </c>
      <c r="E18" s="51" t="n">
        <v>2.6</v>
      </c>
      <c r="F18" s="51" t="n">
        <v>0</v>
      </c>
      <c r="G18" s="51" t="n">
        <v>2</v>
      </c>
      <c r="H18" s="51" t="n">
        <v>3</v>
      </c>
      <c r="I18" s="51" t="n">
        <v>0</v>
      </c>
      <c r="J18" s="51">
        <f>F18-(1/H18)</f>
        <v/>
      </c>
      <c r="K18" s="51">
        <f>((I18-((H18-1)/H18))-(-5/6))/((5-(5/6))-(-5/6))</f>
        <v/>
      </c>
      <c r="L18" s="51">
        <f>E18-((E17+E19)/2)</f>
        <v/>
      </c>
      <c r="M18" s="70">
        <f>0.5 + (L18 * 0.09)</f>
        <v/>
      </c>
      <c r="N18" s="51">
        <f>((H18-(G18-1))/H18)*(IF(I18&lt;&gt;0,(I18+H18)/H18,1))</f>
        <v/>
      </c>
      <c r="O18" s="71">
        <f>(N18-(1/6))/(10/6)</f>
        <v/>
      </c>
      <c r="P18" s="51" t="n">
        <v>12</v>
      </c>
      <c r="Q18" s="71">
        <f>IF(F18=1,(((1-((P18-3)/15))*0.5)+0.5),((P18/18)*0.5))</f>
        <v/>
      </c>
      <c r="R18" s="51" t="n">
        <v>0</v>
      </c>
      <c r="S18" s="51" t="n">
        <v>1</v>
      </c>
      <c r="T18" s="51" t="n">
        <v>0</v>
      </c>
      <c r="U18" s="71">
        <f>IFERROR(T18/S18, 1)</f>
        <v/>
      </c>
      <c r="V18" s="72" t="n">
        <v>0</v>
      </c>
      <c r="W18" s="69" t="n">
        <v>2</v>
      </c>
      <c r="X18" s="82">
        <f>((O18*0.3)+(Q18*0.175)+(R18*0.175)+(U18*0.175)+((1-V18)*0.175))+W18</f>
        <v/>
      </c>
    </row>
    <row r="19" ht="14.25" customHeight="1" s="52">
      <c r="A19" s="92" t="n">
        <v>46122</v>
      </c>
      <c r="B19" s="75" t="n">
        <v>4</v>
      </c>
      <c r="C19" s="75" t="inlineStr">
        <is>
          <t>Mateo</t>
        </is>
      </c>
      <c r="D19" s="75" t="inlineStr">
        <is>
          <t>Fire Lord Azula</t>
        </is>
      </c>
      <c r="E19" s="76" t="n">
        <v>2</v>
      </c>
      <c r="F19" s="75" t="n">
        <v>0</v>
      </c>
      <c r="G19" s="75" t="n">
        <v>3</v>
      </c>
      <c r="H19" s="75" t="n">
        <v>3</v>
      </c>
      <c r="I19" s="75" t="n">
        <v>0</v>
      </c>
      <c r="J19" s="75">
        <f>F19-(1/H19)</f>
        <v/>
      </c>
      <c r="K19" s="75">
        <f>((I19-((H19-1)/H19))-(-5/6))/((5-(5/6))-(-5/6))</f>
        <v/>
      </c>
      <c r="L19" s="75">
        <f>E19-((E17+E18)/2)</f>
        <v/>
      </c>
      <c r="M19" s="78">
        <f>0.5 + (L19 * 0.09)</f>
        <v/>
      </c>
      <c r="N19" s="75">
        <f>((H19-(G19-1))/H19)*(IF(I19&lt;&gt;0,(I19+H19)/H19,1))</f>
        <v/>
      </c>
      <c r="O19" s="79">
        <f>(N19-(1/6))/(10/6)</f>
        <v/>
      </c>
      <c r="P19" s="75" t="n">
        <v>8</v>
      </c>
      <c r="Q19" s="79">
        <f>IF(F19=1,(((1-((P19-3)/15))*0.5)+0.5),((P19/18)*0.5))</f>
        <v/>
      </c>
      <c r="R19" s="75" t="n">
        <v>1</v>
      </c>
      <c r="S19" s="75" t="n">
        <v>1</v>
      </c>
      <c r="T19" s="75" t="n">
        <v>0</v>
      </c>
      <c r="U19" s="79">
        <f>IFERROR(T19/S19, 1)</f>
        <v/>
      </c>
      <c r="V19" s="80" t="n">
        <v>0</v>
      </c>
      <c r="W19" s="77" t="n">
        <v>3</v>
      </c>
      <c r="X19" s="85">
        <f>((O19*0.3)+(Q19*0.175)+(R19*0.175)+(U19*0.175)+((1-V19)*0.175))+W19</f>
        <v/>
      </c>
    </row>
    <row r="20" ht="14.25" customHeight="1" s="52">
      <c r="A20" s="93" t="n">
        <v>46129</v>
      </c>
      <c r="B20" s="51" t="n">
        <v>5</v>
      </c>
      <c r="C20" s="51" t="inlineStr">
        <is>
          <t>Mateo</t>
        </is>
      </c>
      <c r="D20" s="51" t="inlineStr">
        <is>
          <t>Quintorius, History Chaser</t>
        </is>
      </c>
      <c r="E20" s="68" t="n">
        <v>2</v>
      </c>
      <c r="F20" s="51" t="n">
        <v>1</v>
      </c>
      <c r="G20" s="51" t="n">
        <v>1</v>
      </c>
      <c r="H20" s="51" t="n">
        <v>6</v>
      </c>
      <c r="I20" s="51" t="n">
        <v>4</v>
      </c>
      <c r="J20" s="51">
        <f>F20-(1/H20)</f>
        <v/>
      </c>
      <c r="K20" s="51">
        <f>((I20-((H20-1)/H20))-(-5/6))/((5-(5/6))-(-5/6))</f>
        <v/>
      </c>
      <c r="L20" s="51">
        <f>E20-((E21+E22+E23+E24+E25)/5)</f>
        <v/>
      </c>
      <c r="M20" s="70">
        <f>0.5 + (L20 * 0.09)</f>
        <v/>
      </c>
      <c r="N20" s="51">
        <f>((H20-(G20-1))/H20)*(IF(I20&lt;&gt;0,(I20+H20)/H20,1))</f>
        <v/>
      </c>
      <c r="O20" s="71">
        <f>(N20-(1/6))/(10/6)</f>
        <v/>
      </c>
      <c r="P20" s="51" t="n">
        <v>8</v>
      </c>
      <c r="Q20" s="71">
        <f>IF(F20=1,(((1-((P20-3)/15))*0.5)+0.5),((P20/18)*0.5))</f>
        <v/>
      </c>
      <c r="R20" s="51" t="n">
        <v>1</v>
      </c>
      <c r="S20" s="51" t="n">
        <v>0</v>
      </c>
      <c r="T20" s="51" t="n">
        <v>0</v>
      </c>
      <c r="U20" s="71">
        <f>IFERROR(T20/S20, 1)</f>
        <v/>
      </c>
      <c r="V20" s="72" t="n">
        <v>0</v>
      </c>
      <c r="W20" s="69" t="n">
        <v>2</v>
      </c>
      <c r="X20" s="82">
        <f>((O20*0.3)+(Q20*0.175)+(R20*0.175)+(U20*0.175)+((1-V20)*0.175))+W20</f>
        <v/>
      </c>
    </row>
    <row r="21" ht="14.25" customHeight="1" s="52">
      <c r="A21" s="93" t="n">
        <v>46129</v>
      </c>
      <c r="B21" s="51" t="n">
        <v>5</v>
      </c>
      <c r="C21" s="51" t="inlineStr">
        <is>
          <t>Becca</t>
        </is>
      </c>
      <c r="D21" s="51" t="inlineStr">
        <is>
          <t>Killian, Decisive Mentor</t>
        </is>
      </c>
      <c r="E21" s="68" t="n">
        <v>2</v>
      </c>
      <c r="F21" s="51" t="n">
        <v>0</v>
      </c>
      <c r="G21" s="51" t="n">
        <v>2</v>
      </c>
      <c r="H21" s="51" t="n">
        <v>6</v>
      </c>
      <c r="I21" s="51" t="n">
        <v>0</v>
      </c>
      <c r="J21" s="51">
        <f>F21-(1/H21)</f>
        <v/>
      </c>
      <c r="K21" s="51">
        <f>((I21-((H21-1)/H21))-(-5/6))/((5-(5/6))-(-5/6))</f>
        <v/>
      </c>
      <c r="L21" s="51">
        <f>E21-((E20+E22+E23+E24+E25)/5)</f>
        <v/>
      </c>
      <c r="M21" s="70">
        <f>0.5 + (L21 * 0.09)</f>
        <v/>
      </c>
      <c r="N21" s="51">
        <f>((H21-(G21-1))/H21)*(IF(I21&lt;&gt;0,(I21+H21)/H21,1))</f>
        <v/>
      </c>
      <c r="O21" s="71">
        <f>(N21-(1/6))/(10/6)</f>
        <v/>
      </c>
      <c r="P21" s="51" t="n">
        <v>8</v>
      </c>
      <c r="Q21" s="71">
        <f>IF(F21=1,(((1-((P21-3)/15))*0.5)+0.5),((P21/18)*0.5))</f>
        <v/>
      </c>
      <c r="R21" s="51" t="n">
        <v>1</v>
      </c>
      <c r="S21" s="51" t="n">
        <v>1</v>
      </c>
      <c r="T21" s="51" t="n">
        <v>0</v>
      </c>
      <c r="U21" s="71">
        <f>IFERROR(T21/S21, 1)</f>
        <v/>
      </c>
      <c r="V21" s="72" t="n">
        <v>0</v>
      </c>
      <c r="W21" s="69" t="n">
        <v>2</v>
      </c>
      <c r="X21" s="82">
        <f>((O21*0.3)+(Q21*0.175)+(R21*0.175)+(U21*0.175)+((1-V21)*0.175))+W21</f>
        <v/>
      </c>
    </row>
    <row r="22" ht="14.25" customHeight="1" s="52">
      <c r="A22" s="93" t="n">
        <v>46129</v>
      </c>
      <c r="B22" s="51" t="n">
        <v>5</v>
      </c>
      <c r="C22" s="51" t="inlineStr">
        <is>
          <t>Kristy</t>
        </is>
      </c>
      <c r="D22" s="51" t="inlineStr">
        <is>
          <t>Auntie Ool, Cursewretch</t>
        </is>
      </c>
      <c r="E22" s="68" t="n">
        <v>3</v>
      </c>
      <c r="F22" s="51" t="n">
        <v>0</v>
      </c>
      <c r="G22" s="51" t="n">
        <v>2</v>
      </c>
      <c r="H22" s="51" t="n">
        <v>6</v>
      </c>
      <c r="I22" s="51" t="n">
        <v>0</v>
      </c>
      <c r="J22" s="51">
        <f>F22-(1/H22)</f>
        <v/>
      </c>
      <c r="K22" s="51">
        <f>((I22-((H22-1)/H22))-(-5/6))/((5-(5/6))-(-5/6))</f>
        <v/>
      </c>
      <c r="L22" s="51">
        <f>E22-((E20+E21+E23+E24+E25)/5)</f>
        <v/>
      </c>
      <c r="M22" s="70">
        <f>0.5 + (L22 * 0.09)</f>
        <v/>
      </c>
      <c r="N22" s="51">
        <f>((H22-(G22-1))/H22)*(IF(I22&lt;&gt;0,(I22+H22)/H22,1))</f>
        <v/>
      </c>
      <c r="O22" s="71">
        <f>(N22-(1/6))/(10/6)</f>
        <v/>
      </c>
      <c r="P22" s="51" t="n">
        <v>8</v>
      </c>
      <c r="Q22" s="71">
        <f>IF(F22=1,(((1-((P22-3)/15))*0.5)+0.5),((P22/18)*0.5))</f>
        <v/>
      </c>
      <c r="R22" s="51" t="n">
        <v>0</v>
      </c>
      <c r="S22" s="51" t="n">
        <v>1</v>
      </c>
      <c r="T22" s="51" t="n">
        <v>0</v>
      </c>
      <c r="U22" s="71">
        <f>IFERROR(T22/S22, 1)</f>
        <v/>
      </c>
      <c r="V22" s="72" t="n">
        <v>0</v>
      </c>
      <c r="W22" s="69" t="n">
        <v>4</v>
      </c>
      <c r="X22" s="82">
        <f>((O22*0.3)+(Q22*0.175)+(R22*0.175)+(U22*0.175)+((1-V22)*0.175))+W22</f>
        <v/>
      </c>
    </row>
    <row r="23" ht="14.25" customHeight="1" s="52">
      <c r="A23" s="93" t="n">
        <v>46129</v>
      </c>
      <c r="B23" s="51" t="n">
        <v>5</v>
      </c>
      <c r="C23" s="51" t="inlineStr">
        <is>
          <t>Joseph</t>
        </is>
      </c>
      <c r="D23" s="51" t="inlineStr">
        <is>
          <t>Zimone, Infinite Analyst</t>
        </is>
      </c>
      <c r="E23" s="68" t="n">
        <v>2</v>
      </c>
      <c r="F23" s="51" t="n">
        <v>0</v>
      </c>
      <c r="G23" s="51" t="n">
        <v>2</v>
      </c>
      <c r="H23" s="51" t="n">
        <v>6</v>
      </c>
      <c r="I23" s="51" t="n">
        <v>0</v>
      </c>
      <c r="J23" s="51">
        <f>F23-(1/H23)</f>
        <v/>
      </c>
      <c r="K23" s="51">
        <f>((I23-((H23-1)/H23))-(-5/6))/((5-(5/6))-(-5/6))</f>
        <v/>
      </c>
      <c r="L23" s="51">
        <f>E23-((E20+E21+E22+E24+E25)/5)</f>
        <v/>
      </c>
      <c r="M23" s="70">
        <f>0.5 + (L23 * 0.09)</f>
        <v/>
      </c>
      <c r="N23" s="51">
        <f>((H23-(G23-1))/H23)*(IF(I23&lt;&gt;0,(I23+H23)/H23,1))</f>
        <v/>
      </c>
      <c r="O23" s="71">
        <f>(N23-(1/6))/(10/6)</f>
        <v/>
      </c>
      <c r="P23" s="51" t="n">
        <v>8</v>
      </c>
      <c r="Q23" s="71">
        <f>IF(F23=1,(((1-((P23-3)/15))*0.5)+0.5),((P23/18)*0.5))</f>
        <v/>
      </c>
      <c r="R23" s="51" t="n">
        <v>0</v>
      </c>
      <c r="S23" s="51" t="n">
        <v>1</v>
      </c>
      <c r="T23" s="51" t="n">
        <v>0</v>
      </c>
      <c r="U23" s="71">
        <f>IFERROR(T23/S23, 1)</f>
        <v/>
      </c>
      <c r="V23" s="72" t="n">
        <v>1</v>
      </c>
      <c r="W23" s="69" t="n">
        <v>2</v>
      </c>
      <c r="X23" s="82">
        <f>((O23*0.3)+(Q23*0.175)+(R23*0.175)+(U23*0.175)+((1-V23)*0.175))+W23</f>
        <v/>
      </c>
    </row>
    <row r="24" ht="14.25" customHeight="1" s="52">
      <c r="A24" s="93" t="n">
        <v>46129</v>
      </c>
      <c r="B24" s="51" t="n">
        <v>5</v>
      </c>
      <c r="C24" s="51" t="inlineStr">
        <is>
          <t>Ryan</t>
        </is>
      </c>
      <c r="D24" s="51" t="inlineStr">
        <is>
          <t>Ashling, The Limitless</t>
        </is>
      </c>
      <c r="E24" s="68" t="n">
        <v>3.6</v>
      </c>
      <c r="F24" s="51" t="n">
        <v>0</v>
      </c>
      <c r="G24" s="51" t="n">
        <v>5</v>
      </c>
      <c r="H24" s="51" t="n">
        <v>6</v>
      </c>
      <c r="I24" s="51" t="n">
        <v>0</v>
      </c>
      <c r="J24" s="51">
        <f>F24-(1/H24)</f>
        <v/>
      </c>
      <c r="K24" s="51">
        <f>((I24-((H24-1)/H24))-(-5/6))/((5-(5/6))-(-5/6))</f>
        <v/>
      </c>
      <c r="L24" s="51">
        <f>E24-((E20+E21+E22+E23+E25)/5)</f>
        <v/>
      </c>
      <c r="M24" s="70">
        <f>0.5 + (L24 * 0.09)</f>
        <v/>
      </c>
      <c r="N24" s="51">
        <f>((H24-(G24-1))/H24)*(IF(I24&lt;&gt;0,(I24+H24)/H24,1))</f>
        <v/>
      </c>
      <c r="O24" s="71">
        <f>(N24-(1/6))/(10/6)</f>
        <v/>
      </c>
      <c r="P24" s="51" t="n">
        <v>7</v>
      </c>
      <c r="Q24" s="71">
        <f>IF(F24=1,(((1-((P24-3)/15))*0.5)+0.5),((P24/18)*0.5))</f>
        <v/>
      </c>
      <c r="R24" s="51" t="n">
        <v>1</v>
      </c>
      <c r="S24" s="51" t="n">
        <v>1</v>
      </c>
      <c r="T24" s="51" t="n">
        <v>0</v>
      </c>
      <c r="U24" s="71">
        <f>IFERROR(T24/S24, 1)</f>
        <v/>
      </c>
      <c r="V24" s="72" t="n">
        <v>0</v>
      </c>
      <c r="W24" s="69" t="n">
        <v>3</v>
      </c>
      <c r="X24" s="82">
        <f>((O24*0.3)+(Q24*0.175)+(R24*0.175)+(U24*0.175)+((1-V24)*0.175))+W24</f>
        <v/>
      </c>
    </row>
    <row r="25" ht="14.25" customHeight="1" s="52">
      <c r="A25" s="92" t="n">
        <v>46129</v>
      </c>
      <c r="B25" s="75" t="n">
        <v>5</v>
      </c>
      <c r="C25" s="75" t="inlineStr">
        <is>
          <t>Michelle</t>
        </is>
      </c>
      <c r="D25" s="75" t="inlineStr">
        <is>
          <t>The Wise Mothman</t>
        </is>
      </c>
      <c r="E25" s="76" t="n">
        <v>2</v>
      </c>
      <c r="F25" s="75" t="n">
        <v>0</v>
      </c>
      <c r="G25" s="75" t="n">
        <v>6</v>
      </c>
      <c r="H25" s="75" t="n">
        <v>6</v>
      </c>
      <c r="I25" s="75" t="n">
        <v>0</v>
      </c>
      <c r="J25" s="75">
        <f>F25-(1/H25)</f>
        <v/>
      </c>
      <c r="K25" s="75">
        <f>((I25-((H25-1)/H25))-(-5/6))/((5-(5/6))-(-5/6))</f>
        <v/>
      </c>
      <c r="L25" s="75">
        <f>E25-((E20+E21+E22+E23+E24)/5)</f>
        <v/>
      </c>
      <c r="M25" s="78">
        <f>0.5 + (L25 * 0.09)</f>
        <v/>
      </c>
      <c r="N25" s="75">
        <f>((H25-(G25-1))/H25)*(IF(I25&lt;&gt;0,(I25+H25)/H25,1))</f>
        <v/>
      </c>
      <c r="O25" s="79">
        <f>(N25-(1/6))/(10/6)</f>
        <v/>
      </c>
      <c r="P25" s="75" t="n">
        <v>5</v>
      </c>
      <c r="Q25" s="79">
        <f>IF(F25=1,(((1-((P25-3)/15))*0.5)+0.5),((P25/18)*0.5))</f>
        <v/>
      </c>
      <c r="R25" s="75" t="n">
        <v>0</v>
      </c>
      <c r="S25" s="75" t="n">
        <v>0</v>
      </c>
      <c r="T25" s="75" t="n">
        <v>0</v>
      </c>
      <c r="U25" s="79">
        <f>IFERROR(T25/S25, 1)</f>
        <v/>
      </c>
      <c r="V25" s="80" t="n">
        <v>0</v>
      </c>
      <c r="W25" s="77" t="n">
        <v>2</v>
      </c>
      <c r="X25" s="85">
        <f>((O25*0.3)+(Q25*0.175)+(R25*0.175)+(U25*0.175)+((1-V25)*0.175))+W25</f>
        <v/>
      </c>
    </row>
    <row r="26" ht="14.25" customHeight="1" s="52">
      <c r="A26" s="93" t="n">
        <v>46129</v>
      </c>
      <c r="B26" s="51" t="n">
        <v>6</v>
      </c>
      <c r="C26" s="51" t="inlineStr">
        <is>
          <t>Mateo</t>
        </is>
      </c>
      <c r="D26" s="51" t="inlineStr">
        <is>
          <t>Auntie Ool, Cursewretch</t>
        </is>
      </c>
      <c r="E26" s="68" t="n">
        <v>3</v>
      </c>
      <c r="F26" s="51" t="n">
        <v>1</v>
      </c>
      <c r="G26" s="51" t="n">
        <v>1</v>
      </c>
      <c r="H26" s="51" t="n">
        <v>5</v>
      </c>
      <c r="I26" s="51" t="n">
        <v>3</v>
      </c>
      <c r="J26" s="51">
        <f>F26-(1/H26)</f>
        <v/>
      </c>
      <c r="K26" s="51">
        <f>((I26-((H26-1)/H26))-(-5/6))/((5-(5/6))-(-5/6))</f>
        <v/>
      </c>
      <c r="L26" s="87">
        <f>E26-((E27+E28+E29+E30)/4)</f>
        <v/>
      </c>
      <c r="M26" s="94">
        <f>0.5 + (L26 * 0.09)</f>
        <v/>
      </c>
      <c r="N26" s="51">
        <f>((H26-(G26-1))/H26)*(IF(I26&lt;&gt;0,(I26+H26)/H26,1))</f>
        <v/>
      </c>
      <c r="O26" s="71">
        <f>(N26-(1/6))/(10/6)</f>
        <v/>
      </c>
      <c r="P26" s="51" t="n">
        <v>11</v>
      </c>
      <c r="Q26" s="71">
        <f>IF(F26=1,(((1-((P26-3)/15))*0.5)+0.5),((P26/18)*0.5))</f>
        <v/>
      </c>
      <c r="R26" s="51" t="n">
        <v>1</v>
      </c>
      <c r="S26" s="51" t="n">
        <v>1</v>
      </c>
      <c r="T26" s="51" t="n">
        <v>1</v>
      </c>
      <c r="U26" s="71">
        <f>IFERROR(T26/S26, 1)</f>
        <v/>
      </c>
      <c r="V26" s="72" t="n">
        <v>0</v>
      </c>
      <c r="W26" s="69" t="n">
        <v>4</v>
      </c>
      <c r="X26" s="82">
        <f>((O26*0.3)+(Q26*0.175)+(R26*0.175)+(U26*0.175)+((1-V26)*0.175))+W26</f>
        <v/>
      </c>
    </row>
    <row r="27" ht="14.25" customHeight="1" s="52">
      <c r="A27" s="93" t="n">
        <v>46129</v>
      </c>
      <c r="B27" s="51" t="n">
        <v>6</v>
      </c>
      <c r="C27" s="51" t="inlineStr">
        <is>
          <t>Ryan</t>
        </is>
      </c>
      <c r="D27" s="51" t="inlineStr">
        <is>
          <t>Fire Lord Zuko</t>
        </is>
      </c>
      <c r="E27" s="68" t="n">
        <v>3</v>
      </c>
      <c r="F27" s="51" t="n">
        <v>0</v>
      </c>
      <c r="G27" s="51" t="n">
        <v>2</v>
      </c>
      <c r="H27" s="51" t="n">
        <v>5</v>
      </c>
      <c r="I27" s="51" t="n">
        <v>0</v>
      </c>
      <c r="J27" s="51">
        <f>F27-(1/H27)</f>
        <v/>
      </c>
      <c r="K27" s="51">
        <f>((I27-((H27-1)/H27))-(-5/6))/((5-(5/6))-(-5/6))</f>
        <v/>
      </c>
      <c r="L27" s="51">
        <f>E27-((E26+E28+E29+E30)/4)</f>
        <v/>
      </c>
      <c r="M27" s="70">
        <f>0.5 + (L27 * 0.09)</f>
        <v/>
      </c>
      <c r="N27" s="51">
        <f>((H27-(G27-1))/H27)*(IF(I27&lt;&gt;0,(I27+H27)/H27,1))</f>
        <v/>
      </c>
      <c r="O27" s="71">
        <f>(N27-(1/6))/(10/6)</f>
        <v/>
      </c>
      <c r="P27" s="51" t="n">
        <v>11</v>
      </c>
      <c r="Q27" s="71">
        <f>IF(F27=1,(((1-((P27-3)/15))*0.5)+0.5),((P27/18)*0.5))</f>
        <v/>
      </c>
      <c r="R27" s="51" t="n">
        <v>0</v>
      </c>
      <c r="S27" s="51" t="n">
        <v>2</v>
      </c>
      <c r="T27" s="51" t="n">
        <v>1</v>
      </c>
      <c r="U27" s="71">
        <f>IFERROR(T27/S27, 1)</f>
        <v/>
      </c>
      <c r="V27" s="72" t="n">
        <v>1</v>
      </c>
      <c r="W27" s="69" t="n">
        <v>3</v>
      </c>
      <c r="X27" s="82">
        <f>((O27*0.3)+(Q27*0.175)+(R27*0.175)+(U27*0.175)+((1-V27)*0.175))+W27</f>
        <v/>
      </c>
    </row>
    <row r="28" ht="14.25" customHeight="1" s="52">
      <c r="A28" s="93" t="n">
        <v>46129</v>
      </c>
      <c r="B28" s="51" t="n">
        <v>6</v>
      </c>
      <c r="C28" s="51" t="inlineStr">
        <is>
          <t>Becca</t>
        </is>
      </c>
      <c r="D28" s="51" t="inlineStr">
        <is>
          <t>Killian, Decisive Mentor</t>
        </is>
      </c>
      <c r="E28" s="68" t="n">
        <v>2.5</v>
      </c>
      <c r="F28" s="51" t="n">
        <v>0</v>
      </c>
      <c r="G28" s="51" t="n">
        <v>2</v>
      </c>
      <c r="H28" s="51" t="n">
        <v>5</v>
      </c>
      <c r="I28" s="51" t="n">
        <v>0</v>
      </c>
      <c r="J28" s="51">
        <f>F28-(1/H28)</f>
        <v/>
      </c>
      <c r="K28" s="51">
        <f>((I28-((H28-1)/H28))-(-5/6))/((5-(5/6))-(-5/6))</f>
        <v/>
      </c>
      <c r="L28" s="51">
        <f>E28-((E26+E27+E29+E30)/4)</f>
        <v/>
      </c>
      <c r="M28" s="70">
        <f>0.5 + (L28 * 0.09)</f>
        <v/>
      </c>
      <c r="N28" s="51">
        <f>((H28-(G28-1))/H28)*(IF(I28&lt;&gt;0,(I28+H28)/H28,1))</f>
        <v/>
      </c>
      <c r="O28" s="71">
        <f>(N28-(1/6))/(10/6)</f>
        <v/>
      </c>
      <c r="P28" s="51" t="n">
        <v>11</v>
      </c>
      <c r="Q28" s="71">
        <f>IF(F28=1,(((1-((P28-3)/15))*0.5)+0.5),((P28/18)*0.5))</f>
        <v/>
      </c>
      <c r="R28" s="51" t="n">
        <v>1</v>
      </c>
      <c r="S28" s="51" t="n">
        <v>1</v>
      </c>
      <c r="T28" s="51" t="n">
        <v>1</v>
      </c>
      <c r="U28" s="71">
        <f>IFERROR(T28/S28, 1)</f>
        <v/>
      </c>
      <c r="V28" s="72" t="n">
        <v>0</v>
      </c>
      <c r="W28" s="69" t="n">
        <v>2</v>
      </c>
      <c r="X28" s="82">
        <f>((O28*0.3)+(Q28*0.175)+(R28*0.175)+(U28*0.175)+((1-V28)*0.175))+W28</f>
        <v/>
      </c>
    </row>
    <row r="29" ht="14.25" customHeight="1" s="52">
      <c r="A29" s="93" t="n">
        <v>46129</v>
      </c>
      <c r="B29" s="51" t="n">
        <v>6</v>
      </c>
      <c r="C29" s="51" t="inlineStr">
        <is>
          <t>Joseph</t>
        </is>
      </c>
      <c r="D29" s="51" t="inlineStr">
        <is>
          <t>Super Shredder</t>
        </is>
      </c>
      <c r="E29" s="68" t="n">
        <v>2</v>
      </c>
      <c r="F29" s="51" t="n">
        <v>0</v>
      </c>
      <c r="G29" s="51" t="n">
        <v>4</v>
      </c>
      <c r="H29" s="51" t="n">
        <v>5</v>
      </c>
      <c r="I29" s="51" t="n">
        <v>0</v>
      </c>
      <c r="J29" s="51">
        <f>F29-(1/H29)</f>
        <v/>
      </c>
      <c r="K29" s="51">
        <f>((I29-((H29-1)/H29))-(-5/6))/((5-(5/6))-(-5/6))</f>
        <v/>
      </c>
      <c r="L29" s="51">
        <f>E29-((E26+E27+E28+E30)/4)</f>
        <v/>
      </c>
      <c r="M29" s="70">
        <f>0.5 + (L29 * 0.09)</f>
        <v/>
      </c>
      <c r="N29" s="51">
        <f>((H29-(G29-1))/H29)*(IF(I29&lt;&gt;0,(I29+H29)/H29,1))</f>
        <v/>
      </c>
      <c r="O29" s="71">
        <f>(N29-(1/6))/(10/6)</f>
        <v/>
      </c>
      <c r="P29" s="51" t="n">
        <v>9</v>
      </c>
      <c r="Q29" s="71">
        <f>IF(F29=1,(((1-((P29-3)/15))*0.5)+0.5),((P29/18)*0.5))</f>
        <v/>
      </c>
      <c r="R29" s="51" t="n">
        <v>1</v>
      </c>
      <c r="S29" s="51" t="n">
        <v>1</v>
      </c>
      <c r="T29" s="51" t="n">
        <v>0</v>
      </c>
      <c r="U29" s="71">
        <f>IFERROR(T29/S29, 1)</f>
        <v/>
      </c>
      <c r="V29" s="72" t="n">
        <v>0</v>
      </c>
      <c r="W29" s="69" t="n">
        <v>2</v>
      </c>
      <c r="X29" s="82">
        <f>((O29*0.3)+(Q29*0.175)+(R29*0.175)+(U29*0.175)+((1-V29)*0.175))+W29</f>
        <v/>
      </c>
    </row>
    <row r="30" ht="14.25" customHeight="1" s="52">
      <c r="A30" s="92" t="n">
        <v>46129</v>
      </c>
      <c r="B30" s="75" t="n">
        <v>6</v>
      </c>
      <c r="C30" s="75" t="inlineStr">
        <is>
          <t>Kristy</t>
        </is>
      </c>
      <c r="D30" s="75" t="inlineStr">
        <is>
          <t>Dina, Essence Brewer</t>
        </is>
      </c>
      <c r="E30" s="76" t="n">
        <v>2</v>
      </c>
      <c r="F30" s="75" t="n">
        <v>0</v>
      </c>
      <c r="G30" s="75" t="n">
        <v>5</v>
      </c>
      <c r="H30" s="75" t="n">
        <v>5</v>
      </c>
      <c r="I30" s="75" t="n">
        <v>0</v>
      </c>
      <c r="J30" s="75">
        <f>F30-(1/H30)</f>
        <v/>
      </c>
      <c r="K30" s="75">
        <f>((I30-((H30-1)/H30))-(-5/6))/((5-(5/6))-(-5/6))</f>
        <v/>
      </c>
      <c r="L30" s="75">
        <f>E30-((E26+E27+E28+E29)/4)</f>
        <v/>
      </c>
      <c r="M30" s="78">
        <f>0.5 + (L30 * 0.09)</f>
        <v/>
      </c>
      <c r="N30" s="75">
        <f>((H30-(G30-1))/H30)*(IF(I30&lt;&gt;0,(I30+H30)/H30,1))</f>
        <v/>
      </c>
      <c r="O30" s="79">
        <f>(N30-(1/6))/(10/6)</f>
        <v/>
      </c>
      <c r="P30" s="75" t="n">
        <v>9</v>
      </c>
      <c r="Q30" s="79">
        <f>IF(F30=1,(((1-((P30-3)/15))*0.5)+0.5),((P30/18)*0.5))</f>
        <v/>
      </c>
      <c r="R30" s="75" t="n">
        <v>0</v>
      </c>
      <c r="S30" s="75" t="n">
        <v>2</v>
      </c>
      <c r="T30" s="75" t="n">
        <v>0</v>
      </c>
      <c r="U30" s="79">
        <f>IFERROR(T30/S30, 1)</f>
        <v/>
      </c>
      <c r="V30" s="80" t="n">
        <v>0</v>
      </c>
      <c r="W30" s="77" t="n">
        <v>2</v>
      </c>
      <c r="X30" s="85">
        <f>((O30*0.3)+(Q30*0.175)+(R30*0.175)+(U30*0.175)+((1-V30)*0.175))+W30</f>
        <v/>
      </c>
    </row>
    <row r="31" ht="14.25" customHeight="1" s="52">
      <c r="A31" s="93" t="n">
        <v>46134</v>
      </c>
      <c r="B31" s="51" t="n">
        <v>7</v>
      </c>
      <c r="C31" s="51" t="inlineStr">
        <is>
          <t>Manny</t>
        </is>
      </c>
      <c r="D31" s="51" t="inlineStr">
        <is>
          <t>Galadriel, Light of Valinor</t>
        </is>
      </c>
      <c r="E31" s="51" t="n">
        <v>3.7</v>
      </c>
      <c r="F31" s="51" t="n">
        <v>1</v>
      </c>
      <c r="G31" s="51" t="n">
        <v>1</v>
      </c>
      <c r="H31" s="51" t="n">
        <v>4</v>
      </c>
      <c r="I31" s="51" t="n">
        <v>3</v>
      </c>
      <c r="J31" s="51">
        <f>F31-(1/H31)</f>
        <v/>
      </c>
      <c r="K31" s="51">
        <f>((I31-((H31-1)/H31))-(-5/6))/((5-(5/6))-(-5/6))</f>
        <v/>
      </c>
      <c r="L31" s="51">
        <f>E31-((E32+E33+E34)/3)</f>
        <v/>
      </c>
      <c r="M31" s="70">
        <f>0.5 + (L31 * 0.09)</f>
        <v/>
      </c>
      <c r="N31" s="51">
        <f>((H31-(G31-1))/H31)*(IF(I31&lt;&gt;0,(I31+H31)/H31,1))</f>
        <v/>
      </c>
      <c r="O31" s="71">
        <f>(N31-(1/6))/(10/6)</f>
        <v/>
      </c>
      <c r="P31" s="51" t="n">
        <v>9</v>
      </c>
      <c r="Q31" s="71">
        <f>IF(F31=1,(((1-((P31-3)/15))*0.5)+0.5),((P31/18)*0.5))</f>
        <v/>
      </c>
      <c r="R31" s="51" t="n">
        <v>1</v>
      </c>
      <c r="S31" s="51" t="n">
        <v>0</v>
      </c>
      <c r="T31" s="51" t="n">
        <v>0</v>
      </c>
      <c r="U31" s="71">
        <f>IFERROR(T31/S31, 1)</f>
        <v/>
      </c>
      <c r="V31" s="72" t="n">
        <v>0</v>
      </c>
      <c r="W31" s="69" t="n">
        <v>3</v>
      </c>
      <c r="X31" s="82">
        <f>((O31*0.3)+(Q31*0.175)+(R31*0.175)+(U31*0.175)+((1-V31)*0.175))+W31</f>
        <v/>
      </c>
    </row>
    <row r="32" ht="14.25" customHeight="1" s="52">
      <c r="A32" s="93" t="n">
        <v>46134</v>
      </c>
      <c r="B32" s="51" t="n">
        <v>7</v>
      </c>
      <c r="C32" s="51" t="inlineStr">
        <is>
          <t>Joseph</t>
        </is>
      </c>
      <c r="D32" s="51" t="inlineStr">
        <is>
          <t>Zimone, Infinite Analyst</t>
        </is>
      </c>
      <c r="E32" s="68" t="n">
        <v>2.2</v>
      </c>
      <c r="F32" s="51" t="n">
        <v>0</v>
      </c>
      <c r="G32" s="51" t="n">
        <v>2</v>
      </c>
      <c r="H32" s="51" t="n">
        <v>4</v>
      </c>
      <c r="I32" s="51" t="n">
        <v>0</v>
      </c>
      <c r="J32" s="51">
        <f>F32-(1/H32)</f>
        <v/>
      </c>
      <c r="K32" s="51">
        <f>((I32-((H32-1)/H32))-(-5/6))/((5-(5/6))-(-5/6))</f>
        <v/>
      </c>
      <c r="L32" s="51">
        <f>E32-((E31+E33+E34)/3)</f>
        <v/>
      </c>
      <c r="M32" s="70">
        <f>0.5 + (L32 * 0.09)</f>
        <v/>
      </c>
      <c r="N32" s="51">
        <f>((H32-(G32-1))/H32)*(IF(I32&lt;&gt;0,(I32+H32)/H32,1))</f>
        <v/>
      </c>
      <c r="O32" s="71">
        <f>(N32-(1/6))/(10/6)</f>
        <v/>
      </c>
      <c r="P32" s="51" t="n">
        <v>9</v>
      </c>
      <c r="Q32" s="71">
        <f>IF(F32=1,(((1-((P32-3)/15))*0.5)+0.5),((P32/18)*0.5))</f>
        <v/>
      </c>
      <c r="R32" s="51" t="n">
        <v>1</v>
      </c>
      <c r="S32" s="51" t="n">
        <v>0</v>
      </c>
      <c r="T32" s="51" t="n">
        <v>0</v>
      </c>
      <c r="U32" s="71">
        <f>IFERROR(T32/S32, 1)</f>
        <v/>
      </c>
      <c r="V32" s="72" t="n">
        <v>0</v>
      </c>
      <c r="W32" s="69" t="n">
        <v>2</v>
      </c>
      <c r="X32" s="82">
        <f>((O32*0.3)+(Q32*0.175)+(R32*0.175)+(U32*0.175)+((1-V32)*0.175))+W32</f>
        <v/>
      </c>
    </row>
    <row r="33" ht="14.25" customHeight="1" s="52">
      <c r="A33" s="93" t="n">
        <v>46134</v>
      </c>
      <c r="B33" s="51" t="n">
        <v>7</v>
      </c>
      <c r="C33" s="51" t="inlineStr">
        <is>
          <t>Ryan</t>
        </is>
      </c>
      <c r="D33" s="51" t="inlineStr">
        <is>
          <t>Ashling, The Limitless</t>
        </is>
      </c>
      <c r="E33" s="68" t="n">
        <v>3.4</v>
      </c>
      <c r="F33" s="51" t="n">
        <v>0</v>
      </c>
      <c r="G33" s="51" t="n">
        <v>2</v>
      </c>
      <c r="H33" s="51" t="n">
        <v>4</v>
      </c>
      <c r="I33" s="51" t="n">
        <v>0</v>
      </c>
      <c r="J33" s="51">
        <f>F33-(1/H33)</f>
        <v/>
      </c>
      <c r="K33" s="51">
        <f>((I33-((H33-1)/H33))-(-5/6))/((5-(5/6))-(-5/6))</f>
        <v/>
      </c>
      <c r="L33" s="51">
        <f>E33-((E31+E32+E34)/3)</f>
        <v/>
      </c>
      <c r="M33" s="70">
        <f>0.5 + (L33 * 0.09)</f>
        <v/>
      </c>
      <c r="N33" s="51">
        <f>((H33-(G33-1))/H33)*(IF(I33&lt;&gt;0,(I33+H33)/H33,1))</f>
        <v/>
      </c>
      <c r="O33" s="71">
        <f>(N33-(1/6))/(10/6)</f>
        <v/>
      </c>
      <c r="P33" s="51" t="n">
        <v>9</v>
      </c>
      <c r="Q33" s="71">
        <f>IF(F33=1,(((1-((P33-3)/15))*0.5)+0.5),((P33/18)*0.5))</f>
        <v/>
      </c>
      <c r="R33" s="51" t="n">
        <v>1</v>
      </c>
      <c r="S33" s="51" t="n">
        <v>3</v>
      </c>
      <c r="T33" s="51" t="n">
        <v>2</v>
      </c>
      <c r="U33" s="71">
        <f>IFERROR(T33/S33, 1)</f>
        <v/>
      </c>
      <c r="V33" s="72" t="n">
        <v>0</v>
      </c>
      <c r="W33" s="69" t="n">
        <v>3</v>
      </c>
      <c r="X33" s="82">
        <f>((O33*0.3)+(Q33*0.175)+(R33*0.175)+(U33*0.175)+((1-V33)*0.175))+W33</f>
        <v/>
      </c>
    </row>
    <row r="34" ht="14.25" customHeight="1" s="52">
      <c r="A34" s="92" t="n">
        <v>46134</v>
      </c>
      <c r="B34" s="75" t="n">
        <v>7</v>
      </c>
      <c r="C34" s="75" t="inlineStr">
        <is>
          <t>Kristy</t>
        </is>
      </c>
      <c r="D34" s="75" t="inlineStr">
        <is>
          <t>Dina, Essence Brewer</t>
        </is>
      </c>
      <c r="E34" s="76" t="n">
        <v>2.2</v>
      </c>
      <c r="F34" s="75" t="n">
        <v>0</v>
      </c>
      <c r="G34" s="75" t="n">
        <v>4</v>
      </c>
      <c r="H34" s="75" t="n">
        <v>4</v>
      </c>
      <c r="I34" s="75" t="n">
        <v>0</v>
      </c>
      <c r="J34" s="75">
        <f>F34-(1/H34)</f>
        <v/>
      </c>
      <c r="K34" s="75">
        <f>((I34-((H34-1)/H34))-(-5/6))/((5-(5/6))-(-5/6))</f>
        <v/>
      </c>
      <c r="L34" s="75">
        <f>E34-((E31+E32+E33)/3)</f>
        <v/>
      </c>
      <c r="M34" s="78">
        <f>0.5 + (L34 * 0.09)</f>
        <v/>
      </c>
      <c r="N34" s="75">
        <f>((H34-(G34-1))/H34)*(IF(I34&lt;&gt;0,(I34+H34)/H34,1))</f>
        <v/>
      </c>
      <c r="O34" s="79">
        <f>(N34-(1/6))/(10/6)</f>
        <v/>
      </c>
      <c r="P34" s="75" t="n">
        <v>8</v>
      </c>
      <c r="Q34" s="79">
        <f>IF(F34=1,(((1-((P34-3)/15))*0.5)+0.5),((P34/18)*0.5))</f>
        <v/>
      </c>
      <c r="R34" s="75" t="n">
        <v>0</v>
      </c>
      <c r="S34" s="75" t="n">
        <v>1</v>
      </c>
      <c r="T34" s="75" t="n">
        <v>0</v>
      </c>
      <c r="U34" s="79">
        <f>IFERROR(T34/S34, 1)</f>
        <v/>
      </c>
      <c r="V34" s="80" t="n">
        <v>0</v>
      </c>
      <c r="W34" s="77" t="n">
        <v>2</v>
      </c>
      <c r="X34" s="85">
        <f>((O34*0.3)+(Q34*0.175)+(R34*0.175)+(U34*0.175)+((1-V34)*0.175))+W34</f>
        <v/>
      </c>
    </row>
    <row r="35" ht="14.25" customHeight="1" s="52">
      <c r="A35" s="93" t="n">
        <v>46143</v>
      </c>
      <c r="B35" s="51" t="n">
        <v>8</v>
      </c>
      <c r="C35" s="51" t="inlineStr">
        <is>
          <t>Ryan</t>
        </is>
      </c>
      <c r="D35" s="51" t="inlineStr">
        <is>
          <t>Witherbloom, The Balancer</t>
        </is>
      </c>
      <c r="E35" s="68" t="n">
        <v>2</v>
      </c>
      <c r="F35" s="51" t="n">
        <v>1</v>
      </c>
      <c r="G35" s="51" t="n">
        <v>1</v>
      </c>
      <c r="H35" s="51" t="n">
        <v>6</v>
      </c>
      <c r="I35" s="51" t="n">
        <v>3</v>
      </c>
      <c r="J35" s="51">
        <f>F35-(1/H35)</f>
        <v/>
      </c>
      <c r="K35" s="51">
        <f>((I35-((H35-1)/H35))-(-5/6))/((5-(5/6))-(-5/6))</f>
        <v/>
      </c>
      <c r="L35" s="51">
        <f>E35-((E36+E37+E38+E39+E40)/5)</f>
        <v/>
      </c>
      <c r="M35" s="70">
        <f>0.5 + (L35 * 0.09)</f>
        <v/>
      </c>
      <c r="N35" s="51">
        <f>((H35-(G35-1))/H35)*(IF(I35&lt;&gt;0,(I35+H35)/H35,1))</f>
        <v/>
      </c>
      <c r="O35" s="71">
        <f>(N35-(1/6))/(10/6)</f>
        <v/>
      </c>
      <c r="P35" s="51" t="n">
        <v>14</v>
      </c>
      <c r="Q35" s="71">
        <f>IF(F35=1,(((1-((P35-3)/15))*0.5)+0.5),((P35/18)*0.5))</f>
        <v/>
      </c>
      <c r="R35" s="51" t="n">
        <v>1</v>
      </c>
      <c r="S35" s="51" t="n">
        <v>1</v>
      </c>
      <c r="T35" s="51" t="n">
        <v>0</v>
      </c>
      <c r="U35" s="71">
        <f>IFERROR(T35/S35, 1)</f>
        <v/>
      </c>
      <c r="V35" s="72" t="n">
        <v>0</v>
      </c>
      <c r="W35" s="69" t="n">
        <v>2</v>
      </c>
      <c r="X35" s="82">
        <f>((O35*0.3)+(Q35*0.175)+(R35*0.175)+(U35*0.175)+((1-V35)*0.175))+W35</f>
        <v/>
      </c>
    </row>
    <row r="36" ht="14.25" customHeight="1" s="52">
      <c r="A36" s="93" t="n">
        <v>46143</v>
      </c>
      <c r="B36" s="51" t="n">
        <v>8</v>
      </c>
      <c r="C36" s="51" t="inlineStr">
        <is>
          <t>Mateo</t>
        </is>
      </c>
      <c r="D36" s="51" t="inlineStr">
        <is>
          <t>Killian, Decisive Mentor (Becca's)</t>
        </is>
      </c>
      <c r="E36" s="68" t="n">
        <v>2</v>
      </c>
      <c r="F36" s="51" t="n">
        <v>0</v>
      </c>
      <c r="G36" s="51" t="n">
        <v>2</v>
      </c>
      <c r="H36" s="51" t="n">
        <v>6</v>
      </c>
      <c r="I36" s="51" t="n">
        <v>1</v>
      </c>
      <c r="J36" s="51">
        <f>F36-(1/H36)</f>
        <v/>
      </c>
      <c r="K36" s="51">
        <f>((I36-((H36-1)/H36))-(-5/6))/((5-(5/6))-(-5/6))</f>
        <v/>
      </c>
      <c r="L36" s="51">
        <f>E36-((E35+E37+E38+E39+E40)/5)</f>
        <v/>
      </c>
      <c r="M36" s="70">
        <f>0.5 + (L36 * 0.09)</f>
        <v/>
      </c>
      <c r="N36" s="51">
        <f>((H36-(G36-1))/H36)*(IF(I36&lt;&gt;0,(I36+H36)/H36,1))</f>
        <v/>
      </c>
      <c r="O36" s="71">
        <f>(N36-(1/6))/(10/6)</f>
        <v/>
      </c>
      <c r="P36" s="51" t="n">
        <v>14</v>
      </c>
      <c r="Q36" s="71">
        <f>IF(F36=1,(((1-((P36-3)/15))*0.5)+0.5),((P36/18)*0.5))</f>
        <v/>
      </c>
      <c r="R36" s="51" t="n">
        <v>1</v>
      </c>
      <c r="S36" s="51" t="n">
        <v>0</v>
      </c>
      <c r="T36" s="51" t="n">
        <v>0</v>
      </c>
      <c r="U36" s="71">
        <f>IFERROR(T36/S36, 1)</f>
        <v/>
      </c>
      <c r="V36" s="72" t="n">
        <v>0</v>
      </c>
      <c r="W36" s="69" t="n">
        <v>2</v>
      </c>
      <c r="X36" s="82">
        <f>((O36*0.3)+(Q36*0.175)+(R36*0.175)+(U36*0.175)+((1-V36)*0.175))+W36</f>
        <v/>
      </c>
    </row>
    <row r="37" ht="14.25" customHeight="1" s="52">
      <c r="A37" s="93" t="n">
        <v>46143</v>
      </c>
      <c r="B37" s="51" t="n">
        <v>8</v>
      </c>
      <c r="C37" s="51" t="inlineStr">
        <is>
          <t>Joseph</t>
        </is>
      </c>
      <c r="D37" s="51" t="inlineStr">
        <is>
          <t>Super Shredder</t>
        </is>
      </c>
      <c r="E37" s="68" t="n">
        <v>2.4</v>
      </c>
      <c r="F37" s="51" t="n">
        <v>0</v>
      </c>
      <c r="G37" s="51" t="n">
        <v>3</v>
      </c>
      <c r="H37" s="51" t="n">
        <v>6</v>
      </c>
      <c r="I37" s="51" t="n">
        <v>1</v>
      </c>
      <c r="J37" s="51">
        <f>F37-(1/H37)</f>
        <v/>
      </c>
      <c r="K37" s="51">
        <f>((I37-((H37-1)/H37))-(-5/6))/((5-(5/6))-(-5/6))</f>
        <v/>
      </c>
      <c r="L37" s="51">
        <f>E37-((E35+E36+E38+E39+E40)/5)</f>
        <v/>
      </c>
      <c r="M37" s="70">
        <f>0.5 + (L37 * 0.09)</f>
        <v/>
      </c>
      <c r="N37" s="51">
        <f>((H37-(G37-1))/H37)*(IF(I37&lt;&gt;0,(I37+H37)/H37,1))</f>
        <v/>
      </c>
      <c r="O37" s="71">
        <f>(N37-(1/6))/(10/6)</f>
        <v/>
      </c>
      <c r="P37" s="51" t="n">
        <v>14</v>
      </c>
      <c r="Q37" s="71">
        <f>IF(F37=1,(((1-((P37-3)/15))*0.5)+0.5),((P37/18)*0.5))</f>
        <v/>
      </c>
      <c r="R37" s="51" t="n">
        <v>1</v>
      </c>
      <c r="S37" s="51" t="n">
        <v>0</v>
      </c>
      <c r="T37" s="51" t="n">
        <v>0</v>
      </c>
      <c r="U37" s="71">
        <f>IFERROR(T37/S37, 1)</f>
        <v/>
      </c>
      <c r="V37" s="72" t="n">
        <v>0</v>
      </c>
      <c r="W37" s="69" t="n">
        <v>2</v>
      </c>
      <c r="X37" s="82">
        <f>((O37*0.3)+(Q37*0.175)+(R37*0.175)+(U37*0.175)+((1-V37)*0.175))+W37</f>
        <v/>
      </c>
    </row>
    <row r="38" ht="14.25" customHeight="1" s="52">
      <c r="A38" s="93" t="n">
        <v>46143</v>
      </c>
      <c r="B38" s="51" t="n">
        <v>8</v>
      </c>
      <c r="C38" s="51" t="inlineStr">
        <is>
          <t>Manny</t>
        </is>
      </c>
      <c r="D38" s="51" t="inlineStr">
        <is>
          <t>Athreos, God of Passage</t>
        </is>
      </c>
      <c r="E38" s="68" t="n">
        <v>3</v>
      </c>
      <c r="F38" s="51" t="n">
        <v>0</v>
      </c>
      <c r="G38" s="51" t="n">
        <v>4</v>
      </c>
      <c r="H38" s="51" t="n">
        <v>6</v>
      </c>
      <c r="I38" s="51" t="n">
        <v>0</v>
      </c>
      <c r="J38" s="51">
        <f>F38-(1/H38)</f>
        <v/>
      </c>
      <c r="K38" s="51">
        <f>((I38-((H38-1)/H38))-(-5/6))/((5-(5/6))-(-5/6))</f>
        <v/>
      </c>
      <c r="L38" s="51">
        <f>E38-((E35+E36+E37+E39+E40)/5)</f>
        <v/>
      </c>
      <c r="M38" s="70">
        <f>0.5 + (L38 * 0.09)</f>
        <v/>
      </c>
      <c r="N38" s="51">
        <f>((H38-(G38-1))/H38)*(IF(I38&lt;&gt;0,(I38+H38)/H38,1))</f>
        <v/>
      </c>
      <c r="O38" s="71">
        <f>(N38-(1/6))/(10/6)</f>
        <v/>
      </c>
      <c r="P38" s="51" t="n">
        <v>11</v>
      </c>
      <c r="Q38" s="71">
        <f>IF(F38=1,(((1-((P38-3)/15))*0.5)+0.5),((P38/18)*0.5))</f>
        <v/>
      </c>
      <c r="R38" s="51" t="n">
        <v>0</v>
      </c>
      <c r="S38" s="51" t="n">
        <v>0</v>
      </c>
      <c r="T38" s="51" t="n">
        <v>0</v>
      </c>
      <c r="U38" s="71">
        <f>IFERROR(T38/S38, 1)</f>
        <v/>
      </c>
      <c r="V38" s="72" t="n">
        <v>1</v>
      </c>
      <c r="W38" s="69" t="n">
        <v>3</v>
      </c>
      <c r="X38" s="82">
        <f>((O38*0.3)+(Q38*0.175)+(R38*0.175)+(U38*0.175)+((1-V38)*0.175))+W38</f>
        <v/>
      </c>
    </row>
    <row r="39" ht="14.25" customHeight="1" s="52">
      <c r="A39" s="93" t="n">
        <v>46143</v>
      </c>
      <c r="B39" s="51" t="n">
        <v>8</v>
      </c>
      <c r="C39" s="51" t="inlineStr">
        <is>
          <t>Kristy</t>
        </is>
      </c>
      <c r="D39" s="51" t="inlineStr">
        <is>
          <t>Dina, Essence Brewer</t>
        </is>
      </c>
      <c r="E39" s="68" t="n">
        <v>2.2</v>
      </c>
      <c r="F39" s="51" t="n">
        <v>0</v>
      </c>
      <c r="G39" s="51" t="n">
        <v>5</v>
      </c>
      <c r="H39" s="51" t="n">
        <v>6</v>
      </c>
      <c r="I39" s="51" t="n">
        <v>0</v>
      </c>
      <c r="J39" s="51">
        <f>F39-(1/H39)</f>
        <v/>
      </c>
      <c r="K39" s="51">
        <f>((I39-((H39-1)/H39))-(-5/6))/((5-(5/6))-(-5/6))</f>
        <v/>
      </c>
      <c r="L39" s="51">
        <f>E39-((E35+E36+E37+E38+E40)/5)</f>
        <v/>
      </c>
      <c r="M39" s="70">
        <f>0.5 + (L39 * 0.09)</f>
        <v/>
      </c>
      <c r="N39" s="51">
        <f>((H39-(G39-1))/H39)*(IF(I39&lt;&gt;0,(I39+H39)/H39,1))</f>
        <v/>
      </c>
      <c r="O39" s="71">
        <f>(N39-(1/6))/(10/6)</f>
        <v/>
      </c>
      <c r="P39" s="51" t="n">
        <v>9</v>
      </c>
      <c r="Q39" s="71">
        <f>IF(F39=1,(((1-((P39-3)/15))*0.5)+0.5),((P39/18)*0.5))</f>
        <v/>
      </c>
      <c r="R39" s="51" t="n">
        <v>0</v>
      </c>
      <c r="S39" s="51" t="n">
        <v>1</v>
      </c>
      <c r="T39" s="51" t="n">
        <v>0</v>
      </c>
      <c r="U39" s="71">
        <f>IFERROR(T39/S39, 1)</f>
        <v/>
      </c>
      <c r="V39" s="72" t="n">
        <v>0</v>
      </c>
      <c r="W39" s="69" t="n">
        <v>2</v>
      </c>
      <c r="X39" s="82">
        <f>((O39*0.3)+(Q39*0.175)+(R39*0.175)+(U39*0.175)+((1-V39)*0.175))+W39</f>
        <v/>
      </c>
    </row>
    <row r="40" ht="14.25" customHeight="1" s="52">
      <c r="A40" s="92" t="n">
        <v>46143</v>
      </c>
      <c r="B40" s="75" t="n">
        <v>8</v>
      </c>
      <c r="C40" s="75" t="inlineStr">
        <is>
          <t>Red</t>
        </is>
      </c>
      <c r="D40" s="75" t="inlineStr">
        <is>
          <t>Squall, SeeD Mercenary</t>
        </is>
      </c>
      <c r="E40" s="76" t="n">
        <v>3</v>
      </c>
      <c r="F40" s="75" t="n">
        <v>0</v>
      </c>
      <c r="G40" s="75" t="n">
        <v>6</v>
      </c>
      <c r="H40" s="75" t="n">
        <v>6</v>
      </c>
      <c r="I40" s="75" t="n">
        <v>0</v>
      </c>
      <c r="J40" s="75">
        <f>F40-(1/H40)</f>
        <v/>
      </c>
      <c r="K40" s="75">
        <f>((I40-((H40-1)/H40))-(-5/6))/((5-(5/6))-(-5/6))</f>
        <v/>
      </c>
      <c r="L40" s="75">
        <f>E40-((E35+E36+E37+E38+E39)/5)</f>
        <v/>
      </c>
      <c r="M40" s="78">
        <f>0.5 + (L40 * 0.09)</f>
        <v/>
      </c>
      <c r="N40" s="75">
        <f>((H40-(G40-1))/H40)*(IF(I40&lt;&gt;0,(I40+H40)/H40,1))</f>
        <v/>
      </c>
      <c r="O40" s="79">
        <f>(N40-(1/6))/(10/6)</f>
        <v/>
      </c>
      <c r="P40" s="75" t="n">
        <v>9</v>
      </c>
      <c r="Q40" s="79">
        <f>IF(F40=1,(((1-((P40-3)/15))*0.5)+0.5),((P40/18)*0.5))</f>
        <v/>
      </c>
      <c r="R40" s="75" t="n">
        <v>1</v>
      </c>
      <c r="S40" s="75" t="n">
        <v>1</v>
      </c>
      <c r="T40" s="75" t="n">
        <v>1</v>
      </c>
      <c r="U40" s="79">
        <f>IFERROR(T40/S40, 1)</f>
        <v/>
      </c>
      <c r="V40" s="80" t="n">
        <v>0</v>
      </c>
      <c r="W40" s="77" t="n">
        <v>3</v>
      </c>
      <c r="X40" s="85">
        <f>((O40*0.3)+(Q40*0.175)+(R40*0.175)+(U40*0.175)+((1-V40)*0.175))+W40</f>
        <v/>
      </c>
    </row>
    <row r="41" ht="14.25" customHeight="1" s="52">
      <c r="A41" s="93" t="n">
        <v>46157</v>
      </c>
      <c r="B41" s="51" t="n">
        <v>9</v>
      </c>
      <c r="C41" s="51" t="inlineStr">
        <is>
          <t>Manny</t>
        </is>
      </c>
      <c r="D41" s="51" t="inlineStr">
        <is>
          <t>Atraxa, Praetor's Voice</t>
        </is>
      </c>
      <c r="E41" s="68" t="n">
        <v>3.6</v>
      </c>
      <c r="F41" s="51" t="n">
        <v>1</v>
      </c>
      <c r="G41" s="51" t="n">
        <v>1</v>
      </c>
      <c r="H41" s="51" t="n">
        <v>5</v>
      </c>
      <c r="I41" s="51" t="n">
        <v>3</v>
      </c>
      <c r="J41" s="51">
        <f>F41-(1/H41)</f>
        <v/>
      </c>
      <c r="K41" s="51">
        <f>((I41-((H41-1)/H41))-(-5/6))/((5-(5/6))-(-5/6))</f>
        <v/>
      </c>
      <c r="L41" s="87">
        <f>E41-((E42+E43+E44+E45)/4)</f>
        <v/>
      </c>
      <c r="M41" s="94">
        <f>0.5 + (L41 * 0.09)</f>
        <v/>
      </c>
      <c r="N41" s="51">
        <f>((H41-(G41-1))/H41)*(IF(I41&lt;&gt;0,(I41+H41)/H41,1))</f>
        <v/>
      </c>
      <c r="O41" s="71">
        <f>(N41-(1/6))/(10/6)</f>
        <v/>
      </c>
      <c r="P41" s="51" t="n">
        <v>18</v>
      </c>
      <c r="Q41" s="71">
        <f>IF(F41=1,(((1-((P41-3)/15))*0.5)+0.5),((P41/18)*0.5))</f>
        <v/>
      </c>
      <c r="R41" s="51" t="n">
        <v>1</v>
      </c>
      <c r="S41" s="51" t="n">
        <v>2</v>
      </c>
      <c r="T41" s="51" t="n">
        <v>2</v>
      </c>
      <c r="U41" s="71">
        <f>IFERROR(T41/S41, 1)</f>
        <v/>
      </c>
      <c r="V41" s="72" t="n">
        <v>0</v>
      </c>
      <c r="W41" s="69" t="n">
        <v>3</v>
      </c>
      <c r="X41" s="82">
        <f>((O41*0.3)+(Q41*0.175)+(R41*0.175)+(U41*0.175)+((1-V41)*0.175))+W41</f>
        <v/>
      </c>
    </row>
    <row r="42" ht="14.25" customHeight="1" s="52">
      <c r="A42" s="93" t="n">
        <v>46157</v>
      </c>
      <c r="B42" s="51" t="n">
        <v>9</v>
      </c>
      <c r="C42" s="51" t="inlineStr">
        <is>
          <t>Becca</t>
        </is>
      </c>
      <c r="D42" s="51" t="inlineStr">
        <is>
          <t>Killian, Decisive Mentor</t>
        </is>
      </c>
      <c r="E42" s="68" t="n">
        <v>2.7</v>
      </c>
      <c r="F42" s="51" t="n">
        <v>0</v>
      </c>
      <c r="G42" s="51" t="n">
        <v>2</v>
      </c>
      <c r="H42" s="51" t="n">
        <v>5</v>
      </c>
      <c r="I42" s="51" t="n">
        <v>0</v>
      </c>
      <c r="J42" s="51">
        <f>F42-(1/H42)</f>
        <v/>
      </c>
      <c r="K42" s="51">
        <f>((I42-((H42-1)/H42))-(-5/6))/((5-(5/6))-(-5/6))</f>
        <v/>
      </c>
      <c r="L42" s="51">
        <f>E42-((E41+E43+E44+E45)/4)</f>
        <v/>
      </c>
      <c r="M42" s="70">
        <f>0.5 + (L42 * 0.09)</f>
        <v/>
      </c>
      <c r="N42" s="51">
        <f>((H42-(G42-1))/H42)*(IF(I42&lt;&gt;0,(I42+H42)/H42,1))</f>
        <v/>
      </c>
      <c r="O42" s="71">
        <f>(N42-(1/6))/(10/6)</f>
        <v/>
      </c>
      <c r="P42" s="51" t="n">
        <v>18</v>
      </c>
      <c r="Q42" s="71">
        <f>IF(F42=1,(((1-((P42-3)/15))*0.5)+0.5),((P42/18)*0.5))</f>
        <v/>
      </c>
      <c r="R42" s="51" t="n">
        <v>0</v>
      </c>
      <c r="S42" s="51" t="n">
        <v>3</v>
      </c>
      <c r="T42" s="51" t="n">
        <v>2</v>
      </c>
      <c r="U42" s="71">
        <f>IFERROR(T42/S42, 1)</f>
        <v/>
      </c>
      <c r="V42" s="72" t="n">
        <v>0</v>
      </c>
      <c r="W42" s="69" t="n">
        <v>2</v>
      </c>
      <c r="X42" s="82">
        <f>((O42*0.3)+(Q42*0.175)+(R42*0.175)+(U42*0.175)+((1-V42)*0.175))+W42</f>
        <v/>
      </c>
    </row>
    <row r="43" ht="14.25" customHeight="1" s="52">
      <c r="A43" s="93" t="n">
        <v>46157</v>
      </c>
      <c r="B43" s="51" t="n">
        <v>9</v>
      </c>
      <c r="C43" s="51" t="inlineStr">
        <is>
          <t>Ryan</t>
        </is>
      </c>
      <c r="D43" s="51" t="inlineStr">
        <is>
          <t>Fire Lord Zuko</t>
        </is>
      </c>
      <c r="E43" s="68" t="n">
        <v>3.3</v>
      </c>
      <c r="F43" s="51" t="n">
        <v>0</v>
      </c>
      <c r="G43" s="51" t="n">
        <v>3</v>
      </c>
      <c r="H43" s="51" t="n">
        <v>5</v>
      </c>
      <c r="I43" s="51" t="n">
        <v>0</v>
      </c>
      <c r="J43" s="51">
        <f>F43-(1/H43)</f>
        <v/>
      </c>
      <c r="K43" s="51">
        <f>((I43-((H43-1)/H43))-(-5/6))/((5-(5/6))-(-5/6))</f>
        <v/>
      </c>
      <c r="L43" s="51">
        <f>E43-((E41+E42+E44+E45)/4)</f>
        <v/>
      </c>
      <c r="M43" s="70">
        <f>0.5 + (L43 * 0.09)</f>
        <v/>
      </c>
      <c r="N43" s="51">
        <f>((H43-(G43-1))/H43)*(IF(I43&lt;&gt;0,(I43+H43)/H43,1))</f>
        <v/>
      </c>
      <c r="O43" s="71">
        <f>(N43-(1/6))/(10/6)</f>
        <v/>
      </c>
      <c r="P43" s="51" t="n">
        <v>14</v>
      </c>
      <c r="Q43" s="71">
        <f>IF(F43=1,(((1-((P43-3)/15))*0.5)+0.5),((P43/18)*0.5))</f>
        <v/>
      </c>
      <c r="R43" s="51" t="n">
        <v>1</v>
      </c>
      <c r="S43" s="51" t="n">
        <v>2</v>
      </c>
      <c r="T43" s="51" t="n">
        <v>1</v>
      </c>
      <c r="U43" s="71">
        <f>IFERROR(T43/S43, 1)</f>
        <v/>
      </c>
      <c r="V43" s="72" t="n">
        <v>0</v>
      </c>
      <c r="W43" s="69" t="n">
        <v>3</v>
      </c>
      <c r="X43" s="82">
        <f>((O43*0.3)+(Q43*0.175)+(R43*0.175)+(U43*0.175)+((1-V43)*0.175))+W43</f>
        <v/>
      </c>
    </row>
    <row r="44" ht="14.25" customHeight="1" s="52">
      <c r="A44" s="93" t="n">
        <v>46157</v>
      </c>
      <c r="B44" s="51" t="n">
        <v>9</v>
      </c>
      <c r="C44" s="51" t="inlineStr">
        <is>
          <t>Mateo</t>
        </is>
      </c>
      <c r="D44" s="51" t="inlineStr">
        <is>
          <t>Quintorius, History Chaser</t>
        </is>
      </c>
      <c r="E44" s="68" t="n">
        <v>2.9</v>
      </c>
      <c r="F44" s="51" t="n">
        <v>0</v>
      </c>
      <c r="G44" s="51" t="n">
        <v>4</v>
      </c>
      <c r="H44" s="51" t="n">
        <v>5</v>
      </c>
      <c r="I44" s="51" t="n">
        <v>1</v>
      </c>
      <c r="J44" s="51">
        <f>F44-(1/H44)</f>
        <v/>
      </c>
      <c r="K44" s="51">
        <f>((I44-((H44-1)/H44))-(-5/6))/((5-(5/6))-(-5/6))</f>
        <v/>
      </c>
      <c r="L44" s="51">
        <f>E44-((E41+E42+E43+E45)/4)</f>
        <v/>
      </c>
      <c r="M44" s="70">
        <f>0.5 + (L44 * 0.09)</f>
        <v/>
      </c>
      <c r="N44" s="51">
        <f>((H44-(G44-1))/H44)*(IF(I44&lt;&gt;0,(I44+H44)/H44,1))</f>
        <v/>
      </c>
      <c r="O44" s="71">
        <f>(N44-(1/6))/(10/6)</f>
        <v/>
      </c>
      <c r="P44" s="51" t="n">
        <v>11</v>
      </c>
      <c r="Q44" s="71">
        <f>IF(F44=1,(((1-((P44-3)/15))*0.5)+0.5),((P44/18)*0.5))</f>
        <v/>
      </c>
      <c r="R44" s="51" t="n">
        <v>1</v>
      </c>
      <c r="S44" s="51" t="n">
        <v>0</v>
      </c>
      <c r="T44" s="51" t="n">
        <v>0</v>
      </c>
      <c r="U44" s="71">
        <f>IFERROR(T44/S44, 1)</f>
        <v/>
      </c>
      <c r="V44" s="72" t="n">
        <v>0</v>
      </c>
      <c r="W44" s="69" t="n">
        <v>2</v>
      </c>
      <c r="X44" s="82">
        <f>((O44*0.3)+(Q44*0.175)+(R44*0.175)+(U44*0.175)+((1-V44)*0.175))+W44</f>
        <v/>
      </c>
    </row>
    <row r="45" ht="14.25" customHeight="1" s="52">
      <c r="A45" s="92" t="n">
        <v>46157</v>
      </c>
      <c r="B45" s="75" t="n">
        <v>9</v>
      </c>
      <c r="C45" s="75" t="inlineStr">
        <is>
          <t>Red</t>
        </is>
      </c>
      <c r="D45" s="75" t="inlineStr">
        <is>
          <t>Squall, SeeD Mercenary</t>
        </is>
      </c>
      <c r="E45" s="76" t="n">
        <v>3.6</v>
      </c>
      <c r="F45" s="75" t="n">
        <v>0</v>
      </c>
      <c r="G45" s="75" t="n">
        <v>5</v>
      </c>
      <c r="H45" s="75" t="n">
        <v>5</v>
      </c>
      <c r="I45" s="75" t="n">
        <v>0</v>
      </c>
      <c r="J45" s="75">
        <f>F45-(1/H45)</f>
        <v/>
      </c>
      <c r="K45" s="75">
        <f>((I45-((H45-1)/H45))-(-5/6))/((5-(5/6))-(-5/6))</f>
        <v/>
      </c>
      <c r="L45" s="75">
        <f>E45-((E41+E42+E43+E44)/4)</f>
        <v/>
      </c>
      <c r="M45" s="78">
        <f>0.5 + (L45 * 0.09)</f>
        <v/>
      </c>
      <c r="N45" s="75">
        <f>((H45-(G45-1))/H45)*(IF(I45&lt;&gt;0,(I45+H45)/H45,1))</f>
        <v/>
      </c>
      <c r="O45" s="79">
        <f>(N45-(1/6))/(10/6)</f>
        <v/>
      </c>
      <c r="P45" s="75" t="n">
        <v>11</v>
      </c>
      <c r="Q45" s="79">
        <f>IF(F45=1,(((1-((P45-3)/15))*0.5)+0.5),((P45/18)*0.5))</f>
        <v/>
      </c>
      <c r="R45" s="75" t="n">
        <v>0</v>
      </c>
      <c r="S45" s="75" t="n">
        <v>3</v>
      </c>
      <c r="T45" s="75" t="n">
        <v>1</v>
      </c>
      <c r="U45" s="79">
        <f>IFERROR(T45/S45, 1)</f>
        <v/>
      </c>
      <c r="V45" s="80" t="n">
        <v>0</v>
      </c>
      <c r="W45" s="77" t="n">
        <v>3</v>
      </c>
      <c r="X45" s="85">
        <f>((O45*0.3)+(Q45*0.175)+(R45*0.175)+(U45*0.175)+((1-V45)*0.175))+W45</f>
        <v/>
      </c>
    </row>
    <row r="46" ht="14.25" customHeight="1" s="52">
      <c r="A46" s="93" t="n">
        <v>46157</v>
      </c>
      <c r="B46" s="51" t="n">
        <v>10</v>
      </c>
      <c r="C46" s="51" t="inlineStr">
        <is>
          <t>Mateo</t>
        </is>
      </c>
      <c r="D46" s="51" t="inlineStr">
        <is>
          <t>Noctis, Heir Apparent</t>
        </is>
      </c>
      <c r="E46" s="68" t="n">
        <v>2</v>
      </c>
      <c r="F46" s="51" t="n">
        <v>1</v>
      </c>
      <c r="G46" s="51" t="n">
        <v>1</v>
      </c>
      <c r="H46" s="51" t="n">
        <v>3</v>
      </c>
      <c r="I46" s="51" t="n">
        <v>2</v>
      </c>
      <c r="J46" s="51">
        <f>F46-(1/H46)</f>
        <v/>
      </c>
      <c r="K46" s="51">
        <f>((I46-((H46-1)/H46))-(-5/6))/((5-(5/6))-(-5/6))</f>
        <v/>
      </c>
      <c r="L46" s="68">
        <f>E46-((E47+E48)/2)</f>
        <v/>
      </c>
      <c r="M46" s="70">
        <f>0.5 + (L46 * 0.09)</f>
        <v/>
      </c>
      <c r="N46" s="51">
        <f>((H46-(G46-1))/H46)*(IF(I46&lt;&gt;0,(I46+H46)/H46,1))</f>
        <v/>
      </c>
      <c r="O46" s="71">
        <f>(N46-(1/6))/(10/6)</f>
        <v/>
      </c>
      <c r="P46" s="51" t="n">
        <v>10</v>
      </c>
      <c r="Q46" s="71">
        <f>IF(F46=1,(((1-((P46-3)/15))*0.5)+0.5),((P46/18)*0.5))</f>
        <v/>
      </c>
      <c r="R46" s="51" t="n">
        <v>1</v>
      </c>
      <c r="S46" s="51" t="n">
        <v>1</v>
      </c>
      <c r="T46" s="51" t="n">
        <v>1</v>
      </c>
      <c r="U46" s="71">
        <f>IFERROR(T46/S46, 1)</f>
        <v/>
      </c>
      <c r="V46" s="72" t="n">
        <v>0</v>
      </c>
      <c r="W46" s="69" t="n">
        <v>2</v>
      </c>
      <c r="X46" s="82">
        <f>((O46*0.3)+(Q46*0.175)+(R46*0.175)+(U46*0.175)+((1-V46)*0.175))+W46</f>
        <v/>
      </c>
    </row>
    <row r="47" ht="14.25" customHeight="1" s="52">
      <c r="A47" s="93" t="n">
        <v>46157</v>
      </c>
      <c r="B47" s="51" t="n">
        <v>10</v>
      </c>
      <c r="C47" s="51" t="inlineStr">
        <is>
          <t>Ryan</t>
        </is>
      </c>
      <c r="D47" s="51" t="inlineStr">
        <is>
          <t>Eowyn, Shieldmaiden</t>
        </is>
      </c>
      <c r="E47" s="68" t="n">
        <v>3.6</v>
      </c>
      <c r="F47" s="51" t="n">
        <v>0</v>
      </c>
      <c r="G47" s="51" t="n">
        <v>2</v>
      </c>
      <c r="H47" s="51" t="n">
        <v>3</v>
      </c>
      <c r="I47" s="51" t="n">
        <v>0</v>
      </c>
      <c r="J47" s="51">
        <f>F47-(1/H47)</f>
        <v/>
      </c>
      <c r="K47" s="51">
        <f>((I47-((H47-1)/H47))-(-5/6))/((5-(5/6))-(-5/6))</f>
        <v/>
      </c>
      <c r="L47" s="51">
        <f>E47-((E46+E48)/2)</f>
        <v/>
      </c>
      <c r="M47" s="70">
        <f>0.5 + (L47 * 0.09)</f>
        <v/>
      </c>
      <c r="N47" s="51">
        <f>((H47-(G47-1))/H47)*(IF(I47&lt;&gt;0,(I47+H47)/H47,1))</f>
        <v/>
      </c>
      <c r="O47" s="71">
        <f>(N47-(1/6))/(10/6)</f>
        <v/>
      </c>
      <c r="P47" s="51" t="n">
        <v>10</v>
      </c>
      <c r="Q47" s="71">
        <f>IF(F47=1,(((1-((P47-3)/15))*0.5)+0.5),((P47/18)*0.5))</f>
        <v/>
      </c>
      <c r="R47" s="51" t="n">
        <v>0</v>
      </c>
      <c r="S47" s="51" t="n">
        <v>0</v>
      </c>
      <c r="T47" s="51" t="n">
        <v>1</v>
      </c>
      <c r="U47" s="71">
        <f>IFERROR(T47/S47, 1)</f>
        <v/>
      </c>
      <c r="V47" s="72" t="n">
        <v>0</v>
      </c>
      <c r="W47" s="69" t="n">
        <v>3</v>
      </c>
      <c r="X47" s="82">
        <f>((O47*0.3)+(Q47*0.175)+(R47*0.175)+(U47*0.175)+((1-V47)*0.175))+W47</f>
        <v/>
      </c>
    </row>
    <row r="48" ht="14.25" customHeight="1" s="52">
      <c r="A48" s="92" t="n">
        <v>46157</v>
      </c>
      <c r="B48" s="75" t="n">
        <v>10</v>
      </c>
      <c r="C48" s="75" t="inlineStr">
        <is>
          <t>Red</t>
        </is>
      </c>
      <c r="D48" s="75" t="inlineStr">
        <is>
          <t>Squall, SeeD Mercenary</t>
        </is>
      </c>
      <c r="E48" s="76" t="n">
        <v>3.3</v>
      </c>
      <c r="F48" s="75" t="n">
        <v>0</v>
      </c>
      <c r="G48" s="75" t="n">
        <v>3</v>
      </c>
      <c r="H48" s="75" t="n">
        <v>3</v>
      </c>
      <c r="I48" s="75" t="n">
        <v>0</v>
      </c>
      <c r="J48" s="75">
        <f>F48-(1/H48)</f>
        <v/>
      </c>
      <c r="K48" s="75">
        <f>((I48-((H48-1)/H48))-(-5/6))/((5-(5/6))-(-5/6))</f>
        <v/>
      </c>
      <c r="L48" s="75">
        <f>E48-((E46+E47)/2)</f>
        <v/>
      </c>
      <c r="M48" s="78">
        <f>0.5 + (L48 * 0.09)</f>
        <v/>
      </c>
      <c r="N48" s="75">
        <f>((H48-(G48-1))/H48)*(IF(I48&lt;&gt;0,(I48+H48)/H48,1))</f>
        <v/>
      </c>
      <c r="O48" s="79">
        <f>(N48-(1/6))/(10/6)</f>
        <v/>
      </c>
      <c r="P48" s="75" t="n">
        <v>7</v>
      </c>
      <c r="Q48" s="79">
        <f>IF(F48=1,(((1-((P48-3)/15))*0.5)+0.5),((P48/18)*0.5))</f>
        <v/>
      </c>
      <c r="R48" s="75" t="n">
        <v>1</v>
      </c>
      <c r="S48" s="75" t="n">
        <v>0</v>
      </c>
      <c r="T48" s="75" t="n">
        <v>1</v>
      </c>
      <c r="U48" s="79">
        <f>IFERROR(T48/S48, 1)</f>
        <v/>
      </c>
      <c r="V48" s="80" t="n">
        <v>0</v>
      </c>
      <c r="W48" s="77" t="n">
        <v>3</v>
      </c>
      <c r="X48" s="85">
        <f>((O48*0.3)+(Q48*0.175)+(R48*0.175)+(U48*0.175)+((1-V48)*0.175))+W48</f>
        <v/>
      </c>
    </row>
    <row r="49" ht="14.25" customHeight="1" s="52">
      <c r="A49" s="93" t="n">
        <v>46161</v>
      </c>
      <c r="B49" s="51" t="n">
        <v>11</v>
      </c>
      <c r="C49" s="51" t="inlineStr">
        <is>
          <t>Ryan</t>
        </is>
      </c>
      <c r="D49" s="51" t="inlineStr">
        <is>
          <t>Witherbloom, The Balancer</t>
        </is>
      </c>
      <c r="E49" s="68" t="n">
        <v>2.7</v>
      </c>
      <c r="F49" s="51" t="n">
        <v>1</v>
      </c>
      <c r="G49" s="51" t="n">
        <v>1</v>
      </c>
      <c r="H49" s="51" t="n">
        <v>3</v>
      </c>
      <c r="I49" s="51" t="n">
        <v>2</v>
      </c>
      <c r="J49" s="51">
        <f>F49-(1/H49)</f>
        <v/>
      </c>
      <c r="K49" s="51">
        <f>((I49-((H49-1)/H49))-(-5/6))/((5-(5/6))-(-5/6))</f>
        <v/>
      </c>
      <c r="L49" s="68">
        <f>E49-((E50+E51)/2)</f>
        <v/>
      </c>
      <c r="M49" s="70">
        <f>0.5 + (L49 * 0.09)</f>
        <v/>
      </c>
      <c r="N49" s="51">
        <f>((H49-(G49-1))/H49)*(IF(I49&lt;&gt;0,(I49+H49)/H49,1))</f>
        <v/>
      </c>
      <c r="O49" s="71">
        <f>(N49-(1/6))/(10/6)</f>
        <v/>
      </c>
      <c r="P49" s="51" t="n">
        <v>11</v>
      </c>
      <c r="Q49" s="71">
        <f>IF(F49=1,(((1-((P49-3)/15))*0.5)+0.5),((P49/18)*0.5))</f>
        <v/>
      </c>
      <c r="R49" s="51" t="n">
        <v>1</v>
      </c>
      <c r="S49" s="51" t="n">
        <v>0</v>
      </c>
      <c r="T49" s="51" t="n">
        <v>0</v>
      </c>
      <c r="U49" s="71">
        <f>IFERROR(T49/S49, 1)</f>
        <v/>
      </c>
      <c r="V49" s="72" t="n">
        <v>0</v>
      </c>
      <c r="W49" s="69" t="n">
        <v>2</v>
      </c>
      <c r="X49" s="82">
        <f>((O49*0.3)+(Q49*0.175)+(R49*0.175)+(U49*0.175)+((1-V49)*0.175))+W49</f>
        <v/>
      </c>
    </row>
    <row r="50" ht="14.25" customHeight="1" s="52">
      <c r="A50" s="93" t="n">
        <v>46161</v>
      </c>
      <c r="B50" s="51" t="n">
        <v>11</v>
      </c>
      <c r="C50" s="51" t="inlineStr">
        <is>
          <t>Red</t>
        </is>
      </c>
      <c r="D50" s="51" t="inlineStr">
        <is>
          <t>Squall, SeeD Mercenary</t>
        </is>
      </c>
      <c r="E50" s="68" t="n">
        <v>3.6</v>
      </c>
      <c r="F50" s="51" t="n">
        <v>0</v>
      </c>
      <c r="G50" s="51" t="n">
        <v>2</v>
      </c>
      <c r="H50" s="51" t="n">
        <v>3</v>
      </c>
      <c r="I50" s="51" t="n">
        <v>0</v>
      </c>
      <c r="J50" s="51">
        <f>F50-(1/H50)</f>
        <v/>
      </c>
      <c r="K50" s="51">
        <f>((I50-((H50-1)/H50))-(-5/6))/((5-(5/6))-(-5/6))</f>
        <v/>
      </c>
      <c r="L50" s="51">
        <f>E50-((E49+E51)/2)</f>
        <v/>
      </c>
      <c r="M50" s="70">
        <f>0.5 + (L50 * 0.09)</f>
        <v/>
      </c>
      <c r="N50" s="51">
        <f>((H50-(G50-1))/H50)*(IF(I50&lt;&gt;0,(I50+H50)/H50,1))</f>
        <v/>
      </c>
      <c r="O50" s="71">
        <f>(N50-(1/6))/(10/6)</f>
        <v/>
      </c>
      <c r="P50" s="51" t="n">
        <v>11</v>
      </c>
      <c r="Q50" s="71">
        <f>IF(F50=1,(((1-((P50-3)/15))*0.5)+0.5),((P50/18)*0.5))</f>
        <v/>
      </c>
      <c r="R50" s="51" t="n">
        <v>0</v>
      </c>
      <c r="S50" s="51" t="n">
        <v>0</v>
      </c>
      <c r="T50" s="51" t="n">
        <v>0</v>
      </c>
      <c r="U50" s="71">
        <f>IFERROR(T50/S50, 1)</f>
        <v/>
      </c>
      <c r="V50" s="72" t="n">
        <v>0</v>
      </c>
      <c r="W50" s="69" t="n">
        <v>3</v>
      </c>
      <c r="X50" s="82">
        <f>((O50*0.3)+(Q50*0.175)+(R50*0.175)+(U50*0.175)+((1-V50)*0.175))+W50</f>
        <v/>
      </c>
    </row>
    <row r="51" ht="14.25" customHeight="1" s="52">
      <c r="A51" s="92" t="n">
        <v>46161</v>
      </c>
      <c r="B51" s="75" t="n">
        <v>11</v>
      </c>
      <c r="C51" s="75" t="inlineStr">
        <is>
          <t>Manny</t>
        </is>
      </c>
      <c r="D51" s="75" t="inlineStr">
        <is>
          <t>Fynn, the Fangbearer</t>
        </is>
      </c>
      <c r="E51" s="76" t="n">
        <v>2</v>
      </c>
      <c r="F51" s="75" t="n">
        <v>0</v>
      </c>
      <c r="G51" s="75" t="n">
        <v>3</v>
      </c>
      <c r="H51" s="75" t="n">
        <v>3</v>
      </c>
      <c r="I51" s="75" t="n">
        <v>0</v>
      </c>
      <c r="J51" s="75">
        <f>F51-(1/H51)</f>
        <v/>
      </c>
      <c r="K51" s="75">
        <f>((I51-((H51-1)/H51))-(-5/6))/((5-(5/6))-(-5/6))</f>
        <v/>
      </c>
      <c r="L51" s="75">
        <f>E51-((E49+E50)/2)</f>
        <v/>
      </c>
      <c r="M51" s="78">
        <f>0.5 + (L51 * 0.09)</f>
        <v/>
      </c>
      <c r="N51" s="75">
        <f>((H51-(G51-1))/H51)*(IF(I51&lt;&gt;0,(I51+H51)/H51,1))</f>
        <v/>
      </c>
      <c r="O51" s="79">
        <f>(N51-(1/6))/(10/6)</f>
        <v/>
      </c>
      <c r="P51" s="75" t="n">
        <v>10</v>
      </c>
      <c r="Q51" s="79">
        <f>IF(F51=1,(((1-((P51-3)/15))*0.5)+0.5),((P51/18)*0.5))</f>
        <v/>
      </c>
      <c r="R51" s="75" t="n">
        <v>1</v>
      </c>
      <c r="S51" s="75" t="n">
        <v>0</v>
      </c>
      <c r="T51" s="75" t="n">
        <v>0</v>
      </c>
      <c r="U51" s="79">
        <f>IFERROR(T51/S51, 1)</f>
        <v/>
      </c>
      <c r="V51" s="80" t="n">
        <v>0</v>
      </c>
      <c r="W51" s="77" t="n">
        <v>2</v>
      </c>
      <c r="X51" s="85">
        <f>((O51*0.3)+(Q51*0.175)+(R51*0.175)+(U51*0.175)+((1-V51)*0.175))+W51</f>
        <v/>
      </c>
    </row>
    <row r="52" ht="14.25" customHeight="1" s="52">
      <c r="A52" s="93" t="n">
        <v>46162</v>
      </c>
      <c r="B52" s="51" t="n">
        <v>12</v>
      </c>
      <c r="C52" s="51" t="inlineStr">
        <is>
          <t>Kristy</t>
        </is>
      </c>
      <c r="D52" s="51" t="inlineStr">
        <is>
          <t>Edgar Markov</t>
        </is>
      </c>
      <c r="E52" s="68" t="n">
        <v>3.6</v>
      </c>
      <c r="F52" s="51" t="n">
        <v>1</v>
      </c>
      <c r="G52" s="51" t="n">
        <v>1</v>
      </c>
      <c r="H52" s="51" t="n">
        <v>4</v>
      </c>
      <c r="I52" s="51" t="n">
        <v>2</v>
      </c>
      <c r="J52" s="51">
        <f>F52-(1/H52)</f>
        <v/>
      </c>
      <c r="K52" s="51">
        <f>((I52-((H52-1)/H52))-(-5/6))/((5-(5/6))-(-5/6))</f>
        <v/>
      </c>
      <c r="L52" s="51">
        <f>E52-((E53+E54+E55)/3)</f>
        <v/>
      </c>
      <c r="M52" s="70">
        <f>0.5 + (L52 * 0.09)</f>
        <v/>
      </c>
      <c r="N52" s="51">
        <f>((H52-(G52-1))/H52)*(IF(I52&lt;&gt;0,(I52+H52)/H52,1))</f>
        <v/>
      </c>
      <c r="O52" s="71">
        <f>(N52-(1/6))/(10/6)</f>
        <v/>
      </c>
      <c r="P52" s="51" t="n">
        <v>11</v>
      </c>
      <c r="Q52" s="71">
        <f>IF(F52=1,(((1-((P52-3)/15))*0.5)+0.5),((P52/18)*0.5))</f>
        <v/>
      </c>
      <c r="R52" s="51" t="n">
        <v>1</v>
      </c>
      <c r="S52" s="51" t="n">
        <v>0</v>
      </c>
      <c r="T52" s="51" t="n">
        <v>0</v>
      </c>
      <c r="U52" s="71">
        <f>IFERROR(T52/S52, 1)</f>
        <v/>
      </c>
      <c r="V52" s="72" t="n">
        <v>0</v>
      </c>
      <c r="W52" s="69" t="n">
        <v>3</v>
      </c>
      <c r="X52" s="82">
        <f>((O52*0.3)+(Q52*0.175)+(R52*0.175)+(U52*0.175)+((1-V52)*0.175))+W52</f>
        <v/>
      </c>
    </row>
    <row r="53" ht="14.25" customHeight="1" s="52">
      <c r="A53" s="93" t="n">
        <v>46162</v>
      </c>
      <c r="B53" s="51" t="n">
        <v>12</v>
      </c>
      <c r="C53" s="51" t="inlineStr">
        <is>
          <t>Joseph</t>
        </is>
      </c>
      <c r="D53" s="51" t="inlineStr">
        <is>
          <t>Hei Bai, Forest Guardian</t>
        </is>
      </c>
      <c r="E53" s="68" t="n">
        <v>3</v>
      </c>
      <c r="F53" s="51" t="n">
        <v>0</v>
      </c>
      <c r="G53" s="51" t="n">
        <v>2</v>
      </c>
      <c r="H53" s="51" t="n">
        <v>4</v>
      </c>
      <c r="I53" s="51" t="n">
        <v>0</v>
      </c>
      <c r="J53" s="51">
        <f>F53-(1/H53)</f>
        <v/>
      </c>
      <c r="K53" s="51">
        <f>((I53-((H53-1)/H53))-(-5/6))/((5-(5/6))-(-5/6))</f>
        <v/>
      </c>
      <c r="L53" s="51">
        <f>E53-((E52+E54+E55)/3)</f>
        <v/>
      </c>
      <c r="M53" s="70">
        <f>0.5 + (L53 * 0.09)</f>
        <v/>
      </c>
      <c r="N53" s="51">
        <f>((H53-(G53-1))/H53)*(IF(I53&lt;&gt;0,(I53+H53)/H53,1))</f>
        <v/>
      </c>
      <c r="O53" s="71">
        <f>(N53-(1/6))/(10/6)</f>
        <v/>
      </c>
      <c r="P53" s="51" t="n">
        <v>11</v>
      </c>
      <c r="Q53" s="71">
        <f>IF(F53=1,(((1-((P53-3)/15))*0.5)+0.5),((P53/18)*0.5))</f>
        <v/>
      </c>
      <c r="R53" s="51" t="n">
        <v>0</v>
      </c>
      <c r="S53" s="51" t="n">
        <v>1</v>
      </c>
      <c r="T53" s="51" t="n">
        <v>0</v>
      </c>
      <c r="U53" s="71">
        <f>IFERROR(T53/S53, 1)</f>
        <v/>
      </c>
      <c r="V53" s="72" t="n">
        <v>0</v>
      </c>
      <c r="W53" s="69" t="n">
        <v>3</v>
      </c>
      <c r="X53" s="82">
        <f>((O53*0.3)+(Q53*0.175)+(R53*0.175)+(U53*0.175)+((1-V53)*0.175))+W53</f>
        <v/>
      </c>
    </row>
    <row r="54" ht="14.25" customHeight="1" s="52">
      <c r="A54" s="93" t="n">
        <v>46162</v>
      </c>
      <c r="B54" s="51" t="n">
        <v>12</v>
      </c>
      <c r="C54" s="51" t="inlineStr">
        <is>
          <t>Ryan</t>
        </is>
      </c>
      <c r="D54" s="51" t="inlineStr">
        <is>
          <t>Cloud, Ex-SOLDIER</t>
        </is>
      </c>
      <c r="E54" s="68" t="n">
        <v>3.9</v>
      </c>
      <c r="F54" s="51" t="n">
        <v>0</v>
      </c>
      <c r="G54" s="51" t="n">
        <v>3</v>
      </c>
      <c r="H54" s="51" t="n">
        <v>4</v>
      </c>
      <c r="I54" s="51" t="n">
        <v>1</v>
      </c>
      <c r="J54" s="51">
        <f>F54-(1/H54)</f>
        <v/>
      </c>
      <c r="K54" s="51">
        <f>((I54-((H54-1)/H54))-(-5/6))/((5-(5/6))-(-5/6))</f>
        <v/>
      </c>
      <c r="L54" s="51">
        <f>E54-((E52+E53+E55)/3)</f>
        <v/>
      </c>
      <c r="M54" s="70">
        <f>0.5 + (L54 * 0.09)</f>
        <v/>
      </c>
      <c r="N54" s="51">
        <f>((H54-(G54-1))/H54)*(IF(I54&lt;&gt;0,(I54+H54)/H54,1))</f>
        <v/>
      </c>
      <c r="O54" s="71">
        <f>(N54-(1/6))/(10/6)</f>
        <v/>
      </c>
      <c r="P54" s="51" t="n">
        <v>11</v>
      </c>
      <c r="Q54" s="71">
        <f>IF(F54=1,(((1-((P54-3)/15))*0.5)+0.5),((P54/18)*0.5))</f>
        <v/>
      </c>
      <c r="R54" s="51" t="n">
        <v>1</v>
      </c>
      <c r="S54" s="51" t="n">
        <v>0</v>
      </c>
      <c r="T54" s="51" t="n">
        <v>0</v>
      </c>
      <c r="U54" s="71">
        <f>IFERROR(T54/S54, 1)</f>
        <v/>
      </c>
      <c r="V54" s="72" t="n">
        <v>0</v>
      </c>
      <c r="W54" s="69" t="n">
        <v>3</v>
      </c>
      <c r="X54" s="82">
        <f>((O54*0.3)+(Q54*0.175)+(R54*0.175)+(U54*0.175)+((1-V54)*0.175))+W54</f>
        <v/>
      </c>
    </row>
    <row r="55" ht="14.25" customHeight="1" s="52">
      <c r="A55" s="92" t="n">
        <v>46162</v>
      </c>
      <c r="B55" s="75" t="n">
        <v>12</v>
      </c>
      <c r="C55" s="75" t="inlineStr">
        <is>
          <t>Manny</t>
        </is>
      </c>
      <c r="D55" s="75" t="inlineStr">
        <is>
          <t>Galadriel, Light of Valinor</t>
        </is>
      </c>
      <c r="E55" s="76" t="n">
        <v>3.9</v>
      </c>
      <c r="F55" s="75" t="n">
        <v>0</v>
      </c>
      <c r="G55" s="75" t="n">
        <v>4</v>
      </c>
      <c r="H55" s="75" t="n">
        <v>4</v>
      </c>
      <c r="I55" s="75" t="n">
        <v>0</v>
      </c>
      <c r="J55" s="75">
        <f>F55-(1/H55)</f>
        <v/>
      </c>
      <c r="K55" s="75">
        <f>((I55-((H55-1)/H55))-(-5/6))/((5-(5/6))-(-5/6))</f>
        <v/>
      </c>
      <c r="L55" s="75">
        <f>E55-((E52+E53+E54)/3)</f>
        <v/>
      </c>
      <c r="M55" s="78">
        <f>0.5 + (L55 * 0.09)</f>
        <v/>
      </c>
      <c r="N55" s="75">
        <f>((H55-(G55-1))/H55)*(IF(I55&lt;&gt;0,(I55+H55)/H55,1))</f>
        <v/>
      </c>
      <c r="O55" s="79">
        <f>(N55-(1/6))/(10/6)</f>
        <v/>
      </c>
      <c r="P55" s="75" t="n">
        <v>11</v>
      </c>
      <c r="Q55" s="79">
        <f>IF(F55=1,(((1-((P55-3)/15))*0.5)+0.5),((P55/18)*0.5))</f>
        <v/>
      </c>
      <c r="R55" s="75" t="n">
        <v>1</v>
      </c>
      <c r="S55" s="75" t="n">
        <v>0</v>
      </c>
      <c r="T55" s="75" t="n">
        <v>0</v>
      </c>
      <c r="U55" s="79">
        <f>IFERROR(T55/S55, 1)</f>
        <v/>
      </c>
      <c r="V55" s="80" t="n">
        <v>0</v>
      </c>
      <c r="W55" s="77" t="n">
        <v>3</v>
      </c>
      <c r="X55" s="85">
        <f>((O55*0.3)+(Q55*0.175)+(R55*0.175)+(U55*0.175)+((1-V55)*0.175))+W55</f>
        <v/>
      </c>
    </row>
    <row r="56" ht="14.25" customHeight="1" s="52">
      <c r="A56" s="93" t="n">
        <v>46164</v>
      </c>
      <c r="B56" s="51" t="n">
        <v>13</v>
      </c>
      <c r="C56" s="51" t="inlineStr">
        <is>
          <t>Joseph</t>
        </is>
      </c>
      <c r="D56" s="51" t="inlineStr">
        <is>
          <t>Zimone, Infinite Analyst</t>
        </is>
      </c>
      <c r="E56" s="68" t="n">
        <v>3</v>
      </c>
      <c r="F56" s="51" t="n">
        <v>1</v>
      </c>
      <c r="G56" s="51" t="n">
        <v>1</v>
      </c>
      <c r="H56" s="51" t="n">
        <v>5</v>
      </c>
      <c r="I56" s="51" t="n">
        <v>3</v>
      </c>
      <c r="J56" s="51">
        <f>F56-(1/H56)</f>
        <v/>
      </c>
      <c r="K56" s="51">
        <f>((I56-((H56-1)/H56))-(-5/6))/((5-(5/6))-(-5/6))</f>
        <v/>
      </c>
      <c r="L56" s="87">
        <f>E56-((E57+E58+E59+E60)/4)</f>
        <v/>
      </c>
      <c r="M56" s="94">
        <f>0.5 + (L56 * 0.09)</f>
        <v/>
      </c>
      <c r="N56" s="51">
        <f>((H56-(G56-1))/H56)*(IF(I56&lt;&gt;0,(I56+H56)/H56,1))</f>
        <v/>
      </c>
      <c r="O56" s="71">
        <f>(N56-(1/6))/(10/6)</f>
        <v/>
      </c>
      <c r="P56" s="51" t="n">
        <v>17</v>
      </c>
      <c r="Q56" s="71">
        <f>IF(F56=1,(((1-((P56-3)/15))*0.5)+0.5),((P56/18)*0.5))</f>
        <v/>
      </c>
      <c r="R56" s="51" t="n">
        <v>1</v>
      </c>
      <c r="S56" s="51" t="n">
        <v>3</v>
      </c>
      <c r="T56" s="51" t="n">
        <v>2</v>
      </c>
      <c r="U56" s="71">
        <f>IFERROR(T56/S56, 1)</f>
        <v/>
      </c>
      <c r="V56" s="72" t="n">
        <v>0</v>
      </c>
      <c r="W56" s="69" t="n">
        <v>3</v>
      </c>
      <c r="X56" s="82">
        <f>((O56*0.3)+(Q56*0.175)+(R56*0.175)+(U56*0.175)+((1-V56)*0.175))+W56</f>
        <v/>
      </c>
    </row>
    <row r="57" ht="14.25" customHeight="1" s="52">
      <c r="A57" s="93" t="n">
        <v>46164</v>
      </c>
      <c r="B57" s="51" t="n">
        <v>13</v>
      </c>
      <c r="C57" s="51" t="inlineStr">
        <is>
          <t>Mateo</t>
        </is>
      </c>
      <c r="D57" s="51" t="inlineStr">
        <is>
          <t>Yuna, Grand Summoner</t>
        </is>
      </c>
      <c r="E57" s="68" t="n">
        <v>3</v>
      </c>
      <c r="F57" s="51" t="n">
        <v>0</v>
      </c>
      <c r="G57" s="51" t="n">
        <v>2</v>
      </c>
      <c r="H57" s="51" t="n">
        <v>5</v>
      </c>
      <c r="I57" s="51" t="n">
        <v>0</v>
      </c>
      <c r="J57" s="51">
        <f>F57-(1/H57)</f>
        <v/>
      </c>
      <c r="K57" s="51">
        <f>((I57-((H57-1)/H57))-(-5/6))/((5-(5/6))-(-5/6))</f>
        <v/>
      </c>
      <c r="L57" s="51">
        <f>E57-((E56+E58+E59+E60)/4)</f>
        <v/>
      </c>
      <c r="M57" s="70">
        <f>0.5 + (L57 * 0.09)</f>
        <v/>
      </c>
      <c r="N57" s="51">
        <f>((H57-(G57-1))/H57)*(IF(I57&lt;&gt;0,(I57+H57)/H57,1))</f>
        <v/>
      </c>
      <c r="O57" s="71">
        <f>(N57-(1/6))/(10/6)</f>
        <v/>
      </c>
      <c r="P57" s="51" t="n">
        <v>17</v>
      </c>
      <c r="Q57" s="71">
        <f>IF(F57=1,(((1-((P57-3)/15))*0.5)+0.5),((P57/18)*0.5))</f>
        <v/>
      </c>
      <c r="R57" s="51" t="n">
        <v>0</v>
      </c>
      <c r="S57" s="51" t="n">
        <v>3</v>
      </c>
      <c r="T57" s="51" t="n">
        <v>2</v>
      </c>
      <c r="U57" s="71">
        <f>IFERROR(T57/S57, 1)</f>
        <v/>
      </c>
      <c r="V57" s="72" t="n">
        <v>0</v>
      </c>
      <c r="W57" s="69" t="n">
        <v>3</v>
      </c>
      <c r="X57" s="82">
        <f>((O57*0.3)+(Q57*0.175)+(R57*0.175)+(U57*0.175)+((1-V57)*0.175))+W57</f>
        <v/>
      </c>
    </row>
    <row r="58" ht="14.25" customHeight="1" s="52">
      <c r="A58" s="93" t="n">
        <v>46164</v>
      </c>
      <c r="B58" s="51" t="n">
        <v>13</v>
      </c>
      <c r="C58" s="51" t="inlineStr">
        <is>
          <t>Becca</t>
        </is>
      </c>
      <c r="D58" s="51" t="inlineStr">
        <is>
          <t>Killian, Decisive Mentor</t>
        </is>
      </c>
      <c r="E58" s="68" t="n">
        <v>2.5</v>
      </c>
      <c r="F58" s="51" t="n">
        <v>0</v>
      </c>
      <c r="G58" s="51" t="n">
        <v>3</v>
      </c>
      <c r="H58" s="51" t="n">
        <v>5</v>
      </c>
      <c r="I58" s="51" t="n">
        <v>1</v>
      </c>
      <c r="J58" s="51">
        <f>F58-(1/H58)</f>
        <v/>
      </c>
      <c r="K58" s="51">
        <f>((I58-((H58-1)/H58))-(-5/6))/((5-(5/6))-(-5/6))</f>
        <v/>
      </c>
      <c r="L58" s="51">
        <f>E58-((E56+E57+E59+E60)/4)</f>
        <v/>
      </c>
      <c r="M58" s="70">
        <f>0.5 + (L58 * 0.09)</f>
        <v/>
      </c>
      <c r="N58" s="51">
        <f>((H58-(G58-1))/H58)*(IF(I58&lt;&gt;0,(I58+H58)/H58,1))</f>
        <v/>
      </c>
      <c r="O58" s="71">
        <f>(N58-(1/6))/(10/6)</f>
        <v/>
      </c>
      <c r="P58" s="51" t="n">
        <v>16</v>
      </c>
      <c r="Q58" s="71">
        <f>IF(F58=1,(((1-((P58-3)/15))*0.5)+0.5),((P58/18)*0.5))</f>
        <v/>
      </c>
      <c r="R58" s="51" t="n">
        <v>0</v>
      </c>
      <c r="S58" s="51" t="n">
        <v>3</v>
      </c>
      <c r="T58" s="51" t="n">
        <v>2</v>
      </c>
      <c r="U58" s="71">
        <f>IFERROR(T58/S58, 1)</f>
        <v/>
      </c>
      <c r="V58" s="72" t="n">
        <v>0</v>
      </c>
      <c r="W58" s="69" t="n">
        <v>2</v>
      </c>
      <c r="X58" s="82">
        <f>((O58*0.3)+(Q58*0.175)+(R58*0.175)+(U58*0.175)+((1-V58)*0.175))+W58</f>
        <v/>
      </c>
    </row>
    <row r="59" ht="14.25" customHeight="1" s="52">
      <c r="A59" s="93" t="n">
        <v>46164</v>
      </c>
      <c r="B59" s="51" t="n">
        <v>13</v>
      </c>
      <c r="C59" s="51" t="inlineStr">
        <is>
          <t>Ryan</t>
        </is>
      </c>
      <c r="D59" s="51" t="inlineStr">
        <is>
          <t>Fire Lord Zuko</t>
        </is>
      </c>
      <c r="E59" s="68" t="n">
        <v>3.6</v>
      </c>
      <c r="F59" s="51" t="n">
        <v>0</v>
      </c>
      <c r="G59" s="51" t="n">
        <v>4</v>
      </c>
      <c r="H59" s="51" t="n">
        <v>5</v>
      </c>
      <c r="I59" s="51" t="n">
        <v>0</v>
      </c>
      <c r="J59" s="51">
        <f>F59-(1/H59)</f>
        <v/>
      </c>
      <c r="K59" s="51">
        <f>((I59-((H59-1)/H59))-(-5/6))/((5-(5/6))-(-5/6))</f>
        <v/>
      </c>
      <c r="L59" s="51">
        <f>E59-((E56+E57+E58+E60)/4)</f>
        <v/>
      </c>
      <c r="M59" s="70">
        <f>0.5 + (L59 * 0.09)</f>
        <v/>
      </c>
      <c r="N59" s="51">
        <f>((H59-(G59-1))/H59)*(IF(I59&lt;&gt;0,(I59+H59)/H59,1))</f>
        <v/>
      </c>
      <c r="O59" s="71">
        <f>(N59-(1/6))/(10/6)</f>
        <v/>
      </c>
      <c r="P59" s="51" t="n">
        <v>14</v>
      </c>
      <c r="Q59" s="71">
        <f>IF(F59=1,(((1-((P59-3)/15))*0.5)+0.5),((P59/18)*0.5))</f>
        <v/>
      </c>
      <c r="R59" s="51" t="n">
        <v>0</v>
      </c>
      <c r="S59" s="51" t="n">
        <v>2</v>
      </c>
      <c r="T59" s="51" t="n">
        <v>1</v>
      </c>
      <c r="U59" s="71">
        <f>IFERROR(T59/S59, 1)</f>
        <v/>
      </c>
      <c r="V59" s="72" t="n">
        <v>0</v>
      </c>
      <c r="W59" s="69" t="n">
        <v>3</v>
      </c>
      <c r="X59" s="82">
        <f>((O59*0.3)+(Q59*0.175)+(R59*0.175)+(U59*0.175)+((1-V59)*0.175))+W59</f>
        <v/>
      </c>
    </row>
    <row r="60" ht="14.25" customHeight="1" s="52">
      <c r="A60" s="92" t="n">
        <v>46164</v>
      </c>
      <c r="B60" s="75" t="n">
        <v>13</v>
      </c>
      <c r="C60" s="75" t="inlineStr">
        <is>
          <t>Kristy</t>
        </is>
      </c>
      <c r="D60" s="75" t="inlineStr">
        <is>
          <t>Dina, Essence Brewer</t>
        </is>
      </c>
      <c r="E60" s="76" t="n">
        <v>3</v>
      </c>
      <c r="F60" s="75" t="n">
        <v>0</v>
      </c>
      <c r="G60" s="75" t="n">
        <v>5</v>
      </c>
      <c r="H60" s="75" t="n">
        <v>5</v>
      </c>
      <c r="I60" s="75" t="n">
        <v>0</v>
      </c>
      <c r="J60" s="75">
        <f>F60-(1/H60)</f>
        <v/>
      </c>
      <c r="K60" s="75">
        <f>((I60-((H60-1)/H60))-(-5/6))/((5-(5/6))-(-5/6))</f>
        <v/>
      </c>
      <c r="L60" s="75">
        <f>E60-((E56+E57+E58+E59)/4)</f>
        <v/>
      </c>
      <c r="M60" s="78">
        <f>0.5 + (L60 * 0.09)</f>
        <v/>
      </c>
      <c r="N60" s="75">
        <f>((H60-(G60-1))/H60)*(IF(I60&lt;&gt;0,(I60+H60)/H60,1))</f>
        <v/>
      </c>
      <c r="O60" s="79">
        <f>(N60-(1/6))/(10/6)</f>
        <v/>
      </c>
      <c r="P60" s="75" t="n">
        <v>13</v>
      </c>
      <c r="Q60" s="79">
        <f>IF(F60=1,(((1-((P60-3)/15))*0.5)+0.5),((P60/18)*0.5))</f>
        <v/>
      </c>
      <c r="R60" s="75" t="n">
        <v>0</v>
      </c>
      <c r="S60" s="75" t="n">
        <v>1</v>
      </c>
      <c r="T60" s="75" t="n">
        <v>0</v>
      </c>
      <c r="U60" s="79">
        <f>IFERROR(T60/S60, 1)</f>
        <v/>
      </c>
      <c r="V60" s="80" t="n">
        <v>0</v>
      </c>
      <c r="W60" s="77" t="n">
        <v>3</v>
      </c>
      <c r="X60" s="85">
        <f>((O60*0.3)+(Q60*0.175)+(R60*0.175)+(U60*0.175)+((1-V60)*0.175))+W60</f>
        <v/>
      </c>
    </row>
    <row r="61" ht="14.25" customHeight="1" s="52">
      <c r="A61" s="93" t="n">
        <v>46171</v>
      </c>
      <c r="B61" s="51" t="n">
        <v>14</v>
      </c>
      <c r="C61" s="51" t="inlineStr">
        <is>
          <t>Ryan</t>
        </is>
      </c>
      <c r="D61" s="51" t="inlineStr">
        <is>
          <t>Preston Garvey, Minuteman</t>
        </is>
      </c>
      <c r="E61" s="68" t="n">
        <v>3</v>
      </c>
      <c r="F61" s="51" t="n">
        <v>1</v>
      </c>
      <c r="G61" s="51" t="n">
        <v>1</v>
      </c>
      <c r="H61" s="51" t="n">
        <v>6</v>
      </c>
      <c r="I61" s="51" t="n">
        <v>3</v>
      </c>
      <c r="J61" s="51">
        <f>F61-(1/H61)</f>
        <v/>
      </c>
      <c r="K61" s="51">
        <f>((I61-((H61-1)/H61))-(-5/6))/((5-(5/6))-(-5/6))</f>
        <v/>
      </c>
      <c r="L61" s="51">
        <f>E61-((E62+E63+E64+E65+E66)/5)</f>
        <v/>
      </c>
      <c r="M61" s="70">
        <f>0.5 + (L61 * 0.09)</f>
        <v/>
      </c>
      <c r="N61" s="51">
        <f>((H61-(G61-1))/H61)*(IF(I61&lt;&gt;0,(I61+H61)/H61,1))</f>
        <v/>
      </c>
      <c r="O61" s="71">
        <f>(N61-(1/6))/(10/6)</f>
        <v/>
      </c>
      <c r="P61" s="51" t="n">
        <v>10</v>
      </c>
      <c r="Q61" s="71">
        <f>IF(F61=1,(((1-((P61-3)/15))*0.5)+0.5),((P61/18)*0.5))</f>
        <v/>
      </c>
      <c r="R61" s="51" t="n">
        <v>1</v>
      </c>
      <c r="S61" s="51" t="n">
        <v>0</v>
      </c>
      <c r="T61" s="51" t="n">
        <v>0</v>
      </c>
      <c r="U61" s="71">
        <f>IFERROR(T61/S61, 1)</f>
        <v/>
      </c>
      <c r="V61" s="72" t="n">
        <v>0</v>
      </c>
      <c r="W61" s="69" t="n">
        <v>3</v>
      </c>
      <c r="X61" s="82">
        <f>((O61*0.3)+(Q61*0.175)+(R61*0.175)+(U61*0.175)+((1-V61)*0.175))+W61</f>
        <v/>
      </c>
    </row>
    <row r="62" ht="14.25" customHeight="1" s="52">
      <c r="A62" s="93" t="n">
        <v>46171</v>
      </c>
      <c r="B62" s="51" t="n">
        <v>14</v>
      </c>
      <c r="C62" s="51" t="inlineStr">
        <is>
          <t>Manny</t>
        </is>
      </c>
      <c r="D62" s="51" t="inlineStr">
        <is>
          <t>Frodo, Adventurous Hobbit/Sam, Loyal Attendant</t>
        </is>
      </c>
      <c r="E62" s="68" t="n">
        <v>3</v>
      </c>
      <c r="F62" s="51" t="n">
        <v>0</v>
      </c>
      <c r="G62" s="51" t="n">
        <v>2</v>
      </c>
      <c r="H62" s="51" t="n">
        <v>6</v>
      </c>
      <c r="I62" s="51" t="n">
        <v>1</v>
      </c>
      <c r="J62" s="51">
        <f>F62-(1/H62)</f>
        <v/>
      </c>
      <c r="K62" s="51">
        <f>((I62-((H62-1)/H62))-(-5/6))/((5-(5/6))-(-5/6))</f>
        <v/>
      </c>
      <c r="L62" s="51">
        <f>E62-((E61+E63+E64+E65+E66)/5)</f>
        <v/>
      </c>
      <c r="M62" s="70">
        <f>0.5 + (L62 * 0.09)</f>
        <v/>
      </c>
      <c r="N62" s="51">
        <f>((H62-(G62-1))/H62)*(IF(I62&lt;&gt;0,(I62+H62)/H62,1))</f>
        <v/>
      </c>
      <c r="O62" s="71">
        <f>(N62-(1/6))/(10/6)</f>
        <v/>
      </c>
      <c r="P62" s="51" t="n">
        <v>10</v>
      </c>
      <c r="Q62" s="71">
        <f>IF(F62=1,(((1-((P62-3)/15))*0.5)+0.5),((P62/18)*0.5))</f>
        <v/>
      </c>
      <c r="R62" s="51" t="n">
        <v>0</v>
      </c>
      <c r="S62" s="51" t="n">
        <v>0</v>
      </c>
      <c r="T62" s="51" t="n">
        <v>0</v>
      </c>
      <c r="U62" s="71">
        <f>IFERROR(T62/S62, 1)</f>
        <v/>
      </c>
      <c r="V62" s="72" t="n">
        <v>0</v>
      </c>
      <c r="W62" s="69" t="n">
        <v>3</v>
      </c>
      <c r="X62" s="82">
        <f>((O62*0.3)+(Q62*0.175)+(R62*0.175)+(U62*0.175)+((1-V62)*0.175))+W62</f>
        <v/>
      </c>
    </row>
    <row r="63" ht="14.25" customHeight="1" s="52">
      <c r="A63" s="93" t="n">
        <v>46171</v>
      </c>
      <c r="B63" s="51" t="n">
        <v>14</v>
      </c>
      <c r="C63" s="51" t="inlineStr">
        <is>
          <t>Mateo</t>
        </is>
      </c>
      <c r="D63" s="51" t="inlineStr">
        <is>
          <t>Yuna, Grand Summoner</t>
        </is>
      </c>
      <c r="E63" s="68" t="n">
        <v>3.5</v>
      </c>
      <c r="F63" s="51" t="n">
        <v>0</v>
      </c>
      <c r="G63" s="51" t="n">
        <v>3</v>
      </c>
      <c r="H63" s="51" t="n">
        <v>6</v>
      </c>
      <c r="I63" s="51" t="n">
        <v>1</v>
      </c>
      <c r="J63" s="51">
        <f>F63-(1/H63)</f>
        <v/>
      </c>
      <c r="K63" s="51">
        <f>((I63-((H63-1)/H63))-(-5/6))/((5-(5/6))-(-5/6))</f>
        <v/>
      </c>
      <c r="L63" s="51">
        <f>E63-((E61+E62+E64+E65+E66)/5)</f>
        <v/>
      </c>
      <c r="M63" s="70">
        <f>0.5 + (L63 * 0.09)</f>
        <v/>
      </c>
      <c r="N63" s="51">
        <f>((H63-(G63-1))/H63)*(IF(I63&lt;&gt;0,(I63+H63)/H63,1))</f>
        <v/>
      </c>
      <c r="O63" s="71">
        <f>(N63-(1/6))/(10/6)</f>
        <v/>
      </c>
      <c r="P63" s="51" t="n">
        <v>10</v>
      </c>
      <c r="Q63" s="71">
        <f>IF(F63=1,(((1-((P63-3)/15))*0.5)+0.5),((P63/18)*0.5))</f>
        <v/>
      </c>
      <c r="R63" s="51" t="n">
        <v>1</v>
      </c>
      <c r="S63" s="51" t="n">
        <v>0</v>
      </c>
      <c r="T63" s="51" t="n">
        <v>0</v>
      </c>
      <c r="U63" s="71">
        <f>IFERROR(T63/S63, 1)</f>
        <v/>
      </c>
      <c r="V63" s="72" t="n">
        <v>0</v>
      </c>
      <c r="W63" s="69" t="n">
        <v>3</v>
      </c>
      <c r="X63" s="82">
        <f>((O63*0.3)+(Q63*0.175)+(R63*0.175)+(U63*0.175)+((1-V63)*0.175))+W63</f>
        <v/>
      </c>
    </row>
    <row r="64" ht="14.25" customHeight="1" s="52">
      <c r="A64" s="93" t="n">
        <v>46171</v>
      </c>
      <c r="B64" s="51" t="n">
        <v>14</v>
      </c>
      <c r="C64" s="51" t="inlineStr">
        <is>
          <t>Kristy</t>
        </is>
      </c>
      <c r="D64" s="51" t="inlineStr">
        <is>
          <t>Edgar Markov</t>
        </is>
      </c>
      <c r="E64" s="68" t="n">
        <v>3.9</v>
      </c>
      <c r="F64" s="51" t="n">
        <v>0</v>
      </c>
      <c r="G64" s="51" t="n">
        <v>4</v>
      </c>
      <c r="H64" s="51" t="n">
        <v>6</v>
      </c>
      <c r="I64" s="51" t="n">
        <v>0</v>
      </c>
      <c r="J64" s="51">
        <f>F64-(1/H64)</f>
        <v/>
      </c>
      <c r="K64" s="51">
        <f>((I64-((H64-1)/H64))-(-5/6))/((5-(5/6))-(-5/6))</f>
        <v/>
      </c>
      <c r="L64" s="51">
        <f>E64-((E61+E62+E63+E65+E66)/5)</f>
        <v/>
      </c>
      <c r="M64" s="70">
        <f>0.5 + (L64 * 0.09)</f>
        <v/>
      </c>
      <c r="N64" s="51">
        <f>((H64-(G64-1))/H64)*(IF(I64&lt;&gt;0,(I64+H64)/H64,1))</f>
        <v/>
      </c>
      <c r="O64" s="71">
        <f>(N64-(1/6))/(10/6)</f>
        <v/>
      </c>
      <c r="P64" s="51" t="n">
        <v>9</v>
      </c>
      <c r="Q64" s="71">
        <f>IF(F64=1,(((1-((P64-3)/15))*0.5)+0.5),((P64/18)*0.5))</f>
        <v/>
      </c>
      <c r="R64" s="51" t="n">
        <v>1</v>
      </c>
      <c r="S64" s="51" t="n">
        <v>0</v>
      </c>
      <c r="T64" s="51" t="n">
        <v>0</v>
      </c>
      <c r="U64" s="71">
        <f>IFERROR(T64/S64, 1)</f>
        <v/>
      </c>
      <c r="V64" s="72" t="n">
        <v>0</v>
      </c>
      <c r="W64" s="69" t="n">
        <v>3</v>
      </c>
      <c r="X64" s="82">
        <f>((O64*0.3)+(Q64*0.175)+(R64*0.175)+(U64*0.175)+((1-V64)*0.175))+W64</f>
        <v/>
      </c>
    </row>
    <row r="65" ht="14.25" customHeight="1" s="52">
      <c r="A65" s="93" t="n">
        <v>46171</v>
      </c>
      <c r="B65" s="51" t="n">
        <v>14</v>
      </c>
      <c r="C65" s="51" t="inlineStr">
        <is>
          <t>Becca</t>
        </is>
      </c>
      <c r="D65" s="51" t="inlineStr">
        <is>
          <t>Killian, Decisive Mentor</t>
        </is>
      </c>
      <c r="E65" s="68" t="n">
        <v>2.5</v>
      </c>
      <c r="F65" s="51" t="n">
        <v>0</v>
      </c>
      <c r="G65" s="51" t="n">
        <v>5</v>
      </c>
      <c r="H65" s="51" t="n">
        <v>6</v>
      </c>
      <c r="I65" s="51" t="n">
        <v>0</v>
      </c>
      <c r="J65" s="51">
        <f>F65-(1/H65)</f>
        <v/>
      </c>
      <c r="K65" s="51">
        <f>((I65-((H65-1)/H65))-(-5/6))/((5-(5/6))-(-5/6))</f>
        <v/>
      </c>
      <c r="L65" s="51">
        <f>E65-((E61+E62+E63+E64+E66)/5)</f>
        <v/>
      </c>
      <c r="M65" s="70">
        <f>0.5 + (L65 * 0.09)</f>
        <v/>
      </c>
      <c r="N65" s="51">
        <f>((H65-(G65-1))/H65)*(IF(I65&lt;&gt;0,(I65+H65)/H65,1))</f>
        <v/>
      </c>
      <c r="O65" s="71">
        <f>(N65-(1/6))/(10/6)</f>
        <v/>
      </c>
      <c r="P65" s="51" t="n">
        <v>9</v>
      </c>
      <c r="Q65" s="71">
        <f>IF(F65=1,(((1-((P65-3)/15))*0.5)+0.5),((P65/18)*0.5))</f>
        <v/>
      </c>
      <c r="R65" s="51" t="n">
        <v>0</v>
      </c>
      <c r="S65" s="51" t="n">
        <v>1</v>
      </c>
      <c r="T65" s="51" t="n">
        <v>0</v>
      </c>
      <c r="U65" s="71">
        <f>IFERROR(T65/S65, 1)</f>
        <v/>
      </c>
      <c r="V65" s="72" t="n">
        <v>0</v>
      </c>
      <c r="W65" s="69" t="n">
        <v>2</v>
      </c>
      <c r="X65" s="82">
        <f>((O65*0.3)+(Q65*0.175)+(R65*0.175)+(U65*0.175)+((1-V65)*0.175))+W65</f>
        <v/>
      </c>
    </row>
    <row r="66" ht="14.25" customHeight="1" s="52">
      <c r="A66" s="92" t="n">
        <v>46171</v>
      </c>
      <c r="B66" s="75" t="n">
        <v>14</v>
      </c>
      <c r="C66" s="75" t="inlineStr">
        <is>
          <t>Red</t>
        </is>
      </c>
      <c r="D66" s="75" t="inlineStr">
        <is>
          <t>Sanar, Innovative First-Year</t>
        </is>
      </c>
      <c r="E66" s="76" t="n">
        <v>1</v>
      </c>
      <c r="F66" s="75" t="n">
        <v>0</v>
      </c>
      <c r="G66" s="75" t="n">
        <v>6</v>
      </c>
      <c r="H66" s="75" t="n">
        <v>6</v>
      </c>
      <c r="I66" s="75" t="n">
        <v>0</v>
      </c>
      <c r="J66" s="75">
        <f>F66-(1/H66)</f>
        <v/>
      </c>
      <c r="K66" s="75">
        <f>((I66-((H66-1)/H66))-(-5/6))/((5-(5/6))-(-5/6))</f>
        <v/>
      </c>
      <c r="L66" s="75">
        <f>E66-((E61+E62+E63+E64+E65)/5)</f>
        <v/>
      </c>
      <c r="M66" s="78">
        <f>0.5 + (L66 * 0.09)</f>
        <v/>
      </c>
      <c r="N66" s="75">
        <f>((H66-(G66-1))/H66)*(IF(I66&lt;&gt;0,(I66+H66)/H66,1))</f>
        <v/>
      </c>
      <c r="O66" s="79">
        <f>(N66-(1/6))/(10/6)</f>
        <v/>
      </c>
      <c r="P66" s="75" t="n">
        <v>8</v>
      </c>
      <c r="Q66" s="79">
        <f>IF(F66=1,(((1-((P66-3)/15))*0.5)+0.5),((P66/18)*0.5))</f>
        <v/>
      </c>
      <c r="R66" s="75" t="n">
        <v>0</v>
      </c>
      <c r="S66" s="75" t="n">
        <v>1</v>
      </c>
      <c r="T66" s="75" t="n">
        <v>0</v>
      </c>
      <c r="U66" s="79">
        <f>IFERROR(T66/S66, 1)</f>
        <v/>
      </c>
      <c r="V66" s="80" t="n">
        <v>1</v>
      </c>
      <c r="W66" s="77" t="n">
        <v>1</v>
      </c>
      <c r="X66" s="85">
        <f>((O66*0.3)+(Q66*0.175)+(R66*0.175)+(U66*0.175)+((1-V66)*0.175))+W66</f>
        <v/>
      </c>
    </row>
    <row r="67" ht="14.25" customHeight="1" s="52">
      <c r="A67" s="93" t="n">
        <v>46171</v>
      </c>
      <c r="B67" s="51" t="n">
        <v>15</v>
      </c>
      <c r="C67" s="51" t="inlineStr">
        <is>
          <t>Mateo</t>
        </is>
      </c>
      <c r="D67" s="51" t="inlineStr">
        <is>
          <t>Noctis, Heir Apparent</t>
        </is>
      </c>
      <c r="E67" s="68" t="n">
        <v>2.9</v>
      </c>
      <c r="F67" s="51" t="n">
        <v>1</v>
      </c>
      <c r="G67" s="51" t="n">
        <v>1</v>
      </c>
      <c r="H67" s="51" t="n">
        <v>5</v>
      </c>
      <c r="I67" s="51" t="n">
        <v>3</v>
      </c>
      <c r="J67" s="51">
        <f>F67-(1/H67)</f>
        <v/>
      </c>
      <c r="K67" s="51">
        <f>((I67-((H67-1)/H67))-(-5/6))/((5-(5/6))-(-5/6))</f>
        <v/>
      </c>
      <c r="L67" s="87">
        <f>E67-((E68+E69+E70+E71)/4)</f>
        <v/>
      </c>
      <c r="M67" s="94">
        <f>0.5 + (L67 * 0.09)</f>
        <v/>
      </c>
      <c r="N67" s="51">
        <f>((H67-(G67-1))/H67)*(IF(I67&lt;&gt;0,(I67+H67)/H67,1))</f>
        <v/>
      </c>
      <c r="O67" s="71">
        <f>(N67-(1/6))/(10/6)</f>
        <v/>
      </c>
      <c r="P67" s="51" t="n">
        <v>12</v>
      </c>
      <c r="Q67" s="71">
        <f>IF(F67=1,(((1-((P67-3)/15))*0.5)+0.5),((P67/18)*0.5))</f>
        <v/>
      </c>
      <c r="R67" s="51" t="n">
        <v>1</v>
      </c>
      <c r="S67" s="51" t="n">
        <v>2</v>
      </c>
      <c r="T67" s="51" t="n">
        <v>2</v>
      </c>
      <c r="U67" s="71">
        <f>IFERROR(T67/S67, 1)</f>
        <v/>
      </c>
      <c r="V67" s="72" t="n">
        <v>0</v>
      </c>
      <c r="W67" s="69" t="n">
        <v>2</v>
      </c>
      <c r="X67" s="82">
        <f>((O67*0.3)+(Q67*0.175)+(R67*0.175)+(U67*0.175)+((1-V67)*0.175))+W67</f>
        <v/>
      </c>
    </row>
    <row r="68" ht="14.25" customHeight="1" s="52">
      <c r="A68" s="93" t="n">
        <v>46171</v>
      </c>
      <c r="B68" s="51" t="n">
        <v>15</v>
      </c>
      <c r="C68" s="51" t="inlineStr">
        <is>
          <t>Becca</t>
        </is>
      </c>
      <c r="D68" s="51" t="inlineStr">
        <is>
          <t>Ms. Bumbleflower</t>
        </is>
      </c>
      <c r="E68" s="68" t="n">
        <v>2.3</v>
      </c>
      <c r="F68" s="51" t="n">
        <v>0</v>
      </c>
      <c r="G68" s="51" t="n">
        <v>2</v>
      </c>
      <c r="H68" s="51" t="n">
        <v>5</v>
      </c>
      <c r="I68" s="51" t="n">
        <v>0</v>
      </c>
      <c r="J68" s="51">
        <f>F68-(1/H68)</f>
        <v/>
      </c>
      <c r="K68" s="51">
        <f>((I68-((H68-1)/H68))-(-5/6))/((5-(5/6))-(-5/6))</f>
        <v/>
      </c>
      <c r="L68" s="51">
        <f>E68-((E67+E69+E70+E71)/4)</f>
        <v/>
      </c>
      <c r="M68" s="70">
        <f>0.5 + (L68 * 0.09)</f>
        <v/>
      </c>
      <c r="N68" s="51">
        <f>((H68-(G68-1))/H68)*(IF(I68&lt;&gt;0,(I68+H68)/H68,1))</f>
        <v/>
      </c>
      <c r="O68" s="71">
        <f>(N68-(1/6))/(10/6)</f>
        <v/>
      </c>
      <c r="P68" s="51" t="n">
        <v>12</v>
      </c>
      <c r="Q68" s="71">
        <f>IF(F68=1,(((1-((P68-3)/15))*0.5)+0.5),((P68/18)*0.5))</f>
        <v/>
      </c>
      <c r="R68" s="51" t="n">
        <v>1</v>
      </c>
      <c r="S68" s="51" t="n">
        <v>2</v>
      </c>
      <c r="T68" s="51" t="n">
        <v>2</v>
      </c>
      <c r="U68" s="71">
        <f>IFERROR(T68/S68, 1)</f>
        <v/>
      </c>
      <c r="V68" s="72" t="n">
        <v>0</v>
      </c>
      <c r="W68" s="69" t="n">
        <v>2</v>
      </c>
      <c r="X68" s="82">
        <f>((O68*0.3)+(Q68*0.175)+(R68*0.175)+(U68*0.175)+((1-V68)*0.175))+W68</f>
        <v/>
      </c>
    </row>
    <row r="69" ht="14.25" customHeight="1" s="52">
      <c r="A69" s="93" t="n">
        <v>46171</v>
      </c>
      <c r="B69" s="51" t="n">
        <v>15</v>
      </c>
      <c r="C69" s="51" t="inlineStr">
        <is>
          <t>Red</t>
        </is>
      </c>
      <c r="D69" s="51" t="inlineStr">
        <is>
          <t>Cloud, Ex-SOLDIER</t>
        </is>
      </c>
      <c r="E69" s="68" t="n">
        <v>2.3</v>
      </c>
      <c r="F69" s="51" t="n">
        <v>0</v>
      </c>
      <c r="G69" s="51" t="n">
        <v>3</v>
      </c>
      <c r="H69" s="51" t="n">
        <v>5</v>
      </c>
      <c r="I69" s="51" t="n">
        <v>1</v>
      </c>
      <c r="J69" s="51">
        <f>F69-(1/H69)</f>
        <v/>
      </c>
      <c r="K69" s="51">
        <f>((I69-((H69-1)/H69))-(-5/6))/((5-(5/6))-(-5/6))</f>
        <v/>
      </c>
      <c r="L69" s="51">
        <f>E69-((E67+E68+E70+E71)/4)</f>
        <v/>
      </c>
      <c r="M69" s="70">
        <f>0.5 + (L69 * 0.09)</f>
        <v/>
      </c>
      <c r="N69" s="51">
        <f>((H69-(G69-1))/H69)*(IF(I69&lt;&gt;0,(I69+H69)/H69,1))</f>
        <v/>
      </c>
      <c r="O69" s="71">
        <f>(N69-(1/6))/(10/6)</f>
        <v/>
      </c>
      <c r="P69" s="51" t="n">
        <v>11</v>
      </c>
      <c r="Q69" s="71">
        <f>IF(F69=1,(((1-((P69-3)/15))*0.5)+0.5),((P69/18)*0.5))</f>
        <v/>
      </c>
      <c r="R69" s="51" t="n">
        <v>1</v>
      </c>
      <c r="S69" s="51" t="n">
        <v>1</v>
      </c>
      <c r="T69" s="51" t="n">
        <v>1</v>
      </c>
      <c r="U69" s="71">
        <f>IFERROR(T69/S69, 1)</f>
        <v/>
      </c>
      <c r="V69" s="72" t="n">
        <v>0</v>
      </c>
      <c r="W69" s="69" t="n">
        <v>2</v>
      </c>
      <c r="X69" s="82">
        <f>((O69*0.3)+(Q69*0.175)+(R69*0.175)+(U69*0.175)+((1-V69)*0.175))+W69</f>
        <v/>
      </c>
    </row>
    <row r="70" ht="14.25" customHeight="1" s="52">
      <c r="A70" s="93" t="n">
        <v>46171</v>
      </c>
      <c r="B70" s="51" t="n">
        <v>15</v>
      </c>
      <c r="C70" s="51" t="inlineStr">
        <is>
          <t>Manny</t>
        </is>
      </c>
      <c r="D70" s="51" t="inlineStr">
        <is>
          <t>Galadriel, Light of Valinor</t>
        </is>
      </c>
      <c r="E70" s="68" t="n">
        <v>3.6</v>
      </c>
      <c r="F70" s="51" t="n">
        <v>0</v>
      </c>
      <c r="G70" s="51" t="n">
        <v>4</v>
      </c>
      <c r="H70" s="51" t="n">
        <v>5</v>
      </c>
      <c r="I70" s="51" t="n">
        <v>0</v>
      </c>
      <c r="J70" s="51">
        <f>F70-(1/H70)</f>
        <v/>
      </c>
      <c r="K70" s="51">
        <f>((I70-((H70-1)/H70))-(-5/6))/((5-(5/6))-(-5/6))</f>
        <v/>
      </c>
      <c r="L70" s="51">
        <f>E70-((E67+E68+E69+E71)/4)</f>
        <v/>
      </c>
      <c r="M70" s="70">
        <f>0.5 + (L70 * 0.09)</f>
        <v/>
      </c>
      <c r="N70" s="51">
        <f>((H70-(G70-1))/H70)*(IF(I70&lt;&gt;0,(I70+H70)/H70,1))</f>
        <v/>
      </c>
      <c r="O70" s="71">
        <f>(N70-(1/6))/(10/6)</f>
        <v/>
      </c>
      <c r="P70" s="51" t="n">
        <v>10</v>
      </c>
      <c r="Q70" s="71">
        <f>IF(F70=1,(((1-((P70-3)/15))*0.5)+0.5),((P70/18)*0.5))</f>
        <v/>
      </c>
      <c r="R70" s="51" t="n">
        <v>1</v>
      </c>
      <c r="S70" s="51" t="n">
        <v>0</v>
      </c>
      <c r="T70" s="51" t="n">
        <v>0</v>
      </c>
      <c r="U70" s="71">
        <f>IFERROR(T70/S70, 1)</f>
        <v/>
      </c>
      <c r="V70" s="72" t="n">
        <v>0</v>
      </c>
      <c r="W70" s="69" t="n">
        <v>3</v>
      </c>
      <c r="X70" s="82">
        <f>((O70*0.3)+(Q70*0.175)+(R70*0.175)+(U70*0.175)+((1-V70)*0.175))+W70</f>
        <v/>
      </c>
    </row>
    <row r="71" ht="14.25" customHeight="1" s="52">
      <c r="A71" s="92" t="n">
        <v>46171</v>
      </c>
      <c r="B71" s="75" t="n">
        <v>15</v>
      </c>
      <c r="C71" s="75" t="inlineStr">
        <is>
          <t>Ryan</t>
        </is>
      </c>
      <c r="D71" s="75" t="inlineStr">
        <is>
          <t>Ashling, The Limitless</t>
        </is>
      </c>
      <c r="E71" s="76" t="n">
        <v>3.6</v>
      </c>
      <c r="F71" s="75" t="n">
        <v>0</v>
      </c>
      <c r="G71" s="75" t="n">
        <v>5</v>
      </c>
      <c r="H71" s="75" t="n">
        <v>5</v>
      </c>
      <c r="I71" s="75" t="n">
        <v>0</v>
      </c>
      <c r="J71" s="75">
        <f>F71-(1/H71)</f>
        <v/>
      </c>
      <c r="K71" s="75">
        <f>((I71-((H71-1)/H71))-(-5/6))/((5-(5/6))-(-5/6))</f>
        <v/>
      </c>
      <c r="L71" s="75">
        <f>E71-((E67+E68+E69+E70)/4)</f>
        <v/>
      </c>
      <c r="M71" s="78">
        <f>0.5 + (L71 * 0.09)</f>
        <v/>
      </c>
      <c r="N71" s="75">
        <f>((H71-(G71-1))/H71)*(IF(I71&lt;&gt;0,(I71+H71)/H71,1))</f>
        <v/>
      </c>
      <c r="O71" s="79">
        <f>(N71-(1/6))/(10/6)</f>
        <v/>
      </c>
      <c r="P71" s="75" t="n">
        <v>9</v>
      </c>
      <c r="Q71" s="79">
        <f>IF(F71=1,(((1-((P71-3)/15))*0.5)+0.5),((P71/18)*0.5))</f>
        <v/>
      </c>
      <c r="R71" s="75" t="n">
        <v>1</v>
      </c>
      <c r="S71" s="75" t="n">
        <v>3</v>
      </c>
      <c r="T71" s="75" t="n">
        <v>2</v>
      </c>
      <c r="U71" s="79">
        <f>IFERROR(T71/S71, 1)</f>
        <v/>
      </c>
      <c r="V71" s="80" t="n">
        <v>0</v>
      </c>
      <c r="W71" s="77" t="n">
        <v>3</v>
      </c>
      <c r="X71" s="85">
        <f>((O71*0.3)+(Q71*0.175)+(R71*0.175)+(U71*0.175)+((1-V71)*0.175))+W71</f>
        <v/>
      </c>
    </row>
    <row r="72" ht="14.25" customHeight="1" s="52">
      <c r="A72" s="93" t="n">
        <v>46178</v>
      </c>
      <c r="B72" s="51" t="n">
        <v>16</v>
      </c>
      <c r="C72" s="51" t="inlineStr">
        <is>
          <t>Ryan</t>
        </is>
      </c>
      <c r="D72" s="51" t="inlineStr">
        <is>
          <t>Preston Garvey, Minuteman</t>
        </is>
      </c>
      <c r="E72" s="68" t="n">
        <v>3.9</v>
      </c>
      <c r="F72" s="51" t="n">
        <v>1</v>
      </c>
      <c r="G72" s="51" t="n">
        <v>1</v>
      </c>
      <c r="H72" s="51" t="n">
        <v>5</v>
      </c>
      <c r="I72" s="51" t="n">
        <v>1</v>
      </c>
      <c r="J72" s="51">
        <f>F72-(1/H72)</f>
        <v/>
      </c>
      <c r="K72" s="51">
        <f>((I72-((H72-1)/H72))-(-5/6))/((5-(5/6))-(-5/6))</f>
        <v/>
      </c>
      <c r="L72" s="87">
        <f>E72-((E73+E74+E75+E76)/4)</f>
        <v/>
      </c>
      <c r="M72" s="94">
        <f>0.5 + (L72 * 0.09)</f>
        <v/>
      </c>
      <c r="N72" s="51">
        <f>((H72-(G72-1))/H72)*(IF(I72&lt;&gt;0,(I72+H72)/H72,1))</f>
        <v/>
      </c>
      <c r="O72" s="71">
        <f>(N72-(1/6))/(10/6)</f>
        <v/>
      </c>
      <c r="P72" s="51" t="n">
        <v>10</v>
      </c>
      <c r="Q72" s="71">
        <f>IF(F72=1,(((1-((P72-3)/15))*0.5)+0.5),((P72/18)*0.5))</f>
        <v/>
      </c>
      <c r="R72" s="51" t="n">
        <v>1</v>
      </c>
      <c r="S72" s="51" t="n">
        <v>1</v>
      </c>
      <c r="T72" s="51" t="n">
        <v>0</v>
      </c>
      <c r="U72" s="71">
        <f>IFERROR(T72/S72, 1)</f>
        <v/>
      </c>
      <c r="V72" s="72" t="n">
        <v>0</v>
      </c>
      <c r="W72" s="69" t="n">
        <v>3</v>
      </c>
      <c r="X72" s="82">
        <f>((O72*0.3)+(Q72*0.175)+(R72*0.175)+(U72*0.175)+((1-V72)*0.175))+W72</f>
        <v/>
      </c>
    </row>
    <row r="73" ht="14.25" customHeight="1" s="52">
      <c r="A73" s="93" t="n">
        <v>46178</v>
      </c>
      <c r="B73" s="51" t="n">
        <v>16</v>
      </c>
      <c r="C73" s="51" t="inlineStr">
        <is>
          <t>Michelle</t>
        </is>
      </c>
      <c r="D73" s="51" t="inlineStr">
        <is>
          <t>The Wise Mothman</t>
        </is>
      </c>
      <c r="E73" s="68" t="n">
        <v>2.4</v>
      </c>
      <c r="F73" s="51" t="n">
        <v>0</v>
      </c>
      <c r="G73" s="51" t="n">
        <v>2</v>
      </c>
      <c r="H73" s="51" t="n">
        <v>5</v>
      </c>
      <c r="I73" s="51" t="n">
        <v>2</v>
      </c>
      <c r="J73" s="51">
        <f>F73-(1/H73)</f>
        <v/>
      </c>
      <c r="K73" s="51">
        <f>((I73-((H73-1)/H73))-(-5/6))/((5-(5/6))-(-5/6))</f>
        <v/>
      </c>
      <c r="L73" s="51">
        <f>E73-((E72+E74+E75+E76)/4)</f>
        <v/>
      </c>
      <c r="M73" s="70">
        <f>0.5 + (L73 * 0.09)</f>
        <v/>
      </c>
      <c r="N73" s="51">
        <f>((H73-(G73-1))/H73)*(IF(I73&lt;&gt;0,(I73+H73)/H73,1))</f>
        <v/>
      </c>
      <c r="O73" s="71">
        <f>(N73-(1/6))/(10/6)</f>
        <v/>
      </c>
      <c r="P73" s="51" t="n">
        <v>10</v>
      </c>
      <c r="Q73" s="71">
        <f>IF(F73=1,(((1-((P73-3)/15))*0.5)+0.5),((P73/18)*0.5))</f>
        <v/>
      </c>
      <c r="R73" s="51" t="n">
        <v>1</v>
      </c>
      <c r="S73" s="51" t="n">
        <v>0</v>
      </c>
      <c r="T73" s="51" t="n">
        <v>0</v>
      </c>
      <c r="U73" s="71">
        <f>IFERROR(T73/S73, 1)</f>
        <v/>
      </c>
      <c r="V73" s="72" t="n">
        <v>0</v>
      </c>
      <c r="W73" s="69" t="n">
        <v>2</v>
      </c>
      <c r="X73" s="82">
        <f>((O73*0.3)+(Q73*0.175)+(R73*0.175)+(U73*0.175)+((1-V73)*0.175))+W73</f>
        <v/>
      </c>
    </row>
    <row r="74" ht="14.25" customHeight="1" s="52">
      <c r="A74" s="93" t="n">
        <v>46178</v>
      </c>
      <c r="B74" s="51" t="n">
        <v>16</v>
      </c>
      <c r="C74" s="51" t="inlineStr">
        <is>
          <t>Manny</t>
        </is>
      </c>
      <c r="D74" s="51" t="inlineStr">
        <is>
          <t>Galadriel, Light of Valinor</t>
        </is>
      </c>
      <c r="E74" s="68" t="n">
        <v>3.6</v>
      </c>
      <c r="F74" s="51" t="n">
        <v>0</v>
      </c>
      <c r="G74" s="51" t="n">
        <v>3</v>
      </c>
      <c r="H74" s="51" t="n">
        <v>5</v>
      </c>
      <c r="I74" s="51" t="n">
        <v>1</v>
      </c>
      <c r="J74" s="51">
        <f>F74-(1/H74)</f>
        <v/>
      </c>
      <c r="K74" s="51">
        <f>((I74-((H74-1)/H74))-(-5/6))/((5-(5/6))-(-5/6))</f>
        <v/>
      </c>
      <c r="L74" s="51">
        <f>E74-((E72+E73+E75+E76)/4)</f>
        <v/>
      </c>
      <c r="M74" s="70">
        <f>0.5 + (L74 * 0.09)</f>
        <v/>
      </c>
      <c r="N74" s="51">
        <f>((H74-(G74-1))/H74)*(IF(I74&lt;&gt;0,(I74+H74)/H74,1))</f>
        <v/>
      </c>
      <c r="O74" s="71">
        <f>(N74-(1/6))/(10/6)</f>
        <v/>
      </c>
      <c r="P74" s="51" t="n">
        <v>9</v>
      </c>
      <c r="Q74" s="71">
        <f>IF(F74=1,(((1-((P74-3)/15))*0.5)+0.5),((P74/18)*0.5))</f>
        <v/>
      </c>
      <c r="R74" s="51" t="n">
        <v>1</v>
      </c>
      <c r="S74" s="51" t="n">
        <v>0</v>
      </c>
      <c r="T74" s="51" t="n">
        <v>0</v>
      </c>
      <c r="U74" s="71">
        <f>IFERROR(T74/S74, 1)</f>
        <v/>
      </c>
      <c r="V74" s="72" t="n">
        <v>0</v>
      </c>
      <c r="W74" s="69" t="n">
        <v>3</v>
      </c>
      <c r="X74" s="82">
        <f>((O74*0.3)+(Q74*0.175)+(R74*0.175)+(U74*0.175)+((1-V74)*0.175))+W74</f>
        <v/>
      </c>
    </row>
    <row r="75" ht="14.25" customHeight="1" s="52">
      <c r="A75" s="93" t="n">
        <v>46178</v>
      </c>
      <c r="B75" s="51" t="n">
        <v>16</v>
      </c>
      <c r="C75" s="51" t="inlineStr">
        <is>
          <t>Mateo</t>
        </is>
      </c>
      <c r="D75" s="51" t="inlineStr">
        <is>
          <t>Quintorius, History Chaser</t>
        </is>
      </c>
      <c r="E75" s="68" t="n">
        <v>2.6</v>
      </c>
      <c r="F75" s="51" t="n">
        <v>0</v>
      </c>
      <c r="G75" s="51" t="n">
        <v>4</v>
      </c>
      <c r="H75" s="51" t="n">
        <v>5</v>
      </c>
      <c r="I75" s="51" t="n">
        <v>0</v>
      </c>
      <c r="J75" s="51">
        <f>F75-(1/H75)</f>
        <v/>
      </c>
      <c r="K75" s="51">
        <f>((I75-((H75-1)/H75))-(-5/6))/((5-(5/6))-(-5/6))</f>
        <v/>
      </c>
      <c r="L75" s="51">
        <f>E75-((E72+E73+E74+E76)/4)</f>
        <v/>
      </c>
      <c r="M75" s="70">
        <f>0.5 + (L75 * 0.09)</f>
        <v/>
      </c>
      <c r="N75" s="51">
        <f>((H75-(G75-1))/H75)*(IF(I75&lt;&gt;0,(I75+H75)/H75,1))</f>
        <v/>
      </c>
      <c r="O75" s="71">
        <f>(N75-(1/6))/(10/6)</f>
        <v/>
      </c>
      <c r="P75" s="51" t="n">
        <v>9</v>
      </c>
      <c r="Q75" s="71">
        <f>IF(F75=1,(((1-((P75-3)/15))*0.5)+0.5),((P75/18)*0.5))</f>
        <v/>
      </c>
      <c r="R75" s="51" t="n">
        <v>0</v>
      </c>
      <c r="S75" s="51" t="n">
        <v>1</v>
      </c>
      <c r="T75" s="51" t="n">
        <v>0</v>
      </c>
      <c r="U75" s="71">
        <f>IFERROR(T75/S75, 1)</f>
        <v/>
      </c>
      <c r="V75" s="72" t="n">
        <v>0</v>
      </c>
      <c r="W75" s="69" t="n">
        <v>2</v>
      </c>
      <c r="X75" s="82">
        <f>((O75*0.3)+(Q75*0.175)+(R75*0.175)+(U75*0.175)+((1-V75)*0.175))+W75</f>
        <v/>
      </c>
    </row>
    <row r="76" ht="14.25" customHeight="1" s="52">
      <c r="A76" s="92" t="n">
        <v>46178</v>
      </c>
      <c r="B76" s="75" t="n">
        <v>16</v>
      </c>
      <c r="C76" s="75" t="inlineStr">
        <is>
          <t>Kristy</t>
        </is>
      </c>
      <c r="D76" s="75" t="inlineStr">
        <is>
          <t>Niv-Mizzet, Parun</t>
        </is>
      </c>
      <c r="E76" s="76" t="n">
        <v>3</v>
      </c>
      <c r="F76" s="75" t="n">
        <v>0</v>
      </c>
      <c r="G76" s="75" t="n">
        <v>5</v>
      </c>
      <c r="H76" s="75" t="n">
        <v>5</v>
      </c>
      <c r="I76" s="75" t="n">
        <v>0</v>
      </c>
      <c r="J76" s="75">
        <f>F76-(1/H76)</f>
        <v/>
      </c>
      <c r="K76" s="75">
        <f>((I76-((H76-1)/H76))-(-5/6))/((5-(5/6))-(-5/6))</f>
        <v/>
      </c>
      <c r="L76" s="75">
        <f>E76-((E72+E73+E74+E75)/4)</f>
        <v/>
      </c>
      <c r="M76" s="78">
        <f>0.5 + (L76 * 0.09)</f>
        <v/>
      </c>
      <c r="N76" s="75">
        <f>((H76-(G76-1))/H76)*(IF(I76&lt;&gt;0,(I76+H76)/H76,1))</f>
        <v/>
      </c>
      <c r="O76" s="79">
        <f>(N76-(1/6))/(10/6)</f>
        <v/>
      </c>
      <c r="P76" s="75" t="n">
        <v>7</v>
      </c>
      <c r="Q76" s="79">
        <f>IF(F76=1,(((1-((P76-3)/15))*0.5)+0.5),((P76/18)*0.5))</f>
        <v/>
      </c>
      <c r="R76" s="75" t="n">
        <v>0</v>
      </c>
      <c r="S76" s="75" t="n">
        <v>0</v>
      </c>
      <c r="T76" s="75" t="n">
        <v>0</v>
      </c>
      <c r="U76" s="79">
        <f>IFERROR(T76/S76, 1)</f>
        <v/>
      </c>
      <c r="V76" s="80" t="n">
        <v>0</v>
      </c>
      <c r="W76" s="77" t="n">
        <v>3</v>
      </c>
      <c r="X76" s="85">
        <f>((O76*0.3)+(Q76*0.175)+(R76*0.175)+(U76*0.175)+((1-V76)*0.175))+W76</f>
        <v/>
      </c>
    </row>
    <row r="77" ht="14.25" customHeight="1" s="52">
      <c r="A77" s="93" t="n">
        <v>46178</v>
      </c>
      <c r="B77" s="51" t="n">
        <v>17</v>
      </c>
      <c r="C77" s="51" t="inlineStr">
        <is>
          <t>Mateo</t>
        </is>
      </c>
      <c r="D77" s="51" t="inlineStr">
        <is>
          <t>Ureni of the Unwritten</t>
        </is>
      </c>
      <c r="E77" s="68" t="n">
        <v>3</v>
      </c>
      <c r="F77" s="51" t="n">
        <v>1</v>
      </c>
      <c r="G77" s="51" t="n">
        <v>1</v>
      </c>
      <c r="H77" s="51" t="n">
        <v>6</v>
      </c>
      <c r="I77" s="51" t="n">
        <v>3</v>
      </c>
      <c r="J77" s="51">
        <f>F77-(1/H77)</f>
        <v/>
      </c>
      <c r="K77" s="51">
        <f>((I77-((H77-1)/H77))-(-5/6))/((5-(5/6))-(-5/6))</f>
        <v/>
      </c>
      <c r="L77" s="51">
        <f>E77-((E78+E79+E80+E81+E82)/5)</f>
        <v/>
      </c>
      <c r="M77" s="70">
        <f>0.5 + (L77 * 0.09)</f>
        <v/>
      </c>
      <c r="N77" s="51">
        <f>((H77-(G77-1))/H77)*(IF(I77&lt;&gt;0,(I77+H77)/H77,1))</f>
        <v/>
      </c>
      <c r="O77" s="71">
        <f>(N77-(1/6))/(10/6)</f>
        <v/>
      </c>
      <c r="P77" s="51" t="n">
        <v>10</v>
      </c>
      <c r="Q77" s="71">
        <f>IF(F77=1,(((1-((P77-3)/15))*0.5)+0.5),((P77/18)*0.5))</f>
        <v/>
      </c>
      <c r="R77" s="51" t="n">
        <v>1</v>
      </c>
      <c r="S77" s="51" t="n">
        <v>3</v>
      </c>
      <c r="T77" s="51" t="n">
        <v>1</v>
      </c>
      <c r="U77" s="71">
        <f>IFERROR(T77/S77, 1)</f>
        <v/>
      </c>
      <c r="V77" s="72" t="n">
        <v>0</v>
      </c>
      <c r="W77" s="69" t="n">
        <v>3</v>
      </c>
      <c r="X77" s="82">
        <f>((O77*0.3)+(Q77*0.175)+(R77*0.175)+(U77*0.175)+((1-V77)*0.175))+W77</f>
        <v/>
      </c>
    </row>
    <row r="78" ht="14.25" customHeight="1" s="52">
      <c r="A78" s="93" t="n">
        <v>46178</v>
      </c>
      <c r="B78" s="51" t="n">
        <v>17</v>
      </c>
      <c r="C78" s="51" t="inlineStr">
        <is>
          <t>Ryan</t>
        </is>
      </c>
      <c r="D78" s="51" t="inlineStr">
        <is>
          <t>Witherbloom, The Balancer</t>
        </is>
      </c>
      <c r="E78" s="68" t="n">
        <v>2.9</v>
      </c>
      <c r="F78" s="51" t="n">
        <v>0</v>
      </c>
      <c r="G78" s="51" t="n">
        <v>2</v>
      </c>
      <c r="H78" s="51" t="n">
        <v>6</v>
      </c>
      <c r="I78" s="51" t="n">
        <v>0</v>
      </c>
      <c r="J78" s="51">
        <f>F78-(1/H78)</f>
        <v/>
      </c>
      <c r="K78" s="51">
        <f>((I78-((H78-1)/H78))-(-5/6))/((5-(5/6))-(-5/6))</f>
        <v/>
      </c>
      <c r="L78" s="51">
        <f>E78-((E77+E79+E80+E81+E82)/5)</f>
        <v/>
      </c>
      <c r="M78" s="70">
        <f>0.5 + (L78 * 0.09)</f>
        <v/>
      </c>
      <c r="N78" s="51">
        <f>((H78-(G78-1))/H78)*(IF(I78&lt;&gt;0,(I78+H78)/H78,1))</f>
        <v/>
      </c>
      <c r="O78" s="71">
        <f>(N78-(1/6))/(10/6)</f>
        <v/>
      </c>
      <c r="P78" s="51" t="n">
        <v>10</v>
      </c>
      <c r="Q78" s="71">
        <f>IF(F78=1,(((1-((P78-3)/15))*0.5)+0.5),((P78/18)*0.5))</f>
        <v/>
      </c>
      <c r="R78" s="51" t="n">
        <v>0</v>
      </c>
      <c r="S78" s="51" t="n">
        <v>3</v>
      </c>
      <c r="T78" s="51" t="n">
        <v>1</v>
      </c>
      <c r="U78" s="71">
        <f>IFERROR(T78/S78, 1)</f>
        <v/>
      </c>
      <c r="V78" s="72" t="n">
        <v>0</v>
      </c>
      <c r="W78" s="69" t="n">
        <v>2</v>
      </c>
      <c r="X78" s="82">
        <f>((O78*0.3)+(Q78*0.175)+(R78*0.175)+(U78*0.175)+((1-V78)*0.175))+W78</f>
        <v/>
      </c>
    </row>
    <row r="79" ht="14.25" customHeight="1" s="52">
      <c r="A79" s="93" t="n">
        <v>46178</v>
      </c>
      <c r="B79" s="51" t="n">
        <v>17</v>
      </c>
      <c r="C79" s="51" t="inlineStr">
        <is>
          <t>Kristy</t>
        </is>
      </c>
      <c r="D79" s="51" t="inlineStr">
        <is>
          <t>Edgar Markov</t>
        </is>
      </c>
      <c r="E79" s="68" t="n">
        <v>3.6</v>
      </c>
      <c r="F79" s="51" t="n">
        <v>0</v>
      </c>
      <c r="G79" s="51" t="n">
        <v>2</v>
      </c>
      <c r="H79" s="51" t="n">
        <v>6</v>
      </c>
      <c r="I79" s="51" t="n">
        <v>0</v>
      </c>
      <c r="J79" s="51">
        <f>F79-(1/H79)</f>
        <v/>
      </c>
      <c r="K79" s="51">
        <f>((I79-((H79-1)/H79))-(-5/6))/((5-(5/6))-(-5/6))</f>
        <v/>
      </c>
      <c r="L79" s="51">
        <f>E79-((E77+E78+E80+E81+E82)/5)</f>
        <v/>
      </c>
      <c r="M79" s="70">
        <f>0.5 + (L79 * 0.09)</f>
        <v/>
      </c>
      <c r="N79" s="51">
        <f>((H79-(G79-1))/H79)*(IF(I79&lt;&gt;0,(I79+H79)/H79,1))</f>
        <v/>
      </c>
      <c r="O79" s="71">
        <f>(N79-(1/6))/(10/6)</f>
        <v/>
      </c>
      <c r="P79" s="51" t="n">
        <v>10</v>
      </c>
      <c r="Q79" s="71">
        <f>IF(F79=1,(((1-((P79-3)/15))*0.5)+0.5),((P79/18)*0.5))</f>
        <v/>
      </c>
      <c r="R79" s="51" t="n">
        <v>1</v>
      </c>
      <c r="S79" s="51" t="n">
        <v>5</v>
      </c>
      <c r="T79" s="51" t="n">
        <v>1</v>
      </c>
      <c r="U79" s="71">
        <f>IFERROR(T79/S79, 1)</f>
        <v/>
      </c>
      <c r="V79" s="72" t="n">
        <v>0</v>
      </c>
      <c r="W79" s="69" t="n">
        <v>3</v>
      </c>
      <c r="X79" s="82">
        <f>((O79*0.3)+(Q79*0.175)+(R79*0.175)+(U79*0.175)+((1-V79)*0.175))+W79</f>
        <v/>
      </c>
    </row>
    <row r="80" ht="14.25" customHeight="1" s="52">
      <c r="A80" s="93" t="n">
        <v>46178</v>
      </c>
      <c r="B80" s="51" t="n">
        <v>17</v>
      </c>
      <c r="C80" s="51" t="inlineStr">
        <is>
          <t>Manny</t>
        </is>
      </c>
      <c r="D80" s="51" t="inlineStr">
        <is>
          <t>Athreos, God of Passage</t>
        </is>
      </c>
      <c r="E80" s="68" t="n">
        <v>3.3</v>
      </c>
      <c r="F80" s="51" t="n">
        <v>0</v>
      </c>
      <c r="G80" s="51" t="n">
        <v>2</v>
      </c>
      <c r="H80" s="51" t="n">
        <v>6</v>
      </c>
      <c r="I80" s="51" t="n">
        <v>0</v>
      </c>
      <c r="J80" s="51">
        <f>F80-(1/H80)</f>
        <v/>
      </c>
      <c r="K80" s="51">
        <f>((I80-((H80-1)/H80))-(-5/6))/((5-(5/6))-(-5/6))</f>
        <v/>
      </c>
      <c r="L80" s="51">
        <f>E80-((E77+E78+E79+E81+E82)/5)</f>
        <v/>
      </c>
      <c r="M80" s="70">
        <f>0.5 + (L80 * 0.09)</f>
        <v/>
      </c>
      <c r="N80" s="51">
        <f>((H80-(G80-1))/H80)*(IF(I80&lt;&gt;0,(I80+H80)/H80,1))</f>
        <v/>
      </c>
      <c r="O80" s="71">
        <f>(N80-(1/6))/(10/6)</f>
        <v/>
      </c>
      <c r="P80" s="51" t="n">
        <v>10</v>
      </c>
      <c r="Q80" s="71">
        <f>IF(F80=1,(((1-((P80-3)/15))*0.5)+0.5),((P80/18)*0.5))</f>
        <v/>
      </c>
      <c r="R80" s="51" t="n">
        <v>0</v>
      </c>
      <c r="S80" s="51" t="n">
        <v>4</v>
      </c>
      <c r="T80" s="51" t="n">
        <v>1</v>
      </c>
      <c r="U80" s="71">
        <f>IFERROR(T80/S80, 1)</f>
        <v/>
      </c>
      <c r="V80" s="72" t="n">
        <v>0</v>
      </c>
      <c r="W80" s="69" t="n">
        <v>3</v>
      </c>
      <c r="X80" s="82">
        <f>((O80*0.3)+(Q80*0.175)+(R80*0.175)+(U80*0.175)+((1-V80)*0.175))+W80</f>
        <v/>
      </c>
    </row>
    <row r="81" ht="14.25" customHeight="1" s="52">
      <c r="A81" s="93" t="n">
        <v>46178</v>
      </c>
      <c r="B81" s="51" t="n">
        <v>17</v>
      </c>
      <c r="C81" s="51" t="inlineStr">
        <is>
          <t>Becca</t>
        </is>
      </c>
      <c r="D81" s="51" t="inlineStr">
        <is>
          <t>Ms. Bumbleflower</t>
        </is>
      </c>
      <c r="E81" s="68" t="n">
        <v>2.7</v>
      </c>
      <c r="F81" s="51" t="n">
        <v>0</v>
      </c>
      <c r="G81" s="51" t="n">
        <v>5</v>
      </c>
      <c r="H81" s="51" t="n">
        <v>6</v>
      </c>
      <c r="I81" s="51" t="n">
        <v>0</v>
      </c>
      <c r="J81" s="51">
        <f>F81-(1/H81)</f>
        <v/>
      </c>
      <c r="K81" s="51">
        <f>((I81-((H81-1)/H81))-(-5/6))/((5-(5/6))-(-5/6))</f>
        <v/>
      </c>
      <c r="L81" s="51">
        <f>E81-((E77+E78+E79+E80+E82)/5)</f>
        <v/>
      </c>
      <c r="M81" s="70">
        <f>0.5 + (L81 * 0.09)</f>
        <v/>
      </c>
      <c r="N81" s="51">
        <f>((H81-(G81-1))/H81)*(IF(I81&lt;&gt;0,(I81+H81)/H81,1))</f>
        <v/>
      </c>
      <c r="O81" s="71">
        <f>(N81-(1/6))/(10/6)</f>
        <v/>
      </c>
      <c r="P81" s="51" t="n">
        <v>10</v>
      </c>
      <c r="Q81" s="71">
        <f>IF(F81=1,(((1-((P81-3)/15))*0.5)+0.5),((P81/18)*0.5))</f>
        <v/>
      </c>
      <c r="R81" s="51" t="n">
        <v>0</v>
      </c>
      <c r="S81" s="51" t="n">
        <v>3</v>
      </c>
      <c r="T81" s="51" t="n">
        <v>2</v>
      </c>
      <c r="U81" s="71">
        <f>IFERROR(T81/S81, 1)</f>
        <v/>
      </c>
      <c r="V81" s="72" t="n">
        <v>0</v>
      </c>
      <c r="W81" s="69" t="n">
        <v>2</v>
      </c>
      <c r="X81" s="82">
        <f>((O81*0.3)+(Q81*0.175)+(R81*0.175)+(U81*0.175)+((1-V81)*0.175))+W81</f>
        <v/>
      </c>
    </row>
    <row r="82" ht="14.25" customHeight="1" s="52">
      <c r="A82" s="92" t="n">
        <v>46178</v>
      </c>
      <c r="B82" s="75" t="n">
        <v>17</v>
      </c>
      <c r="C82" s="75" t="inlineStr">
        <is>
          <t>Michelle</t>
        </is>
      </c>
      <c r="D82" s="75" t="inlineStr">
        <is>
          <t>Szarel, Genesis Shepard</t>
        </is>
      </c>
      <c r="E82" s="76" t="n">
        <v>2</v>
      </c>
      <c r="F82" s="75" t="n">
        <v>0</v>
      </c>
      <c r="G82" s="75" t="n">
        <v>6</v>
      </c>
      <c r="H82" s="75" t="n">
        <v>6</v>
      </c>
      <c r="I82" s="75" t="n">
        <v>0</v>
      </c>
      <c r="J82" s="75">
        <f>F82-(1/H82)</f>
        <v/>
      </c>
      <c r="K82" s="75">
        <f>((I82-((H82-1)/H82))-(-5/6))/((5-(5/6))-(-5/6))</f>
        <v/>
      </c>
      <c r="L82" s="75">
        <f>E82-((E77+E78+E79+E80+E81)/5)</f>
        <v/>
      </c>
      <c r="M82" s="78">
        <f>0.5 + (L82 * 0.09)</f>
        <v/>
      </c>
      <c r="N82" s="75">
        <f>((H82-(G82-1))/H82)*(IF(I82&lt;&gt;0,(I82+H82)/H82,1))</f>
        <v/>
      </c>
      <c r="O82" s="79">
        <f>(N82-(1/6))/(10/6)</f>
        <v/>
      </c>
      <c r="P82" s="75" t="n">
        <v>9</v>
      </c>
      <c r="Q82" s="79">
        <f>IF(F82=1,(((1-((P82-3)/15))*0.5)+0.5),((P82/18)*0.5))</f>
        <v/>
      </c>
      <c r="R82" s="75" t="n">
        <v>0</v>
      </c>
      <c r="S82" s="75" t="n">
        <v>1</v>
      </c>
      <c r="T82" s="75" t="n">
        <v>0</v>
      </c>
      <c r="U82" s="79">
        <f>IFERROR(T82/S82, 1)</f>
        <v/>
      </c>
      <c r="V82" s="80" t="n">
        <v>0</v>
      </c>
      <c r="W82" s="77" t="n">
        <v>2</v>
      </c>
      <c r="X82" s="85">
        <f>((O82*0.3)+(Q82*0.175)+(R82*0.175)+(U82*0.175)+((1-V82)*0.175))+W82</f>
        <v/>
      </c>
    </row>
    <row r="83" ht="14.25" customHeight="1" s="52">
      <c r="A83" s="93" t="n">
        <v>46183</v>
      </c>
      <c r="B83" s="51" t="n">
        <v>18</v>
      </c>
      <c r="C83" s="51" t="inlineStr">
        <is>
          <t>Manny</t>
        </is>
      </c>
      <c r="D83" s="51" t="inlineStr">
        <is>
          <t>Atraxa, Praetor's Voice</t>
        </is>
      </c>
      <c r="E83" s="68" t="n">
        <v>3.9</v>
      </c>
      <c r="F83" s="51" t="n">
        <v>1</v>
      </c>
      <c r="G83" s="51" t="n">
        <v>1</v>
      </c>
      <c r="H83" s="51" t="n">
        <v>3</v>
      </c>
      <c r="I83" s="51" t="n">
        <v>1</v>
      </c>
      <c r="J83" s="51">
        <f>F83-(1/H83)</f>
        <v/>
      </c>
      <c r="K83" s="51">
        <f>((I83-((H83-1)/H83))-(-5/6))/((5-(5/6))-(-5/6))</f>
        <v/>
      </c>
      <c r="L83" s="68">
        <f>E83-((E84+E85)/2)</f>
        <v/>
      </c>
      <c r="M83" s="70">
        <f>0.5 + (L83 * 0.09)</f>
        <v/>
      </c>
      <c r="N83" s="51">
        <f>((H83-(G83-1))/H83)*(IF(I83&lt;&gt;0,(I83+H83)/H83,1))</f>
        <v/>
      </c>
      <c r="O83" s="71">
        <f>(N83-(1/6))/(10/6)</f>
        <v/>
      </c>
      <c r="P83" s="51" t="n">
        <v>13</v>
      </c>
      <c r="Q83" s="71">
        <f>IF(F83=1,(((1-((P83-3)/15))*0.5)+0.5),((P83/18)*0.5))</f>
        <v/>
      </c>
      <c r="R83" s="51" t="n">
        <v>1</v>
      </c>
      <c r="S83" s="51" t="n">
        <v>0</v>
      </c>
      <c r="T83" s="51" t="n">
        <v>0</v>
      </c>
      <c r="U83" s="71">
        <f>IFERROR(T83/S83, 1)</f>
        <v/>
      </c>
      <c r="V83" s="72" t="n">
        <v>0</v>
      </c>
      <c r="W83" s="69" t="n">
        <v>3</v>
      </c>
      <c r="X83" s="82">
        <f>((O83*0.3)+(Q83*0.175)+(R83*0.175)+(U83*0.175)+((1-V83)*0.175))+W83</f>
        <v/>
      </c>
    </row>
    <row r="84" ht="14.25" customHeight="1" s="52">
      <c r="A84" s="93" t="n">
        <v>46183</v>
      </c>
      <c r="B84" s="51" t="n">
        <v>18</v>
      </c>
      <c r="C84" s="51" t="inlineStr">
        <is>
          <t>Ryan</t>
        </is>
      </c>
      <c r="D84" s="51" t="inlineStr">
        <is>
          <t>Preston Garvey, Minuteman</t>
        </is>
      </c>
      <c r="E84" s="68" t="n">
        <v>3.7</v>
      </c>
      <c r="F84" s="51" t="n">
        <v>0</v>
      </c>
      <c r="G84" s="51" t="n">
        <v>2</v>
      </c>
      <c r="H84" s="51" t="n">
        <v>3</v>
      </c>
      <c r="I84" s="51" t="n">
        <v>1</v>
      </c>
      <c r="J84" s="51">
        <f>F84-(1/H84)</f>
        <v/>
      </c>
      <c r="K84" s="51">
        <f>((I84-((H84-1)/H84))-(-5/6))/((5-(5/6))-(-5/6))</f>
        <v/>
      </c>
      <c r="L84" s="51">
        <f>E84-((E83+E85)/2)</f>
        <v/>
      </c>
      <c r="M84" s="70">
        <f>0.5 + (L84 * 0.09)</f>
        <v/>
      </c>
      <c r="N84" s="51">
        <f>((H84-(G84-1))/H84)*(IF(I84&lt;&gt;0,(I84+H84)/H84,1))</f>
        <v/>
      </c>
      <c r="O84" s="71">
        <f>(N84-(1/6))/(10/6)</f>
        <v/>
      </c>
      <c r="P84" s="51" t="n">
        <v>13</v>
      </c>
      <c r="Q84" s="71">
        <f>IF(F84=1,(((1-((P84-3)/15))*0.5)+0.5),((P84/18)*0.5))</f>
        <v/>
      </c>
      <c r="R84" s="51" t="n">
        <v>1</v>
      </c>
      <c r="S84" s="51" t="n">
        <v>1</v>
      </c>
      <c r="T84" s="51" t="n">
        <v>1</v>
      </c>
      <c r="U84" s="71">
        <f>IFERROR(T84/S84, 1)</f>
        <v/>
      </c>
      <c r="V84" s="72" t="n">
        <v>0</v>
      </c>
      <c r="W84" s="69" t="n">
        <v>3</v>
      </c>
      <c r="X84" s="82">
        <f>((O84*0.3)+(Q84*0.175)+(R84*0.175)+(U84*0.175)+((1-V84)*0.175))+W84</f>
        <v/>
      </c>
    </row>
    <row r="85" ht="14.25" customHeight="1" s="52">
      <c r="A85" s="92" t="n">
        <v>46183</v>
      </c>
      <c r="B85" s="75" t="n">
        <v>18</v>
      </c>
      <c r="C85" s="75" t="inlineStr">
        <is>
          <t>Joseph</t>
        </is>
      </c>
      <c r="D85" s="75" t="inlineStr">
        <is>
          <t>Valgavoth, Harrower of Souls</t>
        </is>
      </c>
      <c r="E85" s="76" t="n">
        <v>3.2</v>
      </c>
      <c r="F85" s="75" t="n">
        <v>0</v>
      </c>
      <c r="G85" s="75" t="n">
        <v>3</v>
      </c>
      <c r="H85" s="75" t="n">
        <v>3</v>
      </c>
      <c r="I85" s="75" t="n">
        <v>0</v>
      </c>
      <c r="J85" s="75">
        <f>F85-(1/H85)</f>
        <v/>
      </c>
      <c r="K85" s="75">
        <f>((I85-((H85-1)/H85))-(-5/6))/((5-(5/6))-(-5/6))</f>
        <v/>
      </c>
      <c r="L85" s="75">
        <f>E85-((E83+E84)/2)</f>
        <v/>
      </c>
      <c r="M85" s="78">
        <f>0.5 + (L85 * 0.09)</f>
        <v/>
      </c>
      <c r="N85" s="75">
        <f>((H85-(G85-1))/H85)*(IF(I85&lt;&gt;0,(I85+H85)/H85,1))</f>
        <v/>
      </c>
      <c r="O85" s="79">
        <f>(N85-(1/6))/(10/6)</f>
        <v/>
      </c>
      <c r="P85" s="75" t="n">
        <v>10</v>
      </c>
      <c r="Q85" s="79">
        <f>IF(F85=1,(((1-((P85-3)/15))*0.5)+0.5),((P85/18)*0.5))</f>
        <v/>
      </c>
      <c r="R85" s="75" t="n">
        <v>1</v>
      </c>
      <c r="S85" s="75" t="n">
        <v>0</v>
      </c>
      <c r="T85" s="75" t="n">
        <v>0</v>
      </c>
      <c r="U85" s="79">
        <f>IFERROR(T85/S85, 1)</f>
        <v/>
      </c>
      <c r="V85" s="80" t="n">
        <v>0</v>
      </c>
      <c r="W85" s="77" t="n">
        <v>3</v>
      </c>
      <c r="X85" s="85">
        <f>((O85*0.3)+(Q85*0.175)+(R85*0.175)+(U85*0.175)+((1-V85)*0.175))+W85</f>
        <v/>
      </c>
    </row>
    <row r="86" ht="14.25" customHeight="1" s="52">
      <c r="A86" s="93" t="n">
        <v>46185</v>
      </c>
      <c r="B86" s="51" t="n">
        <v>19</v>
      </c>
      <c r="C86" s="51" t="inlineStr">
        <is>
          <t>Kristy</t>
        </is>
      </c>
      <c r="D86" s="51" t="inlineStr">
        <is>
          <t>Niv-Mizzet, Parun</t>
        </is>
      </c>
      <c r="E86" s="68" t="n">
        <v>3.4</v>
      </c>
      <c r="F86" s="51" t="n">
        <v>1</v>
      </c>
      <c r="G86" s="51" t="n">
        <v>1</v>
      </c>
      <c r="H86" s="51" t="n">
        <v>5</v>
      </c>
      <c r="I86" s="51" t="n">
        <v>2</v>
      </c>
      <c r="J86" s="51">
        <f>F86-(1/H86)</f>
        <v/>
      </c>
      <c r="K86" s="51">
        <f>((I86-((H86-1)/H86))-(-5/6))/((5-(5/6))-(-5/6))</f>
        <v/>
      </c>
      <c r="L86" s="87">
        <f>E86-((E87+E88+E89+E90)/4)</f>
        <v/>
      </c>
      <c r="M86" s="94">
        <f>0.5 + (L86 * 0.09)</f>
        <v/>
      </c>
      <c r="N86" s="51">
        <f>((H86-(G86-1))/H86)*(IF(I86&lt;&gt;0,(I86+H86)/H86,1))</f>
        <v/>
      </c>
      <c r="O86" s="71">
        <f>(N86-(1/6))/(10/6)</f>
        <v/>
      </c>
      <c r="P86" s="51" t="n">
        <v>12</v>
      </c>
      <c r="Q86" s="71">
        <f>IF(F86=1,(((1-((P86-3)/15))*0.5)+0.5),((P86/18)*0.5))</f>
        <v/>
      </c>
      <c r="R86" s="51" t="n">
        <v>1</v>
      </c>
      <c r="S86" s="51" t="n">
        <v>0</v>
      </c>
      <c r="T86" s="51" t="n">
        <v>0</v>
      </c>
      <c r="U86" s="71">
        <f>IFERROR(T86/S86, 1)</f>
        <v/>
      </c>
      <c r="V86" s="72" t="n">
        <v>0</v>
      </c>
      <c r="W86" s="69" t="n">
        <v>3</v>
      </c>
      <c r="X86" s="82">
        <f>((O86*0.3)+(Q86*0.175)+(R86*0.175)+(U86*0.175)+((1-V86)*0.175))+W86</f>
        <v/>
      </c>
    </row>
    <row r="87" ht="14.25" customHeight="1" s="52">
      <c r="A87" s="93" t="n">
        <v>46185</v>
      </c>
      <c r="B87" s="51" t="n">
        <v>19</v>
      </c>
      <c r="C87" s="51" t="inlineStr">
        <is>
          <t>Ryan</t>
        </is>
      </c>
      <c r="D87" s="51" t="inlineStr">
        <is>
          <t>Giada, Font of Hope</t>
        </is>
      </c>
      <c r="E87" s="68" t="n">
        <v>2</v>
      </c>
      <c r="F87" s="51" t="n">
        <v>0</v>
      </c>
      <c r="G87" s="51" t="n">
        <v>2</v>
      </c>
      <c r="H87" s="51" t="n">
        <v>5</v>
      </c>
      <c r="I87" s="51" t="n">
        <v>1</v>
      </c>
      <c r="J87" s="51">
        <f>F87-(1/H87)</f>
        <v/>
      </c>
      <c r="K87" s="51">
        <f>((I87-((H87-1)/H87))-(-5/6))/((5-(5/6))-(-5/6))</f>
        <v/>
      </c>
      <c r="L87" s="51">
        <f>E87-((E86+E88+E89+E90)/4)</f>
        <v/>
      </c>
      <c r="M87" s="70">
        <f>0.5 + (L87 * 0.09)</f>
        <v/>
      </c>
      <c r="N87" s="51">
        <f>((H87-(G87-1))/H87)*(IF(I87&lt;&gt;0,(I87+H87)/H87,1))</f>
        <v/>
      </c>
      <c r="O87" s="71">
        <f>(N87-(1/6))/(10/6)</f>
        <v/>
      </c>
      <c r="P87" s="51" t="n">
        <v>12</v>
      </c>
      <c r="Q87" s="71">
        <f>IF(F87=1,(((1-((P87-3)/15))*0.5)+0.5),((P87/18)*0.5))</f>
        <v/>
      </c>
      <c r="R87" s="51" t="n">
        <v>0</v>
      </c>
      <c r="S87" s="51" t="n">
        <v>0</v>
      </c>
      <c r="T87" s="51" t="n">
        <v>0</v>
      </c>
      <c r="U87" s="71">
        <f>IFERROR(T87/S87, 1)</f>
        <v/>
      </c>
      <c r="V87" s="72" t="n">
        <v>0</v>
      </c>
      <c r="W87" s="69" t="n">
        <v>2</v>
      </c>
      <c r="X87" s="82">
        <f>((O87*0.3)+(Q87*0.175)+(R87*0.175)+(U87*0.175)+((1-V87)*0.175))+W87</f>
        <v/>
      </c>
    </row>
    <row r="88" ht="14.25" customHeight="1" s="52">
      <c r="A88" s="93" t="n">
        <v>46185</v>
      </c>
      <c r="B88" s="51" t="n">
        <v>19</v>
      </c>
      <c r="C88" s="51" t="inlineStr">
        <is>
          <t>Manny</t>
        </is>
      </c>
      <c r="D88" s="51" t="inlineStr">
        <is>
          <t>Zada, Hedron Grinder</t>
        </is>
      </c>
      <c r="E88" s="68" t="n">
        <v>2</v>
      </c>
      <c r="F88" s="51" t="n">
        <v>0</v>
      </c>
      <c r="G88" s="51" t="n">
        <v>3</v>
      </c>
      <c r="H88" s="51" t="n">
        <v>5</v>
      </c>
      <c r="I88" s="51" t="n">
        <v>0</v>
      </c>
      <c r="J88" s="51">
        <f>F88-(1/H88)</f>
        <v/>
      </c>
      <c r="K88" s="51">
        <f>((I88-((H88-1)/H88))-(-5/6))/((5-(5/6))-(-5/6))</f>
        <v/>
      </c>
      <c r="L88" s="51">
        <f>E88-((E86+E87+E89+E90)/4)</f>
        <v/>
      </c>
      <c r="M88" s="70">
        <f>0.5 + (L88 * 0.09)</f>
        <v/>
      </c>
      <c r="N88" s="51">
        <f>((H88-(G88-1))/H88)*(IF(I88&lt;&gt;0,(I88+H88)/H88,1))</f>
        <v/>
      </c>
      <c r="O88" s="71">
        <f>(N88-(1/6))/(10/6)</f>
        <v/>
      </c>
      <c r="P88" s="51" t="n">
        <v>11</v>
      </c>
      <c r="Q88" s="71">
        <f>IF(F88=1,(((1-((P88-3)/15))*0.5)+0.5),((P88/18)*0.5))</f>
        <v/>
      </c>
      <c r="R88" s="51" t="n">
        <v>1</v>
      </c>
      <c r="S88" s="51" t="n">
        <v>1</v>
      </c>
      <c r="T88" s="51" t="n">
        <v>1</v>
      </c>
      <c r="U88" s="71">
        <f>IFERROR(T88/S88, 1)</f>
        <v/>
      </c>
      <c r="V88" s="72" t="n">
        <v>0</v>
      </c>
      <c r="W88" s="69" t="n">
        <v>2</v>
      </c>
      <c r="X88" s="82">
        <f>((O88*0.3)+(Q88*0.175)+(R88*0.175)+(U88*0.175)+((1-V88)*0.175))+W88</f>
        <v/>
      </c>
    </row>
    <row r="89" ht="14.25" customHeight="1" s="52">
      <c r="A89" s="93" t="n">
        <v>46185</v>
      </c>
      <c r="B89" s="51" t="n">
        <v>19</v>
      </c>
      <c r="C89" s="51" t="inlineStr">
        <is>
          <t>Red</t>
        </is>
      </c>
      <c r="D89" s="51" t="inlineStr">
        <is>
          <t>Squall, SeeD Mercenary</t>
        </is>
      </c>
      <c r="E89" s="68" t="n">
        <v>3.5</v>
      </c>
      <c r="F89" s="51" t="n">
        <v>0</v>
      </c>
      <c r="G89" s="51" t="n">
        <v>4</v>
      </c>
      <c r="H89" s="51" t="n">
        <v>5</v>
      </c>
      <c r="I89" s="51" t="n">
        <v>0</v>
      </c>
      <c r="J89" s="51">
        <f>F89-(1/H89)</f>
        <v/>
      </c>
      <c r="K89" s="51">
        <f>((I89-((H89-1)/H89))-(-5/6))/((5-(5/6))-(-5/6))</f>
        <v/>
      </c>
      <c r="L89" s="51">
        <f>E89-((E86+E87+E88+E90)/4)</f>
        <v/>
      </c>
      <c r="M89" s="70">
        <f>0.5 + (L89 * 0.09)</f>
        <v/>
      </c>
      <c r="N89" s="51">
        <f>((H89-(G89-1))/H89)*(IF(I89&lt;&gt;0,(I89+H89)/H89,1))</f>
        <v/>
      </c>
      <c r="O89" s="71">
        <f>(N89-(1/6))/(10/6)</f>
        <v/>
      </c>
      <c r="P89" s="51" t="n">
        <v>10</v>
      </c>
      <c r="Q89" s="71">
        <f>IF(F89=1,(((1-((P89-3)/15))*0.5)+0.5),((P89/18)*0.5))</f>
        <v/>
      </c>
      <c r="R89" s="51" t="n">
        <v>0</v>
      </c>
      <c r="S89" s="51" t="n">
        <v>2</v>
      </c>
      <c r="T89" s="51" t="n">
        <v>1</v>
      </c>
      <c r="U89" s="71">
        <f>IFERROR(T89/S89, 1)</f>
        <v/>
      </c>
      <c r="V89" s="72" t="n">
        <v>0</v>
      </c>
      <c r="W89" s="69" t="n">
        <v>3</v>
      </c>
      <c r="X89" s="82">
        <f>((O89*0.3)+(Q89*0.175)+(R89*0.175)+(U89*0.175)+((1-V89)*0.175))+W89</f>
        <v/>
      </c>
    </row>
    <row r="90" ht="14.25" customHeight="1" s="52">
      <c r="A90" s="92" t="n">
        <v>46185</v>
      </c>
      <c r="B90" s="75" t="n">
        <v>19</v>
      </c>
      <c r="C90" s="75" t="inlineStr">
        <is>
          <t>Mateo</t>
        </is>
      </c>
      <c r="D90" s="75" t="inlineStr">
        <is>
          <t>Fire Lord Azula</t>
        </is>
      </c>
      <c r="E90" s="76" t="n">
        <v>3.4</v>
      </c>
      <c r="F90" s="75" t="n">
        <v>0</v>
      </c>
      <c r="G90" s="75" t="n">
        <v>5</v>
      </c>
      <c r="H90" s="75" t="n">
        <v>5</v>
      </c>
      <c r="I90" s="75" t="n">
        <v>0</v>
      </c>
      <c r="J90" s="75">
        <f>F90-(1/H90)</f>
        <v/>
      </c>
      <c r="K90" s="75">
        <f>((I90-((H90-1)/H90))-(-5/6))/((5-(5/6))-(-5/6))</f>
        <v/>
      </c>
      <c r="L90" s="75">
        <f>E90-((E86+E87+E88+E89)/4)</f>
        <v/>
      </c>
      <c r="M90" s="78">
        <f>0.5 + (L90 * 0.09)</f>
        <v/>
      </c>
      <c r="N90" s="75">
        <f>((H90-(G90-1))/H90)*(IF(I90&lt;&gt;0,(I90+H90)/H90,1))</f>
        <v/>
      </c>
      <c r="O90" s="79">
        <f>(N90-(1/6))/(10/6)</f>
        <v/>
      </c>
      <c r="P90" s="75" t="n">
        <v>10</v>
      </c>
      <c r="Q90" s="79">
        <f>IF(F90=1,(((1-((P90-3)/15))*0.5)+0.5),((P90/18)*0.5))</f>
        <v/>
      </c>
      <c r="R90" s="75" t="n">
        <v>1</v>
      </c>
      <c r="S90" s="75" t="n">
        <v>0</v>
      </c>
      <c r="T90" s="75" t="n">
        <v>0</v>
      </c>
      <c r="U90" s="79">
        <f>IFERROR(T90/S90, 1)</f>
        <v/>
      </c>
      <c r="V90" s="80" t="n">
        <v>0</v>
      </c>
      <c r="W90" s="77" t="n">
        <v>3</v>
      </c>
      <c r="X90" s="85">
        <f>((O90*0.3)+(Q90*0.175)+(R90*0.175)+(U90*0.175)+((1-V90)*0.175))+W90</f>
        <v/>
      </c>
    </row>
    <row r="91" ht="14.25" customHeight="1" s="52">
      <c r="A91" s="93" t="n">
        <v>46185</v>
      </c>
      <c r="B91" s="51" t="n">
        <v>20</v>
      </c>
      <c r="C91" s="51" t="inlineStr">
        <is>
          <t>Becca</t>
        </is>
      </c>
      <c r="D91" s="51" t="inlineStr">
        <is>
          <t>Ms. Bumbleflower</t>
        </is>
      </c>
      <c r="E91" s="68" t="n">
        <v>2.4</v>
      </c>
      <c r="F91" s="51" t="n">
        <v>1</v>
      </c>
      <c r="G91" s="51" t="n">
        <v>1</v>
      </c>
      <c r="H91" s="51" t="n">
        <v>5</v>
      </c>
      <c r="I91" s="51" t="n">
        <v>2</v>
      </c>
      <c r="J91" s="51">
        <f>F91-(1/H91)</f>
        <v/>
      </c>
      <c r="K91" s="51">
        <f>((I91-((H91-1)/H91))-(-5/6))/((5-(5/6))-(-5/6))</f>
        <v/>
      </c>
      <c r="L91" s="87">
        <f>E91-((E92+E93+E94+E95)/4)</f>
        <v/>
      </c>
      <c r="M91" s="94">
        <f>0.5 + (L91 * 0.09)</f>
        <v/>
      </c>
      <c r="N91" s="51">
        <f>((H91-(G91-1))/H91)*(IF(I91&lt;&gt;0,(I91+H91)/H91,1))</f>
        <v/>
      </c>
      <c r="O91" s="71">
        <f>(N91-(1/6))/(10/6)</f>
        <v/>
      </c>
      <c r="P91" s="51" t="n">
        <v>8</v>
      </c>
      <c r="Q91" s="71">
        <f>IF(F91=1,(((1-((P91-3)/15))*0.5)+0.5),((P91/18)*0.5))</f>
        <v/>
      </c>
      <c r="R91" s="51" t="n">
        <v>1</v>
      </c>
      <c r="S91" s="51" t="n">
        <v>0</v>
      </c>
      <c r="T91" s="51" t="n">
        <v>0</v>
      </c>
      <c r="U91" s="71">
        <f>IFERROR(T91/S91, 1)</f>
        <v/>
      </c>
      <c r="V91" s="72" t="n">
        <v>0</v>
      </c>
      <c r="W91" s="69" t="n">
        <v>2</v>
      </c>
      <c r="X91" s="82">
        <f>((O91*0.3)+(Q91*0.175)+(R91*0.175)+(U91*0.175)+((1-V91)*0.175))+W91</f>
        <v/>
      </c>
    </row>
    <row r="92" ht="14.25" customHeight="1" s="52">
      <c r="A92" s="93" t="n">
        <v>46185</v>
      </c>
      <c r="B92" s="51" t="n">
        <v>20</v>
      </c>
      <c r="C92" s="51" t="inlineStr">
        <is>
          <t>Kristy</t>
        </is>
      </c>
      <c r="D92" s="51" t="inlineStr">
        <is>
          <t>Auntie Ool, Cursewretch</t>
        </is>
      </c>
      <c r="E92" s="68" t="n">
        <v>3.3</v>
      </c>
      <c r="F92" s="51" t="n">
        <v>0</v>
      </c>
      <c r="G92" s="51" t="n">
        <v>2</v>
      </c>
      <c r="H92" s="51" t="n">
        <v>5</v>
      </c>
      <c r="I92" s="51" t="n">
        <v>2</v>
      </c>
      <c r="J92" s="51">
        <f>F92-(1/H92)</f>
        <v/>
      </c>
      <c r="K92" s="51">
        <f>((I92-((H92-1)/H92))-(-5/6))/((5-(5/6))-(-5/6))</f>
        <v/>
      </c>
      <c r="L92" s="51">
        <f>E92-((E91+E93+E94+E95)/4)</f>
        <v/>
      </c>
      <c r="M92" s="70">
        <f>0.5 + (L92 * 0.09)</f>
        <v/>
      </c>
      <c r="N92" s="51">
        <f>((H92-(G92-1))/H92)*(IF(I92&lt;&gt;0,(I92+H92)/H92,1))</f>
        <v/>
      </c>
      <c r="O92" s="71">
        <f>(N92-(1/6))/(10/6)</f>
        <v/>
      </c>
      <c r="P92" s="51" t="n">
        <v>8</v>
      </c>
      <c r="Q92" s="71">
        <f>IF(F92=1,(((1-((P92-3)/15))*0.5)+0.5),((P92/18)*0.5))</f>
        <v/>
      </c>
      <c r="R92" s="51" t="n">
        <v>1</v>
      </c>
      <c r="S92" s="51" t="n">
        <v>0</v>
      </c>
      <c r="T92" s="51" t="n">
        <v>0</v>
      </c>
      <c r="U92" s="71">
        <f>IFERROR(T92/S92, 1)</f>
        <v/>
      </c>
      <c r="V92" s="72" t="n">
        <v>0</v>
      </c>
      <c r="W92" s="69" t="n">
        <v>3</v>
      </c>
      <c r="X92" s="82">
        <f>((O92*0.3)+(Q92*0.175)+(R92*0.175)+(U92*0.175)+((1-V92)*0.175))+W92</f>
        <v/>
      </c>
    </row>
    <row r="93" ht="14.25" customHeight="1" s="52">
      <c r="A93" s="93" t="n">
        <v>46185</v>
      </c>
      <c r="B93" s="51" t="n">
        <v>20</v>
      </c>
      <c r="C93" s="51" t="inlineStr">
        <is>
          <t>Manny</t>
        </is>
      </c>
      <c r="D93" s="51" t="inlineStr">
        <is>
          <t>Zada, Hedron Grinder</t>
        </is>
      </c>
      <c r="E93" s="68" t="n">
        <v>2.7</v>
      </c>
      <c r="F93" s="51" t="n">
        <v>0</v>
      </c>
      <c r="G93" s="51" t="n">
        <v>3</v>
      </c>
      <c r="H93" s="51" t="n">
        <v>5</v>
      </c>
      <c r="I93" s="51" t="n">
        <v>0</v>
      </c>
      <c r="J93" s="51">
        <f>F93-(1/H93)</f>
        <v/>
      </c>
      <c r="K93" s="51">
        <f>((I93-((H93-1)/H93))-(-5/6))/((5-(5/6))-(-5/6))</f>
        <v/>
      </c>
      <c r="L93" s="51">
        <f>E93-((E91+E92+E94+E95)/4)</f>
        <v/>
      </c>
      <c r="M93" s="70">
        <f>0.5 + (L93 * 0.09)</f>
        <v/>
      </c>
      <c r="N93" s="51">
        <f>((H93-(G93-1))/H93)*(IF(I93&lt;&gt;0,(I93+H93)/H93,1))</f>
        <v/>
      </c>
      <c r="O93" s="71">
        <f>(N93-(1/6))/(10/6)</f>
        <v/>
      </c>
      <c r="P93" s="51" t="n">
        <v>8</v>
      </c>
      <c r="Q93" s="71">
        <f>IF(F93=1,(((1-((P93-3)/15))*0.5)+0.5),((P93/18)*0.5))</f>
        <v/>
      </c>
      <c r="R93" s="51" t="n">
        <v>0</v>
      </c>
      <c r="S93" s="51" t="n">
        <v>0</v>
      </c>
      <c r="T93" s="51" t="n">
        <v>0</v>
      </c>
      <c r="U93" s="71">
        <f>IFERROR(T93/S93, 1)</f>
        <v/>
      </c>
      <c r="V93" s="72" t="n">
        <v>0</v>
      </c>
      <c r="W93" s="69" t="n">
        <v>2</v>
      </c>
      <c r="X93" s="82">
        <f>((O93*0.3)+(Q93*0.175)+(R93*0.175)+(U93*0.175)+((1-V93)*0.175))+W93</f>
        <v/>
      </c>
    </row>
    <row r="94" ht="14.25" customHeight="1" s="52">
      <c r="A94" s="93" t="n">
        <v>46185</v>
      </c>
      <c r="B94" s="51" t="n">
        <v>20</v>
      </c>
      <c r="C94" s="51" t="inlineStr">
        <is>
          <t>Mateo</t>
        </is>
      </c>
      <c r="D94" s="51" t="inlineStr">
        <is>
          <t>Noctis, Heir Apparent</t>
        </is>
      </c>
      <c r="E94" s="68" t="n">
        <v>2.9</v>
      </c>
      <c r="F94" s="51" t="n">
        <v>0</v>
      </c>
      <c r="G94" s="51" t="n">
        <v>4</v>
      </c>
      <c r="H94" s="51" t="n">
        <v>5</v>
      </c>
      <c r="I94" s="51" t="n">
        <v>0</v>
      </c>
      <c r="J94" s="51">
        <f>F94-(1/H94)</f>
        <v/>
      </c>
      <c r="K94" s="51">
        <f>((I94-((H94-1)/H94))-(-5/6))/((5-(5/6))-(-5/6))</f>
        <v/>
      </c>
      <c r="L94" s="51">
        <f>E94-((E91+E92+E93+E95)/4)</f>
        <v/>
      </c>
      <c r="M94" s="70">
        <f>0.5 + (L94 * 0.09)</f>
        <v/>
      </c>
      <c r="N94" s="51">
        <f>((H94-(G94-1))/H94)*(IF(I94&lt;&gt;0,(I94+H94)/H94,1))</f>
        <v/>
      </c>
      <c r="O94" s="71">
        <f>(N94-(1/6))/(10/6)</f>
        <v/>
      </c>
      <c r="P94" s="51" t="n">
        <v>8</v>
      </c>
      <c r="Q94" s="71">
        <f>IF(F94=1,(((1-((P94-3)/15))*0.5)+0.5),((P94/18)*0.5))</f>
        <v/>
      </c>
      <c r="R94" s="51" t="n">
        <v>1</v>
      </c>
      <c r="S94" s="51" t="n">
        <v>0</v>
      </c>
      <c r="T94" s="51" t="n">
        <v>0</v>
      </c>
      <c r="U94" s="71">
        <f>IFERROR(T94/S94, 1)</f>
        <v/>
      </c>
      <c r="V94" s="72" t="n">
        <v>0</v>
      </c>
      <c r="W94" s="69" t="n">
        <v>2</v>
      </c>
      <c r="X94" s="82">
        <f>((O94*0.3)+(Q94*0.175)+(R94*0.175)+(U94*0.175)+((1-V94)*0.175))+W94</f>
        <v/>
      </c>
    </row>
    <row r="95" ht="14.25" customHeight="1" s="52">
      <c r="A95" s="92" t="n">
        <v>46185</v>
      </c>
      <c r="B95" s="75" t="n">
        <v>20</v>
      </c>
      <c r="C95" s="75" t="inlineStr">
        <is>
          <t>Ryan</t>
        </is>
      </c>
      <c r="D95" s="75" t="inlineStr">
        <is>
          <t>Witherbloom, The Balancer</t>
        </is>
      </c>
      <c r="E95" s="76" t="n">
        <v>2.4</v>
      </c>
      <c r="F95" s="75" t="n">
        <v>0</v>
      </c>
      <c r="G95" s="75" t="n">
        <v>5</v>
      </c>
      <c r="H95" s="75" t="n">
        <v>5</v>
      </c>
      <c r="I95" s="75" t="n">
        <v>0</v>
      </c>
      <c r="J95" s="75">
        <f>F95-(1/H95)</f>
        <v/>
      </c>
      <c r="K95" s="75">
        <f>((I95-((H95-1)/H95))-(-5/6))/((5-(5/6))-(-5/6))</f>
        <v/>
      </c>
      <c r="L95" s="75">
        <f>E95-((E91+E92+E93+E94)/4)</f>
        <v/>
      </c>
      <c r="M95" s="78">
        <f>0.5 + (L95 * 0.09)</f>
        <v/>
      </c>
      <c r="N95" s="75">
        <f>((H95-(G95-1))/H95)*(IF(I95&lt;&gt;0,(I95+H95)/H95,1))</f>
        <v/>
      </c>
      <c r="O95" s="79">
        <f>(N95-(1/6))/(10/6)</f>
        <v/>
      </c>
      <c r="P95" s="75" t="n">
        <v>8</v>
      </c>
      <c r="Q95" s="79">
        <f>IF(F95=1,(((1-((P95-3)/15))*0.5)+0.5),((P95/18)*0.5))</f>
        <v/>
      </c>
      <c r="R95" s="75" t="n">
        <v>0</v>
      </c>
      <c r="S95" s="75" t="n">
        <v>0</v>
      </c>
      <c r="T95" s="75" t="n">
        <v>0</v>
      </c>
      <c r="U95" s="79">
        <f>IFERROR(T95/S95, 1)</f>
        <v/>
      </c>
      <c r="V95" s="80" t="n">
        <v>0</v>
      </c>
      <c r="W95" s="77" t="n">
        <v>2</v>
      </c>
      <c r="X95" s="85">
        <f>((O95*0.3)+(Q95*0.175)+(R95*0.175)+(U95*0.175)+((1-V95)*0.175))+W95</f>
        <v/>
      </c>
    </row>
    <row r="96" ht="14.25" customHeight="1" s="52">
      <c r="A96" s="93" t="n">
        <v>46186</v>
      </c>
      <c r="B96" s="51" t="n">
        <v>21</v>
      </c>
      <c r="C96" s="51" t="inlineStr">
        <is>
          <t>Ryan</t>
        </is>
      </c>
      <c r="D96" s="51" t="inlineStr">
        <is>
          <t>Fire Lord Zuko</t>
        </is>
      </c>
      <c r="E96" s="68" t="n">
        <v>3.4</v>
      </c>
      <c r="F96" s="51" t="n">
        <v>1</v>
      </c>
      <c r="G96" s="51" t="n">
        <v>1</v>
      </c>
      <c r="H96" s="51" t="n">
        <v>3</v>
      </c>
      <c r="I96" s="51" t="n">
        <v>1</v>
      </c>
      <c r="J96" s="51">
        <f>F96-(1/H96)</f>
        <v/>
      </c>
      <c r="K96" s="51">
        <f>((I96-((H96-1)/H96))-(-5/6))/((5-(5/6))-(-5/6))</f>
        <v/>
      </c>
      <c r="L96" s="68">
        <f>E96-((E97+E98)/2)</f>
        <v/>
      </c>
      <c r="M96" s="70">
        <f>0.5 + (L96 * 0.09)</f>
        <v/>
      </c>
      <c r="N96" s="51">
        <f>((H96-(G96-1))/H96)*(IF(I96&lt;&gt;0,(I96+H96)/H96,1))</f>
        <v/>
      </c>
      <c r="O96" s="71">
        <f>(N96-(1/6))/(10/6)</f>
        <v/>
      </c>
      <c r="P96" s="51" t="n">
        <v>13</v>
      </c>
      <c r="Q96" s="71">
        <f>IF(F96=1,(((1-((P96-3)/15))*0.5)+0.5),((P96/18)*0.5))</f>
        <v/>
      </c>
      <c r="R96" s="51" t="n">
        <v>1</v>
      </c>
      <c r="S96" s="51" t="n">
        <v>0</v>
      </c>
      <c r="T96" s="51" t="n">
        <v>0</v>
      </c>
      <c r="U96" s="71">
        <f>IFERROR(T96/S96, 1)</f>
        <v/>
      </c>
      <c r="V96" s="72" t="n">
        <v>0</v>
      </c>
      <c r="W96" s="69" t="n">
        <v>3</v>
      </c>
      <c r="X96" s="82">
        <f>((O96*0.3)+(Q96*0.175)+(R96*0.175)+(U96*0.175)+((1-V96)*0.175))+W96</f>
        <v/>
      </c>
    </row>
    <row r="97" ht="14.25" customHeight="1" s="52">
      <c r="A97" s="93" t="n">
        <v>46186</v>
      </c>
      <c r="B97" s="51" t="n">
        <v>21</v>
      </c>
      <c r="C97" s="51" t="inlineStr">
        <is>
          <t>Becca</t>
        </is>
      </c>
      <c r="D97" s="51" t="inlineStr">
        <is>
          <t>Killian, Decisive Mentor</t>
        </is>
      </c>
      <c r="E97" s="68" t="n">
        <v>2.2</v>
      </c>
      <c r="F97" s="51" t="n">
        <v>0</v>
      </c>
      <c r="G97" s="51" t="n">
        <v>2</v>
      </c>
      <c r="H97" s="51" t="n">
        <v>3</v>
      </c>
      <c r="I97" s="51" t="n">
        <v>1</v>
      </c>
      <c r="J97" s="51">
        <f>F97-(1/H97)</f>
        <v/>
      </c>
      <c r="K97" s="51">
        <f>((I97-((H97-1)/H97))-(-5/6))/((5-(5/6))-(-5/6))</f>
        <v/>
      </c>
      <c r="L97" s="51">
        <f>E97-((E96+E98)/2)</f>
        <v/>
      </c>
      <c r="M97" s="70">
        <f>0.5 + (L97 * 0.09)</f>
        <v/>
      </c>
      <c r="N97" s="51">
        <f>((H97-(G97-1))/H97)*(IF(I97&lt;&gt;0,(I97+H97)/H97,1))</f>
        <v/>
      </c>
      <c r="O97" s="71">
        <f>(N97-(1/6))/(10/6)</f>
        <v/>
      </c>
      <c r="P97" s="51" t="n">
        <v>13</v>
      </c>
      <c r="Q97" s="71">
        <f>IF(F97=1,(((1-((P97-3)/15))*0.5)+0.5),((P97/18)*0.5))</f>
        <v/>
      </c>
      <c r="R97" s="51" t="n">
        <v>1</v>
      </c>
      <c r="S97" s="51" t="n">
        <v>2</v>
      </c>
      <c r="T97" s="51" t="n">
        <v>1</v>
      </c>
      <c r="U97" s="71">
        <f>IFERROR(T97/S97, 1)</f>
        <v/>
      </c>
      <c r="V97" s="72" t="n">
        <v>0</v>
      </c>
      <c r="W97" s="69" t="n">
        <v>2</v>
      </c>
      <c r="X97" s="82">
        <f>((O97*0.3)+(Q97*0.175)+(R97*0.175)+(U97*0.175)+((1-V97)*0.175))+W97</f>
        <v/>
      </c>
    </row>
    <row r="98" ht="14.25" customHeight="1" s="52">
      <c r="A98" s="92" t="n">
        <v>46186</v>
      </c>
      <c r="B98" s="75" t="n">
        <v>21</v>
      </c>
      <c r="C98" s="75" t="inlineStr">
        <is>
          <t>Mateo</t>
        </is>
      </c>
      <c r="D98" s="75" t="inlineStr">
        <is>
          <t>Fire Lord Azula</t>
        </is>
      </c>
      <c r="E98" s="76" t="n">
        <v>3.6</v>
      </c>
      <c r="F98" s="75" t="n">
        <v>0</v>
      </c>
      <c r="G98" s="75" t="n">
        <v>3</v>
      </c>
      <c r="H98" s="75" t="n">
        <v>3</v>
      </c>
      <c r="I98" s="75" t="n">
        <v>0</v>
      </c>
      <c r="J98" s="75">
        <f>F98-(1/H98)</f>
        <v/>
      </c>
      <c r="K98" s="75">
        <f>((I98-((H98-1)/H98))-(-5/6))/((5-(5/6))-(-5/6))</f>
        <v/>
      </c>
      <c r="L98" s="75">
        <f>E98-((E96+E97)/2)</f>
        <v/>
      </c>
      <c r="M98" s="78">
        <f>0.5 + (L98 * 0.09)</f>
        <v/>
      </c>
      <c r="N98" s="75">
        <f>((H98-(G98-1))/H98)*(IF(I98&lt;&gt;0,(I98+H98)/H98,1))</f>
        <v/>
      </c>
      <c r="O98" s="79">
        <f>(N98-(1/6))/(10/6)</f>
        <v/>
      </c>
      <c r="P98" s="75" t="n">
        <v>8</v>
      </c>
      <c r="Q98" s="79">
        <f>IF(F98=1,(((1-((P98-3)/15))*0.5)+0.5),((P98/18)*0.5))</f>
        <v/>
      </c>
      <c r="R98" s="75" t="n">
        <v>1</v>
      </c>
      <c r="S98" s="75" t="n">
        <v>0</v>
      </c>
      <c r="T98" s="75" t="n">
        <v>0</v>
      </c>
      <c r="U98" s="79">
        <f>IFERROR(T98/S98, 1)</f>
        <v/>
      </c>
      <c r="V98" s="80" t="n">
        <v>0</v>
      </c>
      <c r="W98" s="77" t="n">
        <v>3</v>
      </c>
      <c r="X98" s="85">
        <f>((O98*0.3)+(Q98*0.175)+(R98*0.175)+(U98*0.175)+((1-V98)*0.175))+W98</f>
        <v/>
      </c>
    </row>
    <row r="99" ht="14.25" customHeight="1" s="52">
      <c r="A99" s="93" t="n">
        <v>46192</v>
      </c>
      <c r="B99" s="51" t="n">
        <v>22</v>
      </c>
      <c r="C99" s="51" t="inlineStr">
        <is>
          <t>Mateo</t>
        </is>
      </c>
      <c r="D99" s="51" t="inlineStr">
        <is>
          <t>Quintorius, History Chaser</t>
        </is>
      </c>
      <c r="E99" s="68" t="n">
        <v>2.3</v>
      </c>
      <c r="F99" s="51" t="n">
        <v>1</v>
      </c>
      <c r="G99" s="51" t="n">
        <v>1</v>
      </c>
      <c r="H99" s="51" t="n">
        <v>5</v>
      </c>
      <c r="I99" s="51" t="n">
        <v>4</v>
      </c>
      <c r="J99" s="51">
        <f>F99-(1/H99)</f>
        <v/>
      </c>
      <c r="K99" s="51">
        <f>((I99-((H99-1)/H99))-(-5/6))/((5-(5/6))-(-5/6))</f>
        <v/>
      </c>
      <c r="L99" s="87">
        <f>E99-((E100+E101+E102+E103)/4)</f>
        <v/>
      </c>
      <c r="M99" s="94">
        <f>0.5 + (L99 * 0.09)</f>
        <v/>
      </c>
      <c r="N99" s="51">
        <f>((H99-(G99-1))/H99)*(IF(I99&lt;&gt;0,(I99+H99)/H99,1))</f>
        <v/>
      </c>
      <c r="O99" s="71">
        <f>(N99-(1/6))/(10/6)</f>
        <v/>
      </c>
      <c r="P99" s="51" t="n">
        <v>12</v>
      </c>
      <c r="Q99" s="71">
        <f>IF(F99=1,(((1-((P99-3)/15))*0.5)+0.5),((P99/18)*0.5))</f>
        <v/>
      </c>
      <c r="R99" s="51" t="n">
        <v>1</v>
      </c>
      <c r="S99" s="51" t="n">
        <v>4</v>
      </c>
      <c r="T99" s="51" t="n">
        <v>3</v>
      </c>
      <c r="U99" s="71">
        <f>IFERROR(T99/S99, 1)</f>
        <v/>
      </c>
      <c r="V99" s="72" t="n">
        <v>0</v>
      </c>
      <c r="W99" s="69" t="n">
        <v>2</v>
      </c>
      <c r="X99" s="82">
        <f>((O99*0.3)+(Q99*0.175)+(R99*0.175)+(U99*0.175)+((1-V99)*0.175))+W99</f>
        <v/>
      </c>
    </row>
    <row r="100" ht="14.25" customHeight="1" s="52">
      <c r="A100" s="93" t="n">
        <v>46192</v>
      </c>
      <c r="B100" s="51" t="n">
        <v>22</v>
      </c>
      <c r="C100" s="51" t="inlineStr">
        <is>
          <t>Kristy</t>
        </is>
      </c>
      <c r="D100" s="51" t="inlineStr">
        <is>
          <t>Edgar Markov</t>
        </is>
      </c>
      <c r="E100" s="68" t="n">
        <v>3.6</v>
      </c>
      <c r="F100" s="51" t="n">
        <v>0</v>
      </c>
      <c r="G100" s="51" t="n">
        <v>2</v>
      </c>
      <c r="H100" s="51" t="n">
        <v>5</v>
      </c>
      <c r="I100" s="51" t="n">
        <v>0</v>
      </c>
      <c r="J100" s="51">
        <f>F100-(1/H100)</f>
        <v/>
      </c>
      <c r="K100" s="51">
        <f>((I100-((H100-1)/H100))-(-5/6))/((5-(5/6))-(-5/6))</f>
        <v/>
      </c>
      <c r="L100" s="51">
        <f>E100-((E99+E101+E102+E103)/4)</f>
        <v/>
      </c>
      <c r="M100" s="70">
        <f>0.5 + (L100 * 0.09)</f>
        <v/>
      </c>
      <c r="N100" s="51">
        <f>((H100-(G100-1))/H100)*(IF(I100&lt;&gt;0,(I100+H100)/H100,1))</f>
        <v/>
      </c>
      <c r="O100" s="71">
        <f>(N100-(1/6))/(10/6)</f>
        <v/>
      </c>
      <c r="P100" s="51" t="n">
        <v>12</v>
      </c>
      <c r="Q100" s="71">
        <f>IF(F100=1,(((1-((P100-3)/15))*0.5)+0.5),((P100/18)*0.5))</f>
        <v/>
      </c>
      <c r="R100" s="51" t="n">
        <v>1</v>
      </c>
      <c r="S100" s="51" t="n">
        <v>2</v>
      </c>
      <c r="T100" s="51" t="n">
        <v>1</v>
      </c>
      <c r="U100" s="71">
        <f>IFERROR(T100/S100, 1)</f>
        <v/>
      </c>
      <c r="V100" s="72" t="n">
        <v>0</v>
      </c>
      <c r="W100" s="69" t="n">
        <v>3</v>
      </c>
      <c r="X100" s="82">
        <f>((O100*0.3)+(Q100*0.175)+(R100*0.175)+(U100*0.175)+((1-V100)*0.175))+W100</f>
        <v/>
      </c>
    </row>
    <row r="101" ht="14.25" customHeight="1" s="52">
      <c r="A101" s="93" t="n">
        <v>46192</v>
      </c>
      <c r="B101" s="51" t="n">
        <v>22</v>
      </c>
      <c r="C101" s="51" t="inlineStr">
        <is>
          <t>Ryan</t>
        </is>
      </c>
      <c r="D101" s="51" t="inlineStr">
        <is>
          <t>Rootha, Mastering the Moment</t>
        </is>
      </c>
      <c r="E101" s="68" t="n">
        <v>3</v>
      </c>
      <c r="F101" s="51" t="n">
        <v>0</v>
      </c>
      <c r="G101" s="51" t="n">
        <v>3</v>
      </c>
      <c r="H101" s="51" t="n">
        <v>5</v>
      </c>
      <c r="I101" s="51" t="n">
        <v>0</v>
      </c>
      <c r="J101" s="51">
        <f>F101-(1/H101)</f>
        <v/>
      </c>
      <c r="K101" s="51">
        <f>((I101-((H101-1)/H101))-(-5/6))/((5-(5/6))-(-5/6))</f>
        <v/>
      </c>
      <c r="L101" s="51">
        <f>E101-((E99+E100+E102+E103)/4)</f>
        <v/>
      </c>
      <c r="M101" s="70">
        <f>0.5 + (L101 * 0.09)</f>
        <v/>
      </c>
      <c r="N101" s="51">
        <f>((H101-(G101-1))/H101)*(IF(I101&lt;&gt;0,(I101+H101)/H101,1))</f>
        <v/>
      </c>
      <c r="O101" s="71">
        <f>(N101-(1/6))/(10/6)</f>
        <v/>
      </c>
      <c r="P101" s="51" t="n">
        <v>11</v>
      </c>
      <c r="Q101" s="71">
        <f>IF(F101=1,(((1-((P101-3)/15))*0.5)+0.5),((P101/18)*0.5))</f>
        <v/>
      </c>
      <c r="R101" s="51" t="n">
        <v>1</v>
      </c>
      <c r="S101" s="51" t="n">
        <v>2</v>
      </c>
      <c r="T101" s="51" t="n">
        <v>2</v>
      </c>
      <c r="U101" s="71">
        <f>IFERROR(T101/S101, 1)</f>
        <v/>
      </c>
      <c r="V101" s="72" t="n">
        <v>0</v>
      </c>
      <c r="W101" s="69" t="n">
        <v>3</v>
      </c>
      <c r="X101" s="82">
        <f>((O101*0.3)+(Q101*0.175)+(R101*0.175)+(U101*0.175)+((1-V101)*0.175))+W101</f>
        <v/>
      </c>
    </row>
    <row r="102" ht="14.25" customHeight="1" s="52">
      <c r="A102" s="93" t="n">
        <v>46192</v>
      </c>
      <c r="B102" s="51" t="n">
        <v>22</v>
      </c>
      <c r="C102" s="51" t="inlineStr">
        <is>
          <t>Manny</t>
        </is>
      </c>
      <c r="D102" s="51" t="inlineStr">
        <is>
          <t>Ureni of the Unwritten</t>
        </is>
      </c>
      <c r="E102" s="68" t="n">
        <v>2</v>
      </c>
      <c r="F102" s="51" t="n">
        <v>0</v>
      </c>
      <c r="G102" s="51" t="n">
        <v>3</v>
      </c>
      <c r="H102" s="51" t="n">
        <v>5</v>
      </c>
      <c r="I102" s="51" t="n">
        <v>0</v>
      </c>
      <c r="J102" s="51">
        <f>F102-(1/H102)</f>
        <v/>
      </c>
      <c r="K102" s="51">
        <f>((I102-((H102-1)/H102))-(-5/6))/((5-(5/6))-(-5/6))</f>
        <v/>
      </c>
      <c r="L102" s="51">
        <f>E102-((E99+E100+E101+E103)/4)</f>
        <v/>
      </c>
      <c r="M102" s="70">
        <f>0.5 + (L102 * 0.09)</f>
        <v/>
      </c>
      <c r="N102" s="51">
        <f>((H102-(G102-1))/H102)*(IF(I102&lt;&gt;0,(I102+H102)/H102,1))</f>
        <v/>
      </c>
      <c r="O102" s="71">
        <f>(N102-(1/6))/(10/6)</f>
        <v/>
      </c>
      <c r="P102" s="51" t="n">
        <v>11</v>
      </c>
      <c r="Q102" s="71">
        <f>IF(F102=1,(((1-((P102-3)/15))*0.5)+0.5),((P102/18)*0.5))</f>
        <v/>
      </c>
      <c r="R102" s="51" t="n">
        <v>1</v>
      </c>
      <c r="S102" s="51" t="n">
        <v>3</v>
      </c>
      <c r="T102" s="51" t="n">
        <v>2</v>
      </c>
      <c r="U102" s="71">
        <f>IFERROR(T102/S102, 1)</f>
        <v/>
      </c>
      <c r="V102" s="72" t="n">
        <v>0</v>
      </c>
      <c r="W102" s="69" t="n">
        <v>2</v>
      </c>
      <c r="X102" s="82">
        <f>((O102*0.3)+(Q102*0.175)+(R102*0.175)+(U102*0.175)+((1-V102)*0.175))+W102</f>
        <v/>
      </c>
    </row>
    <row r="103" ht="14.25" customHeight="1" s="52">
      <c r="A103" s="92" t="n">
        <v>46192</v>
      </c>
      <c r="B103" s="75" t="n">
        <v>22</v>
      </c>
      <c r="C103" s="75" t="inlineStr">
        <is>
          <t>Becca</t>
        </is>
      </c>
      <c r="D103" s="75" t="inlineStr">
        <is>
          <t>Ms. Bumbleflower</t>
        </is>
      </c>
      <c r="E103" s="76" t="n">
        <v>2.9</v>
      </c>
      <c r="F103" s="75" t="n">
        <v>0</v>
      </c>
      <c r="G103" s="75" t="n">
        <v>3</v>
      </c>
      <c r="H103" s="75" t="n">
        <v>5</v>
      </c>
      <c r="I103" s="75" t="n">
        <v>0</v>
      </c>
      <c r="J103" s="75">
        <f>F103-(1/H103)</f>
        <v/>
      </c>
      <c r="K103" s="75">
        <f>((I103-((H103-1)/H103))-(-5/6))/((5-(5/6))-(-5/6))</f>
        <v/>
      </c>
      <c r="L103" s="75">
        <f>E103-((E99+E100+E101+E102)/4)</f>
        <v/>
      </c>
      <c r="M103" s="78">
        <f>0.5 + (L103 * 0.09)</f>
        <v/>
      </c>
      <c r="N103" s="75">
        <f>((H103-(G103-1))/H103)*(IF(I103&lt;&gt;0,(I103+H103)/H103,1))</f>
        <v/>
      </c>
      <c r="O103" s="79">
        <f>(N103-(1/6))/(10/6)</f>
        <v/>
      </c>
      <c r="P103" s="75" t="n">
        <v>11</v>
      </c>
      <c r="Q103" s="79">
        <f>IF(F103=1,(((1-((P103-3)/15))*0.5)+0.5),((P103/18)*0.5))</f>
        <v/>
      </c>
      <c r="R103" s="75" t="n">
        <v>1</v>
      </c>
      <c r="S103" s="75" t="n">
        <v>3</v>
      </c>
      <c r="T103" s="75" t="n">
        <v>2</v>
      </c>
      <c r="U103" s="79">
        <f>IFERROR(T103/S103, 1)</f>
        <v/>
      </c>
      <c r="V103" s="80" t="n">
        <v>0</v>
      </c>
      <c r="W103" s="77" t="n">
        <v>2</v>
      </c>
      <c r="X103" s="85">
        <f>((O103*0.3)+(Q103*0.175)+(R103*0.175)+(U103*0.175)+((1-V103)*0.175))+W103</f>
        <v/>
      </c>
    </row>
    <row r="104" ht="14.25" customHeight="1" s="52">
      <c r="A104" s="93" t="n">
        <v>46197</v>
      </c>
      <c r="B104" s="51" t="n">
        <v>23</v>
      </c>
      <c r="C104" s="51" t="inlineStr">
        <is>
          <t>Ryan</t>
        </is>
      </c>
      <c r="D104" s="51" t="inlineStr">
        <is>
          <t>Rootha, Mastering the Moment</t>
        </is>
      </c>
      <c r="E104" s="68" t="n">
        <v>3.7</v>
      </c>
      <c r="F104" s="51" t="n">
        <v>1</v>
      </c>
      <c r="G104" s="51" t="n">
        <v>1</v>
      </c>
      <c r="H104" s="51" t="n">
        <v>3</v>
      </c>
      <c r="I104" s="51" t="n">
        <v>1</v>
      </c>
      <c r="J104" s="51">
        <f>F104-(1/H104)</f>
        <v/>
      </c>
      <c r="K104" s="51">
        <f>((I104-((H104-1)/H104))-(-5/6))/((5-(5/6))-(-5/6))</f>
        <v/>
      </c>
      <c r="L104" s="68">
        <f>E104-((E105+E106)/2)</f>
        <v/>
      </c>
      <c r="M104" s="70">
        <f>0.5 + (L104 * 0.09)</f>
        <v/>
      </c>
      <c r="N104" s="51">
        <f>((H104-(G104-1))/H104)*(IF(I104&lt;&gt;0,(I104+H104)/H104,1))</f>
        <v/>
      </c>
      <c r="O104" s="71">
        <f>(N104-(1/6))/(10/6)</f>
        <v/>
      </c>
      <c r="P104" s="51" t="n">
        <v>11</v>
      </c>
      <c r="Q104" s="71">
        <f>IF(F104=1,(((1-((P104-3)/15))*0.5)+0.5),((P104/18)*0.5))</f>
        <v/>
      </c>
      <c r="R104" s="51" t="n">
        <v>1</v>
      </c>
      <c r="S104" s="51" t="n">
        <v>2</v>
      </c>
      <c r="T104" s="51" t="n">
        <v>0</v>
      </c>
      <c r="U104" s="71">
        <f>IFERROR(T104/S104, 1)</f>
        <v/>
      </c>
      <c r="V104" s="72" t="n">
        <v>0</v>
      </c>
      <c r="W104" s="69" t="n">
        <v>3</v>
      </c>
      <c r="X104" s="82">
        <f>((O104*0.3)+(Q104*0.175)+(R104*0.175)+(U104*0.175)+((1-V104)*0.175))+W104</f>
        <v/>
      </c>
    </row>
    <row r="105" ht="14.25" customHeight="1" s="52">
      <c r="A105" s="93" t="n">
        <v>46197</v>
      </c>
      <c r="B105" s="51" t="n">
        <v>23</v>
      </c>
      <c r="C105" s="51" t="inlineStr">
        <is>
          <t>Kristy</t>
        </is>
      </c>
      <c r="D105" s="51" t="inlineStr">
        <is>
          <t>Niv-Mizzet, Parun</t>
        </is>
      </c>
      <c r="E105" s="68" t="n">
        <v>3.9</v>
      </c>
      <c r="F105" s="51" t="n">
        <v>0</v>
      </c>
      <c r="G105" s="51" t="n">
        <v>2</v>
      </c>
      <c r="H105" s="51" t="n">
        <v>3</v>
      </c>
      <c r="I105" s="51" t="n">
        <v>1</v>
      </c>
      <c r="J105" s="51">
        <f>F105-(1/H105)</f>
        <v/>
      </c>
      <c r="K105" s="51">
        <f>((I105-((H105-1)/H105))-(-5/6))/((5-(5/6))-(-5/6))</f>
        <v/>
      </c>
      <c r="L105" s="51">
        <f>E105-((E104+E106)/2)</f>
        <v/>
      </c>
      <c r="M105" s="70">
        <f>0.5 + (L105 * 0.09)</f>
        <v/>
      </c>
      <c r="N105" s="51">
        <f>((H105-(G105-1))/H105)*(IF(I105&lt;&gt;0,(I105+H105)/H105,1))</f>
        <v/>
      </c>
      <c r="O105" s="71">
        <f>(N105-(1/6))/(10/6)</f>
        <v/>
      </c>
      <c r="P105" s="51" t="n">
        <v>11</v>
      </c>
      <c r="Q105" s="71">
        <f>IF(F105=1,(((1-((P105-3)/15))*0.5)+0.5),((P105/18)*0.5))</f>
        <v/>
      </c>
      <c r="R105" s="51" t="n">
        <v>0</v>
      </c>
      <c r="S105" s="51" t="n">
        <v>2</v>
      </c>
      <c r="T105" s="51" t="n">
        <v>0</v>
      </c>
      <c r="U105" s="71">
        <f>IFERROR(T105/S105, 1)</f>
        <v/>
      </c>
      <c r="V105" s="72" t="n">
        <v>0</v>
      </c>
      <c r="W105" s="69" t="n">
        <v>3</v>
      </c>
      <c r="X105" s="82">
        <f>((O105*0.3)+(Q105*0.175)+(R105*0.175)+(U105*0.175)+((1-V105)*0.175))+W105</f>
        <v/>
      </c>
    </row>
    <row r="106" ht="14.25" customHeight="1" s="52">
      <c r="A106" s="92" t="n">
        <v>46197</v>
      </c>
      <c r="B106" s="75" t="n">
        <v>23</v>
      </c>
      <c r="C106" s="75" t="inlineStr">
        <is>
          <t>Becca</t>
        </is>
      </c>
      <c r="D106" s="75" t="inlineStr">
        <is>
          <t>Killian, Decisive Mentor</t>
        </is>
      </c>
      <c r="E106" s="76" t="n">
        <v>2.6</v>
      </c>
      <c r="F106" s="75" t="n">
        <v>0</v>
      </c>
      <c r="G106" s="75" t="n">
        <v>3</v>
      </c>
      <c r="H106" s="75" t="n">
        <v>3</v>
      </c>
      <c r="I106" s="75" t="n">
        <v>0</v>
      </c>
      <c r="J106" s="75">
        <f>F106-(1/H106)</f>
        <v/>
      </c>
      <c r="K106" s="75">
        <f>((I106-((H106-1)/H106))-(-5/6))/((5-(5/6))-(-5/6))</f>
        <v/>
      </c>
      <c r="L106" s="75">
        <f>E106-((E104+E105)/2)</f>
        <v/>
      </c>
      <c r="M106" s="78">
        <f>0.5 + (L106 * 0.09)</f>
        <v/>
      </c>
      <c r="N106" s="75">
        <f>((H106-(G106-1))/H106)*(IF(I106&lt;&gt;0,(I106+H106)/H106,1))</f>
        <v/>
      </c>
      <c r="O106" s="79">
        <f>(N106-(1/6))/(10/6)</f>
        <v/>
      </c>
      <c r="P106" s="75" t="n">
        <v>8</v>
      </c>
      <c r="Q106" s="79">
        <f>IF(F106=1,(((1-((P106-3)/15))*0.5)+0.5),((P106/18)*0.5))</f>
        <v/>
      </c>
      <c r="R106" s="75" t="n">
        <v>1</v>
      </c>
      <c r="S106" s="75" t="n">
        <v>0</v>
      </c>
      <c r="T106" s="75" t="n">
        <v>0</v>
      </c>
      <c r="U106" s="79">
        <f>IFERROR(T106/S106, 1)</f>
        <v/>
      </c>
      <c r="V106" s="80" t="n">
        <v>0</v>
      </c>
      <c r="W106" s="77" t="n">
        <v>2</v>
      </c>
      <c r="X106" s="85">
        <f>((O106*0.3)+(Q106*0.175)+(R106*0.175)+(U106*0.175)+((1-V106)*0.175))+W106</f>
        <v/>
      </c>
    </row>
    <row r="107" ht="14.25" customHeight="1" s="52">
      <c r="A107" s="93" t="n">
        <v>46199</v>
      </c>
      <c r="B107" s="51" t="n">
        <v>24</v>
      </c>
      <c r="C107" s="51" t="inlineStr">
        <is>
          <t>Kristy</t>
        </is>
      </c>
      <c r="D107" s="51" t="inlineStr">
        <is>
          <t>Niv-Mizzet, Parun</t>
        </is>
      </c>
      <c r="E107" s="68" t="n">
        <v>3.4</v>
      </c>
      <c r="F107" s="51" t="n">
        <v>1</v>
      </c>
      <c r="G107" s="51" t="n">
        <v>1</v>
      </c>
      <c r="H107" s="51" t="n">
        <v>5</v>
      </c>
      <c r="I107" s="51" t="n">
        <v>2</v>
      </c>
      <c r="J107" s="51">
        <f>F107-(1/H107)</f>
        <v/>
      </c>
      <c r="K107" s="51">
        <f>((I107-((H107-1)/H107))-(-5/6))/((5-(5/6))-(-5/6))</f>
        <v/>
      </c>
      <c r="L107" s="87">
        <f>E107-((E108+E109+E110+E111)/4)</f>
        <v/>
      </c>
      <c r="M107" s="94">
        <f>0.5 + (L107 * 0.09)</f>
        <v/>
      </c>
      <c r="N107" s="51">
        <f>((H107-(G107-1))/H107)*(IF(I107&lt;&gt;0,(I107+H107)/H107,1))</f>
        <v/>
      </c>
      <c r="O107" s="71">
        <f>(N107-(1/6))/(10/6)</f>
        <v/>
      </c>
      <c r="P107" s="51" t="n">
        <v>9</v>
      </c>
      <c r="Q107" s="71">
        <f>IF(F107=1,(((1-((P107-3)/15))*0.5)+0.5),((P107/18)*0.5))</f>
        <v/>
      </c>
      <c r="R107" s="51" t="n">
        <v>1</v>
      </c>
      <c r="S107" s="51" t="n">
        <v>1</v>
      </c>
      <c r="T107" s="51" t="n">
        <v>1</v>
      </c>
      <c r="U107" s="71">
        <f>IFERROR(T107/S107, 1)</f>
        <v/>
      </c>
      <c r="V107" s="72" t="n">
        <v>0</v>
      </c>
      <c r="W107" s="69" t="n">
        <v>3</v>
      </c>
      <c r="X107" s="82">
        <f>((O107*0.3)+(Q107*0.175)+(R107*0.175)+(U107*0.175)+((1-V107)*0.175))+W107</f>
        <v/>
      </c>
    </row>
    <row r="108" ht="14.25" customHeight="1" s="52">
      <c r="A108" s="93" t="n">
        <v>46199</v>
      </c>
      <c r="B108" s="51" t="n">
        <v>24</v>
      </c>
      <c r="C108" s="51" t="inlineStr">
        <is>
          <t>Becca</t>
        </is>
      </c>
      <c r="D108" s="51" t="inlineStr">
        <is>
          <t>Killian, Decisive Mentor</t>
        </is>
      </c>
      <c r="E108" s="68" t="n">
        <v>2.6</v>
      </c>
      <c r="F108" s="51" t="n">
        <v>0</v>
      </c>
      <c r="G108" s="51" t="n">
        <v>2</v>
      </c>
      <c r="H108" s="51" t="n">
        <v>5</v>
      </c>
      <c r="I108" s="51" t="n">
        <v>1</v>
      </c>
      <c r="J108" s="51">
        <f>F108-(1/H108)</f>
        <v/>
      </c>
      <c r="K108" s="51">
        <f>((I108-((H108-1)/H108))-(-5/6))/((5-(5/6))-(-5/6))</f>
        <v/>
      </c>
      <c r="L108" s="51">
        <f>E108-((E107+E109+E110+E111)/4)</f>
        <v/>
      </c>
      <c r="M108" s="70">
        <f>0.5 + (L108 * 0.09)</f>
        <v/>
      </c>
      <c r="N108" s="51">
        <f>((H108-(G108-1))/H108)*(IF(I108&lt;&gt;0,(I108+H108)/H108,1))</f>
        <v/>
      </c>
      <c r="O108" s="71">
        <f>(N108-(1/6))/(10/6)</f>
        <v/>
      </c>
      <c r="P108" s="51" t="n">
        <v>9</v>
      </c>
      <c r="Q108" s="71">
        <f>IF(F108=1,(((1-((P108-3)/15))*0.5)+0.5),((P108/18)*0.5))</f>
        <v/>
      </c>
      <c r="R108" s="51" t="n">
        <v>1</v>
      </c>
      <c r="S108" s="51" t="n">
        <v>1</v>
      </c>
      <c r="T108" s="51" t="n">
        <v>1</v>
      </c>
      <c r="U108" s="71">
        <f>IFERROR(T108/S108, 1)</f>
        <v/>
      </c>
      <c r="V108" s="72" t="n">
        <v>0</v>
      </c>
      <c r="W108" s="69" t="n">
        <v>2</v>
      </c>
      <c r="X108" s="82">
        <f>((O108*0.3)+(Q108*0.175)+(R108*0.175)+(U108*0.175)+((1-V108)*0.175))+W108</f>
        <v/>
      </c>
    </row>
    <row r="109" ht="14.25" customHeight="1" s="52">
      <c r="A109" s="93" t="n">
        <v>46199</v>
      </c>
      <c r="B109" s="51" t="n">
        <v>24</v>
      </c>
      <c r="C109" s="51" t="inlineStr">
        <is>
          <t>Manny</t>
        </is>
      </c>
      <c r="D109" s="51" t="inlineStr">
        <is>
          <t>Aragorn, the Uniter</t>
        </is>
      </c>
      <c r="E109" s="68" t="n">
        <v>3</v>
      </c>
      <c r="F109" s="51" t="n">
        <v>0</v>
      </c>
      <c r="G109" s="51" t="n">
        <v>3</v>
      </c>
      <c r="H109" s="51" t="n">
        <v>5</v>
      </c>
      <c r="I109" s="51" t="n">
        <v>1</v>
      </c>
      <c r="J109" s="51">
        <f>F109-(1/H109)</f>
        <v/>
      </c>
      <c r="K109" s="51">
        <f>((I109-((H109-1)/H109))-(-5/6))/((5-(5/6))-(-5/6))</f>
        <v/>
      </c>
      <c r="L109" s="51">
        <f>E109-((E107+E108+E110+E111)/4)</f>
        <v/>
      </c>
      <c r="M109" s="70">
        <f>0.5 + (L109 * 0.09)</f>
        <v/>
      </c>
      <c r="N109" s="51">
        <f>((H109-(G109-1))/H109)*(IF(I109&lt;&gt;0,(I109+H109)/H109,1))</f>
        <v/>
      </c>
      <c r="O109" s="71">
        <f>(N109-(1/6))/(10/6)</f>
        <v/>
      </c>
      <c r="P109" s="51" t="n">
        <v>9</v>
      </c>
      <c r="Q109" s="71">
        <f>IF(F109=1,(((1-((P109-3)/15))*0.5)+0.5),((P109/18)*0.5))</f>
        <v/>
      </c>
      <c r="R109" s="51" t="n">
        <v>1</v>
      </c>
      <c r="S109" s="51" t="n">
        <v>1</v>
      </c>
      <c r="T109" s="51" t="n">
        <v>0</v>
      </c>
      <c r="U109" s="71">
        <f>IFERROR(T109/S109, 1)</f>
        <v/>
      </c>
      <c r="V109" s="72" t="n">
        <v>0</v>
      </c>
      <c r="W109" s="69" t="n">
        <v>3</v>
      </c>
      <c r="X109" s="82">
        <f>((O109*0.3)+(Q109*0.175)+(R109*0.175)+(U109*0.175)+((1-V109)*0.175))+W109</f>
        <v/>
      </c>
    </row>
    <row r="110" ht="14.25" customHeight="1" s="52">
      <c r="A110" s="93" t="n">
        <v>46199</v>
      </c>
      <c r="B110" s="51" t="n">
        <v>24</v>
      </c>
      <c r="C110" s="51" t="inlineStr">
        <is>
          <t>Ryan</t>
        </is>
      </c>
      <c r="D110" s="51" t="inlineStr">
        <is>
          <t>Preston Garvey, Minuteman</t>
        </is>
      </c>
      <c r="E110" s="68" t="n">
        <v>3.7</v>
      </c>
      <c r="F110" s="51" t="n">
        <v>0</v>
      </c>
      <c r="G110" s="51" t="n">
        <v>4</v>
      </c>
      <c r="H110" s="51" t="n">
        <v>5</v>
      </c>
      <c r="I110" s="51" t="n">
        <v>0</v>
      </c>
      <c r="J110" s="51">
        <f>F110-(1/H110)</f>
        <v/>
      </c>
      <c r="K110" s="51">
        <f>((I110-((H110-1)/H110))-(-5/6))/((5-(5/6))-(-5/6))</f>
        <v/>
      </c>
      <c r="L110" s="51">
        <f>E110-((E107+E108+E109+E111)/4)</f>
        <v/>
      </c>
      <c r="M110" s="70">
        <f>0.5 + (L110 * 0.09)</f>
        <v/>
      </c>
      <c r="N110" s="51">
        <f>((H110-(G110-1))/H110)*(IF(I110&lt;&gt;0,(I110+H110)/H110,1))</f>
        <v/>
      </c>
      <c r="O110" s="71">
        <f>(N110-(1/6))/(10/6)</f>
        <v/>
      </c>
      <c r="P110" s="51" t="n">
        <v>9</v>
      </c>
      <c r="Q110" s="71">
        <f>IF(F110=1,(((1-((P110-3)/15))*0.5)+0.5),((P110/18)*0.5))</f>
        <v/>
      </c>
      <c r="R110" s="51" t="n">
        <v>1</v>
      </c>
      <c r="S110" s="51" t="n">
        <v>2</v>
      </c>
      <c r="T110" s="51" t="n">
        <v>1</v>
      </c>
      <c r="U110" s="71">
        <f>IFERROR(T110/S110, 1)</f>
        <v/>
      </c>
      <c r="V110" s="72" t="n">
        <v>0</v>
      </c>
      <c r="W110" s="69" t="n">
        <v>3</v>
      </c>
      <c r="X110" s="82">
        <f>((O110*0.3)+(Q110*0.175)+(R110*0.175)+(U110*0.175)+((1-V110)*0.175))+W110</f>
        <v/>
      </c>
    </row>
    <row r="111" ht="14.25" customHeight="1" s="52">
      <c r="A111" s="92" t="n">
        <v>46199</v>
      </c>
      <c r="B111" s="75" t="n">
        <v>24</v>
      </c>
      <c r="C111" s="75" t="inlineStr">
        <is>
          <t>Mateo</t>
        </is>
      </c>
      <c r="D111" s="75" t="inlineStr">
        <is>
          <t>Captain America, Team Leader</t>
        </is>
      </c>
      <c r="E111" s="76" t="n">
        <v>3</v>
      </c>
      <c r="F111" s="75" t="n">
        <v>0</v>
      </c>
      <c r="G111" s="75" t="n">
        <v>5</v>
      </c>
      <c r="H111" s="75" t="n">
        <v>5</v>
      </c>
      <c r="I111" s="75" t="n">
        <v>0</v>
      </c>
      <c r="J111" s="75">
        <f>F111-(1/H111)</f>
        <v/>
      </c>
      <c r="K111" s="75">
        <f>((I111-((H111-1)/H111))-(-5/6))/((5-(5/6))-(-5/6))</f>
        <v/>
      </c>
      <c r="L111" s="75">
        <f>E111-((E107+E108+E109+E110)/4)</f>
        <v/>
      </c>
      <c r="M111" s="78">
        <f>0.5 + (L111 * 0.09)</f>
        <v/>
      </c>
      <c r="N111" s="75">
        <f>((H111-(G111-1))/H111)*(IF(I111&lt;&gt;0,(I111+H111)/H111,1))</f>
        <v/>
      </c>
      <c r="O111" s="79">
        <f>(N111-(1/6))/(10/6)</f>
        <v/>
      </c>
      <c r="P111" s="75" t="n">
        <v>7</v>
      </c>
      <c r="Q111" s="79">
        <f>IF(F111=1,(((1-((P111-3)/15))*0.5)+0.5),((P111/18)*0.5))</f>
        <v/>
      </c>
      <c r="R111" s="75" t="n">
        <v>1</v>
      </c>
      <c r="S111" s="75" t="n">
        <v>1</v>
      </c>
      <c r="T111" s="75" t="n">
        <v>0</v>
      </c>
      <c r="U111" s="79">
        <f>IFERROR(T111/S111, 1)</f>
        <v/>
      </c>
      <c r="V111" s="80" t="n">
        <v>0</v>
      </c>
      <c r="W111" s="77" t="n">
        <v>3</v>
      </c>
      <c r="X111" s="85">
        <f>((O111*0.3)+(Q111*0.175)+(R111*0.175)+(U111*0.175)+((1-V111)*0.175))+W111</f>
        <v/>
      </c>
    </row>
    <row r="112" ht="14.25" customHeight="1" s="52">
      <c r="A112" s="93" t="n">
        <v>46199</v>
      </c>
      <c r="B112" s="51" t="n">
        <v>25</v>
      </c>
      <c r="C112" s="51" t="inlineStr">
        <is>
          <t>Becca</t>
        </is>
      </c>
      <c r="D112" s="51" t="inlineStr">
        <is>
          <t>Ms. Bumbleflower</t>
        </is>
      </c>
      <c r="E112" s="68" t="n">
        <v>2.6</v>
      </c>
      <c r="F112" s="51" t="n">
        <v>1</v>
      </c>
      <c r="G112" s="51" t="n">
        <v>1</v>
      </c>
      <c r="H112" s="51" t="n">
        <v>5</v>
      </c>
      <c r="I112" s="51" t="n">
        <v>2</v>
      </c>
      <c r="J112" s="51">
        <f>F112-(1/H112)</f>
        <v/>
      </c>
      <c r="K112" s="51">
        <f>((I112-((H112-1)/H112))-(-5/6))/((5-(5/6))-(-5/6))</f>
        <v/>
      </c>
      <c r="L112" s="87">
        <f>E112-((E113+E114+E115+E116)/4)</f>
        <v/>
      </c>
      <c r="M112" s="94">
        <f>0.5 + (L112 * 0.09)</f>
        <v/>
      </c>
      <c r="N112" s="51">
        <f>((H112-(G112-1))/H112)*(IF(I112&lt;&gt;0,(I112+H112)/H112,1))</f>
        <v/>
      </c>
      <c r="O112" s="71">
        <f>(N112-(1/6))/(10/6)</f>
        <v/>
      </c>
      <c r="P112" s="51" t="n">
        <v>9</v>
      </c>
      <c r="Q112" s="71">
        <f>IF(F112=1,(((1-((P112-3)/15))*0.5)+0.5),((P112/18)*0.5))</f>
        <v/>
      </c>
      <c r="R112" s="51" t="n">
        <v>1</v>
      </c>
      <c r="S112" s="51" t="n">
        <v>0</v>
      </c>
      <c r="T112" s="51" t="n">
        <v>0</v>
      </c>
      <c r="U112" s="71">
        <f>IFERROR(T112/S112, 1)</f>
        <v/>
      </c>
      <c r="V112" s="72" t="n">
        <v>0</v>
      </c>
      <c r="W112" s="69" t="n">
        <v>2</v>
      </c>
      <c r="X112" s="82">
        <f>((O112*0.3)+(Q112*0.175)+(R112*0.175)+(U112*0.175)+((1-V112)*0.175))+W112</f>
        <v/>
      </c>
    </row>
    <row r="113" ht="14.25" customHeight="1" s="52">
      <c r="A113" s="93" t="n">
        <v>46199</v>
      </c>
      <c r="B113" s="51" t="n">
        <v>25</v>
      </c>
      <c r="C113" s="51" t="inlineStr">
        <is>
          <t>Mateo</t>
        </is>
      </c>
      <c r="D113" s="51" t="inlineStr">
        <is>
          <t>Captain America, Team Leader</t>
        </is>
      </c>
      <c r="E113" s="68" t="n">
        <v>3.4</v>
      </c>
      <c r="F113" s="51" t="n">
        <v>0</v>
      </c>
      <c r="G113" s="51" t="n">
        <v>2</v>
      </c>
      <c r="H113" s="51" t="n">
        <v>5</v>
      </c>
      <c r="I113" s="51" t="n">
        <v>1</v>
      </c>
      <c r="J113" s="51">
        <f>F113-(1/H113)</f>
        <v/>
      </c>
      <c r="K113" s="51">
        <f>((I113-((H113-1)/H113))-(-5/6))/((5-(5/6))-(-5/6))</f>
        <v/>
      </c>
      <c r="L113" s="51">
        <f>E113-((E112+E114+E115+E116)/4)</f>
        <v/>
      </c>
      <c r="M113" s="70">
        <f>0.5 + (L113 * 0.09)</f>
        <v/>
      </c>
      <c r="N113" s="51">
        <f>((H113-(G113-1))/H113)*(IF(I113&lt;&gt;0,(I113+H113)/H113,1))</f>
        <v/>
      </c>
      <c r="O113" s="71">
        <f>(N113-(1/6))/(10/6)</f>
        <v/>
      </c>
      <c r="P113" s="51" t="n">
        <v>9</v>
      </c>
      <c r="Q113" s="71">
        <f>IF(F113=1,(((1-((P113-3)/15))*0.5)+0.5),((P113/18)*0.5))</f>
        <v/>
      </c>
      <c r="R113" s="51" t="n">
        <v>1</v>
      </c>
      <c r="S113" s="51" t="n">
        <v>1</v>
      </c>
      <c r="T113" s="51" t="n">
        <v>1</v>
      </c>
      <c r="U113" s="71">
        <f>IFERROR(T113/S113, 1)</f>
        <v/>
      </c>
      <c r="V113" s="72" t="n">
        <v>0</v>
      </c>
      <c r="W113" s="69" t="n">
        <v>3</v>
      </c>
      <c r="X113" s="82">
        <f>((O113*0.3)+(Q113*0.175)+(R113*0.175)+(U113*0.175)+((1-V113)*0.175))+W113</f>
        <v/>
      </c>
    </row>
    <row r="114" ht="14.25" customHeight="1" s="52">
      <c r="A114" s="93" t="n">
        <v>46199</v>
      </c>
      <c r="B114" s="51" t="n">
        <v>25</v>
      </c>
      <c r="C114" s="51" t="inlineStr">
        <is>
          <t>Ryan</t>
        </is>
      </c>
      <c r="D114" s="51" t="inlineStr">
        <is>
          <t>Rootha, Mastering the Moment</t>
        </is>
      </c>
      <c r="E114" s="68" t="n">
        <v>3.7</v>
      </c>
      <c r="F114" s="51" t="n">
        <v>0</v>
      </c>
      <c r="G114" s="51" t="n">
        <v>2</v>
      </c>
      <c r="H114" s="51" t="n">
        <v>5</v>
      </c>
      <c r="I114" s="51" t="n">
        <v>0</v>
      </c>
      <c r="J114" s="51">
        <f>F114-(1/H114)</f>
        <v/>
      </c>
      <c r="K114" s="51">
        <f>((I114-((H114-1)/H114))-(-5/6))/((5-(5/6))-(-5/6))</f>
        <v/>
      </c>
      <c r="L114" s="51">
        <f>E114-((E112+E113+E115+E116)/4)</f>
        <v/>
      </c>
      <c r="M114" s="70">
        <f>0.5 + (L114 * 0.09)</f>
        <v/>
      </c>
      <c r="N114" s="51">
        <f>((H114-(G114-1))/H114)*(IF(I114&lt;&gt;0,(I114+H114)/H114,1))</f>
        <v/>
      </c>
      <c r="O114" s="71">
        <f>(N114-(1/6))/(10/6)</f>
        <v/>
      </c>
      <c r="P114" s="51" t="n">
        <v>9</v>
      </c>
      <c r="Q114" s="71">
        <f>IF(F114=1,(((1-((P114-3)/15))*0.5)+0.5),((P114/18)*0.5))</f>
        <v/>
      </c>
      <c r="R114" s="51" t="n">
        <v>1</v>
      </c>
      <c r="S114" s="51" t="n">
        <v>0</v>
      </c>
      <c r="T114" s="51" t="n">
        <v>0</v>
      </c>
      <c r="U114" s="71">
        <f>IFERROR(T114/S114, 1)</f>
        <v/>
      </c>
      <c r="V114" s="72" t="n">
        <v>0</v>
      </c>
      <c r="W114" s="69" t="n">
        <v>3</v>
      </c>
      <c r="X114" s="82">
        <f>((O114*0.3)+(Q114*0.175)+(R114*0.175)+(U114*0.175)+((1-V114)*0.175))+W114</f>
        <v/>
      </c>
    </row>
    <row r="115" ht="14.25" customHeight="1" s="52">
      <c r="A115" s="93" t="n">
        <v>46199</v>
      </c>
      <c r="B115" s="51" t="n">
        <v>25</v>
      </c>
      <c r="C115" s="51" t="inlineStr">
        <is>
          <t>Manny</t>
        </is>
      </c>
      <c r="D115" s="51" t="inlineStr">
        <is>
          <t>Galadriel, Light of Valinor</t>
        </is>
      </c>
      <c r="E115" s="68" t="n">
        <v>3.7</v>
      </c>
      <c r="F115" s="51" t="n">
        <v>0</v>
      </c>
      <c r="G115" s="51" t="n">
        <v>3</v>
      </c>
      <c r="H115" s="51" t="n">
        <v>5</v>
      </c>
      <c r="I115" s="51" t="n">
        <v>0</v>
      </c>
      <c r="J115" s="51">
        <f>F115-(1/H115)</f>
        <v/>
      </c>
      <c r="K115" s="51">
        <f>((I115-((H115-1)/H115))-(-5/6))/((5-(5/6))-(-5/6))</f>
        <v/>
      </c>
      <c r="L115" s="51">
        <f>E115-((E112+E113+E114+E116)/4)</f>
        <v/>
      </c>
      <c r="M115" s="70">
        <f>0.5 + (L115 * 0.09)</f>
        <v/>
      </c>
      <c r="N115" s="51">
        <f>((H115-(G115-1))/H115)*(IF(I115&lt;&gt;0,(I115+H115)/H115,1))</f>
        <v/>
      </c>
      <c r="O115" s="71">
        <f>(N115-(1/6))/(10/6)</f>
        <v/>
      </c>
      <c r="P115" s="51" t="n">
        <v>9</v>
      </c>
      <c r="Q115" s="71">
        <f>IF(F115=1,(((1-((P115-3)/15))*0.5)+0.5),((P115/18)*0.5))</f>
        <v/>
      </c>
      <c r="R115" s="51" t="n">
        <v>1</v>
      </c>
      <c r="S115" s="51" t="n">
        <v>0</v>
      </c>
      <c r="T115" s="51" t="n">
        <v>0</v>
      </c>
      <c r="U115" s="71">
        <f>IFERROR(T115/S115, 1)</f>
        <v/>
      </c>
      <c r="V115" s="72" t="n">
        <v>0</v>
      </c>
      <c r="W115" s="69" t="n">
        <v>3</v>
      </c>
      <c r="X115" s="82">
        <f>((O115*0.3)+(Q115*0.175)+(R115*0.175)+(U115*0.175)+((1-V115)*0.175))+W115</f>
        <v/>
      </c>
    </row>
    <row r="116" ht="14.25" customHeight="1" s="52">
      <c r="A116" s="92" t="n">
        <v>46199</v>
      </c>
      <c r="B116" s="75" t="n">
        <v>25</v>
      </c>
      <c r="C116" s="75" t="inlineStr">
        <is>
          <t>Kristy</t>
        </is>
      </c>
      <c r="D116" s="75" t="inlineStr">
        <is>
          <t>Auntie Ool, Cursewretch</t>
        </is>
      </c>
      <c r="E116" s="76" t="n">
        <v>3.7</v>
      </c>
      <c r="F116" s="75" t="n">
        <v>0</v>
      </c>
      <c r="G116" s="75" t="n">
        <v>4</v>
      </c>
      <c r="H116" s="75" t="n">
        <v>5</v>
      </c>
      <c r="I116" s="75" t="n">
        <v>0</v>
      </c>
      <c r="J116" s="75">
        <f>F116-(1/H116)</f>
        <v/>
      </c>
      <c r="K116" s="75">
        <f>((I116-((H116-1)/H116))-(-5/6))/((5-(5/6))-(-5/6))</f>
        <v/>
      </c>
      <c r="L116" s="75">
        <f>E116-((E112+E113+E114+E115)/4)</f>
        <v/>
      </c>
      <c r="M116" s="78">
        <f>0.5 + (L116 * 0.09)</f>
        <v/>
      </c>
      <c r="N116" s="75">
        <f>((H116-(G116-1))/H116)*(IF(I116&lt;&gt;0,(I116+H116)/H116,1))</f>
        <v/>
      </c>
      <c r="O116" s="79">
        <f>(N116-(1/6))/(10/6)</f>
        <v/>
      </c>
      <c r="P116" s="75" t="n">
        <v>8</v>
      </c>
      <c r="Q116" s="79">
        <f>IF(F116=1,(((1-((P116-3)/15))*0.5)+0.5),((P116/18)*0.5))</f>
        <v/>
      </c>
      <c r="R116" s="75" t="n">
        <v>0</v>
      </c>
      <c r="S116" s="75" t="n">
        <v>0</v>
      </c>
      <c r="T116" s="75" t="n">
        <v>0</v>
      </c>
      <c r="U116" s="79">
        <f>IFERROR(T116/S116, 1)</f>
        <v/>
      </c>
      <c r="V116" s="80" t="n">
        <v>0</v>
      </c>
      <c r="W116" s="77" t="n">
        <v>3</v>
      </c>
      <c r="X116" s="85">
        <f>((O116*0.3)+(Q116*0.175)+(R116*0.175)+(U116*0.175)+((1-V116)*0.175))+W116</f>
        <v/>
      </c>
    </row>
  </sheetData>
  <autoFilter ref="A2:X34"/>
  <mergeCells count="4">
    <mergeCell ref="P1:Q1"/>
    <mergeCell ref="A1:E1"/>
    <mergeCell ref="S1:U1"/>
    <mergeCell ref="W1:X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16"/>
  <sheetViews>
    <sheetView showFormulas="0" showGridLines="1" showRowColHeaders="1" showZeros="1" rightToLeft="0" tabSelected="0" showOutlineSymbols="1" defaultGridColor="1" view="normal" topLeftCell="A36" colorId="64" zoomScale="96" zoomScaleNormal="96" zoomScalePageLayoutView="100" workbookViewId="0">
      <selection pane="topLeft" activeCell="D55" activeCellId="0" sqref="D55"/>
    </sheetView>
  </sheetViews>
  <sheetFormatPr baseColWidth="8" defaultColWidth="8.5390625" defaultRowHeight="14.25" zeroHeight="0" outlineLevelRow="0"/>
  <cols>
    <col width="10" customWidth="1" style="51" min="1" max="1"/>
    <col width="11.22" customWidth="1" style="51" min="3" max="3"/>
    <col width="48.44" customWidth="1" style="51" min="4" max="4"/>
    <col width="21.78" customWidth="1" style="51" min="5" max="5"/>
    <col width="11.22" customWidth="1" style="51" min="6" max="6"/>
    <col width="9.33" customWidth="1" style="51" min="9" max="9"/>
    <col width="28.22" customWidth="1" style="51" min="10" max="10"/>
    <col width="32.78" customWidth="1" style="51" min="11" max="13"/>
    <col width="29.33" customWidth="1" style="51" min="14" max="14"/>
    <col width="20.78" customWidth="1" style="51" min="15" max="16"/>
    <col width="14" customWidth="1" style="51" min="17" max="18"/>
    <col width="10.11" customWidth="1" style="51" min="19" max="19"/>
    <col width="19.22" customWidth="1" style="51" min="20" max="21"/>
    <col width="19" customWidth="1" style="51" min="22" max="23"/>
    <col width="26.78" customWidth="1" style="51" min="24" max="24"/>
  </cols>
  <sheetData>
    <row r="1" ht="14.25" customHeight="1" s="52">
      <c r="A1" s="53" t="inlineStr">
        <is>
          <t>Base Game Info</t>
        </is>
      </c>
      <c r="B1" s="54" t="n"/>
      <c r="C1" s="54" t="n"/>
      <c r="D1" s="54" t="n"/>
      <c r="E1" s="55" t="n"/>
      <c r="F1" s="56" t="inlineStr">
        <is>
          <t>Player Score</t>
        </is>
      </c>
      <c r="G1" s="57" t="n"/>
      <c r="H1" s="57" t="n"/>
      <c r="I1" s="57" t="n"/>
      <c r="J1" s="57" t="n"/>
      <c r="K1" s="57" t="n"/>
      <c r="L1" s="57" t="n"/>
      <c r="M1" s="57" t="n"/>
      <c r="N1" s="57" t="n"/>
      <c r="O1" s="58" t="n"/>
      <c r="P1" s="53" t="inlineStr">
        <is>
          <t>Turn of Victory/Loss</t>
        </is>
      </c>
      <c r="Q1" s="55" t="n"/>
      <c r="R1" s="53" t="inlineStr">
        <is>
          <t>Pop-Off</t>
        </is>
      </c>
      <c r="S1" s="53" t="inlineStr">
        <is>
          <t>Deck Resilience</t>
        </is>
      </c>
      <c r="T1" s="54" t="n"/>
      <c r="U1" s="55" t="n"/>
      <c r="V1" s="59" t="inlineStr">
        <is>
          <t>Games Clearly Behind</t>
        </is>
      </c>
      <c r="W1" s="60" t="inlineStr">
        <is>
          <t>Game Calculated Deck Strength</t>
        </is>
      </c>
      <c r="X1" s="95" t="n"/>
      <c r="Y1" s="59" t="inlineStr">
        <is>
          <t>Playgroup Game ID</t>
        </is>
      </c>
    </row>
    <row r="2" ht="14.25" customHeight="1" s="52">
      <c r="A2" s="61" t="inlineStr">
        <is>
          <t>Game Date</t>
        </is>
      </c>
      <c r="B2" s="62" t="inlineStr">
        <is>
          <t>Game #</t>
        </is>
      </c>
      <c r="C2" s="62" t="inlineStr">
        <is>
          <t>Player Name</t>
        </is>
      </c>
      <c r="D2" s="62" t="inlineStr">
        <is>
          <t>Commander</t>
        </is>
      </c>
      <c r="E2" s="63" t="inlineStr">
        <is>
          <t>Commander Strength</t>
        </is>
      </c>
      <c r="F2" s="61" t="inlineStr">
        <is>
          <t>Game Result</t>
        </is>
      </c>
      <c r="G2" s="62" t="inlineStr">
        <is>
          <t>Place</t>
        </is>
      </c>
      <c r="H2" s="62" t="inlineStr">
        <is>
          <t>Pod Size</t>
        </is>
      </c>
      <c r="I2" s="62" t="inlineStr">
        <is>
          <t>Knockouts</t>
        </is>
      </c>
      <c r="J2" s="62" t="inlineStr">
        <is>
          <t>Adjusted Pod Size Win/Loss Score</t>
        </is>
      </c>
      <c r="K2" s="62" t="inlineStr">
        <is>
          <t>Knockout Score</t>
        </is>
      </c>
      <c r="L2" s="62" t="inlineStr">
        <is>
          <t>Deck Strength Comparison Differential</t>
        </is>
      </c>
      <c r="M2" s="62" t="inlineStr">
        <is>
          <t>Win Probability based on Deck Strength</t>
        </is>
      </c>
      <c r="N2" s="62" t="inlineStr">
        <is>
          <t>Player Score</t>
        </is>
      </c>
      <c r="O2" s="63" t="inlineStr">
        <is>
          <t>Normalized Player Score</t>
        </is>
      </c>
      <c r="P2" s="64" t="inlineStr">
        <is>
          <t>TOV</t>
        </is>
      </c>
      <c r="Q2" s="65" t="inlineStr">
        <is>
          <t>Normalized TOV</t>
        </is>
      </c>
      <c r="R2" s="66" t="inlineStr">
        <is>
          <t>Pop-Off</t>
        </is>
      </c>
      <c r="S2" s="61" t="inlineStr">
        <is>
          <t>Disruptions</t>
        </is>
      </c>
      <c r="T2" s="62" t="inlineStr">
        <is>
          <t>Successful Recoveries</t>
        </is>
      </c>
      <c r="U2" s="63" t="inlineStr">
        <is>
          <t>Deck Resilience Score</t>
        </is>
      </c>
      <c r="V2" s="66" t="inlineStr">
        <is>
          <t>Games Clearly Behind</t>
        </is>
      </c>
      <c r="W2" s="66" t="inlineStr">
        <is>
          <t>Current Deck Bracket</t>
        </is>
      </c>
      <c r="X2" s="66" t="inlineStr">
        <is>
          <t>Game Calculated Deck Strength</t>
        </is>
      </c>
      <c r="Y2" s="66" t="inlineStr">
        <is>
          <t>Playgroup Game ID</t>
        </is>
      </c>
    </row>
    <row r="3" ht="14.25" customHeight="1" s="52">
      <c r="A3" s="93" t="n">
        <v>46204</v>
      </c>
      <c r="B3" s="51" t="n">
        <v>1</v>
      </c>
      <c r="C3" s="51" t="inlineStr">
        <is>
          <t>Becca</t>
        </is>
      </c>
      <c r="D3" s="51" t="inlineStr">
        <is>
          <t>Ms. Bumbleflower</t>
        </is>
      </c>
      <c r="E3" s="68" t="n">
        <v>2.9</v>
      </c>
      <c r="F3" s="51" t="n">
        <v>0</v>
      </c>
      <c r="G3" s="51" t="n">
        <v>2</v>
      </c>
      <c r="H3" s="51" t="n">
        <v>5</v>
      </c>
      <c r="I3" s="51" t="n">
        <v>0</v>
      </c>
      <c r="J3" s="51">
        <f>F3-(1/H3)</f>
        <v/>
      </c>
      <c r="K3" s="51">
        <f>((I3-((H3-1)/H3))-(-5/6))/((5-(5/6))-(-5/6))</f>
        <v/>
      </c>
      <c r="L3" s="87">
        <f>E3-((E4+E5+E6+E7)/4)</f>
        <v/>
      </c>
      <c r="M3" s="94">
        <f>0.5 + (L3 * 0.09)</f>
        <v/>
      </c>
      <c r="N3" s="51">
        <f>((H3-(G3-1))/H3)*(IF(I3&lt;&gt;0,(I3+H3)/H3,1))</f>
        <v/>
      </c>
      <c r="O3" s="71">
        <f>(N3-(1/6))/(10/6)</f>
        <v/>
      </c>
      <c r="P3" s="51" t="n">
        <v>10</v>
      </c>
      <c r="Q3" s="71">
        <f>IF(F3=1,(((1-((P3-3)/15))*0.5)+0.5),((P3/18)*0.5))</f>
        <v/>
      </c>
      <c r="R3" s="51" t="n">
        <v>0</v>
      </c>
      <c r="S3" s="51" t="n">
        <v>1</v>
      </c>
      <c r="T3" s="51" t="n">
        <v>1</v>
      </c>
      <c r="U3" s="71">
        <f>IFERROR(T3/S3, 1)</f>
        <v/>
      </c>
      <c r="V3" s="96" t="n">
        <v>0</v>
      </c>
      <c r="W3" s="51" t="n">
        <v>2</v>
      </c>
      <c r="X3" s="82">
        <f>((O3*0.3)+(Q3*0.175)+(R3*0.175)+(U3*0.175)+((1-V3)*0.175))+W3</f>
        <v/>
      </c>
      <c r="Y3" t="n">
        <v>767378</v>
      </c>
    </row>
    <row r="4" ht="14.25" customHeight="1" s="52">
      <c r="A4" s="93" t="n">
        <v>46204</v>
      </c>
      <c r="B4" s="51" t="n">
        <v>1</v>
      </c>
      <c r="C4" s="51" t="inlineStr">
        <is>
          <t>Mateo</t>
        </is>
      </c>
      <c r="D4" s="51" t="inlineStr">
        <is>
          <t>Captain America, Team Leader</t>
        </is>
      </c>
      <c r="E4" s="68" t="n">
        <v>3.7</v>
      </c>
      <c r="F4" s="51" t="n">
        <v>0</v>
      </c>
      <c r="G4" s="51" t="n">
        <v>2</v>
      </c>
      <c r="H4" s="51" t="n">
        <v>5</v>
      </c>
      <c r="I4" s="51" t="n">
        <v>0</v>
      </c>
      <c r="J4" s="51">
        <f>F4-(1/H4)</f>
        <v/>
      </c>
      <c r="K4" s="51">
        <f>((I4-((H4-1)/H4))-(-5/6))/((5-(5/6))-(-5/6))</f>
        <v/>
      </c>
      <c r="L4" s="51">
        <f>E4-((E3+E5+E6+E7)/4)</f>
        <v/>
      </c>
      <c r="M4" s="70">
        <f>0.5 + (L4 * 0.09)</f>
        <v/>
      </c>
      <c r="N4" s="51">
        <f>((H4-(G4-1))/H4)*(IF(I4&lt;&gt;0,(I4+H4)/H4,1))</f>
        <v/>
      </c>
      <c r="O4" s="71">
        <f>(N4-(1/6))/(10/6)</f>
        <v/>
      </c>
      <c r="P4" s="51" t="n">
        <v>10</v>
      </c>
      <c r="Q4" s="71">
        <f>IF(F4=1,(((1-((P4-3)/15))*0.5)+0.5),((P4/18)*0.5))</f>
        <v/>
      </c>
      <c r="R4" s="51" t="n">
        <v>1</v>
      </c>
      <c r="S4" s="51" t="n">
        <v>1</v>
      </c>
      <c r="T4" s="51" t="n">
        <v>1</v>
      </c>
      <c r="U4" s="71">
        <f>IFERROR(T4/S4, 1)</f>
        <v/>
      </c>
      <c r="V4" s="72" t="n">
        <v>0</v>
      </c>
      <c r="W4" s="51" t="n">
        <v>3</v>
      </c>
      <c r="X4" s="82">
        <f>((O4*0.3)+(Q4*0.175)+(R4*0.175)+(U4*0.175)+((1-V4)*0.175))+W4</f>
        <v/>
      </c>
      <c r="Y4" t="n">
        <v>767378</v>
      </c>
    </row>
    <row r="5" ht="14.25" customHeight="1" s="52">
      <c r="A5" s="93" t="n">
        <v>46204</v>
      </c>
      <c r="B5" s="51" t="n">
        <v>1</v>
      </c>
      <c r="C5" s="51" t="inlineStr">
        <is>
          <t>Manny</t>
        </is>
      </c>
      <c r="D5" s="51" t="inlineStr">
        <is>
          <t>Kruphix, God of Horizons</t>
        </is>
      </c>
      <c r="E5" s="68" t="n">
        <v>2</v>
      </c>
      <c r="F5" s="51" t="n">
        <v>0</v>
      </c>
      <c r="G5" s="51" t="n">
        <v>2</v>
      </c>
      <c r="H5" s="51" t="n">
        <v>5</v>
      </c>
      <c r="I5" s="51" t="n">
        <v>0</v>
      </c>
      <c r="J5" s="51">
        <f>F5-(1/H5)</f>
        <v/>
      </c>
      <c r="K5" s="51">
        <f>((I5-((H5-1)/H5))-(-5/6))/((5-(5/6))-(-5/6))</f>
        <v/>
      </c>
      <c r="L5" s="51">
        <f>E5-((E3+E4+E6+E7)/4)</f>
        <v/>
      </c>
      <c r="M5" s="70">
        <f>0.5 + (L5 * 0.09)</f>
        <v/>
      </c>
      <c r="N5" s="51">
        <f>((H5-(G5-1))/H5)*(IF(I5&lt;&gt;0,(I5+H5)/H5,1))</f>
        <v/>
      </c>
      <c r="O5" s="71">
        <f>(N5-(1/6))/(10/6)</f>
        <v/>
      </c>
      <c r="P5" s="51" t="n">
        <v>10</v>
      </c>
      <c r="Q5" s="71">
        <f>IF(F5=1,(((1-((P5-3)/15))*0.5)+0.5),((P5/18)*0.5))</f>
        <v/>
      </c>
      <c r="R5" s="51" t="n">
        <v>1</v>
      </c>
      <c r="S5" s="51" t="n">
        <v>0</v>
      </c>
      <c r="T5" s="51" t="n">
        <v>0</v>
      </c>
      <c r="U5" s="71">
        <f>IFERROR(T5/S5, 1)</f>
        <v/>
      </c>
      <c r="V5" s="72" t="n">
        <v>0</v>
      </c>
      <c r="W5" s="51" t="n">
        <v>2</v>
      </c>
      <c r="X5" s="82">
        <f>((O5*0.3)+(Q5*0.175)+(R5*0.175)+(U5*0.175)+((1-V5)*0.175))+W5</f>
        <v/>
      </c>
      <c r="Y5" t="n">
        <v>767378</v>
      </c>
    </row>
    <row r="6" ht="14.25" customHeight="1" s="52">
      <c r="A6" s="93" t="n">
        <v>46204</v>
      </c>
      <c r="B6" s="51" t="n">
        <v>1</v>
      </c>
      <c r="C6" s="51" t="inlineStr">
        <is>
          <t>Ryan</t>
        </is>
      </c>
      <c r="D6" s="51" t="inlineStr">
        <is>
          <t>Fire Lord Zuko</t>
        </is>
      </c>
      <c r="E6" s="68" t="n">
        <v>3.9</v>
      </c>
      <c r="F6" s="51" t="n">
        <v>1</v>
      </c>
      <c r="G6" s="51" t="n">
        <v>1</v>
      </c>
      <c r="H6" s="51" t="n">
        <v>5</v>
      </c>
      <c r="I6" s="51" t="n">
        <v>4</v>
      </c>
      <c r="J6" s="51">
        <f>F6-(1/H6)</f>
        <v/>
      </c>
      <c r="K6" s="51">
        <f>((I6-((H6-1)/H6))-(-5/6))/((5-(5/6))-(-5/6))</f>
        <v/>
      </c>
      <c r="L6" s="51">
        <f>E6-((E3+E4+E5+E7)/4)</f>
        <v/>
      </c>
      <c r="M6" s="70">
        <f>0.5 + (L6 * 0.09)</f>
        <v/>
      </c>
      <c r="N6" s="51">
        <f>((H6-(G6-1))/H6)*(IF(I6&lt;&gt;0,(I6+H6)/H6,1))</f>
        <v/>
      </c>
      <c r="O6" s="71">
        <f>(N6-(1/6))/(10/6)</f>
        <v/>
      </c>
      <c r="P6" s="51" t="n">
        <v>10</v>
      </c>
      <c r="Q6" s="71">
        <f>IF(F6=1,(((1-((P6-3)/15))*0.5)+0.5),((P6/18)*0.5))</f>
        <v/>
      </c>
      <c r="R6" s="51" t="n">
        <v>1</v>
      </c>
      <c r="S6" s="51" t="n">
        <v>1</v>
      </c>
      <c r="T6" s="51" t="n">
        <v>0</v>
      </c>
      <c r="U6" s="71">
        <f>IFERROR(T6/S6, 1)</f>
        <v/>
      </c>
      <c r="V6" s="72" t="n">
        <v>0</v>
      </c>
      <c r="W6" s="51" t="n">
        <v>3</v>
      </c>
      <c r="X6" s="82">
        <f>((O6*0.3)+(Q6*0.175)+(R6*0.175)+(U6*0.175)+((1-V6)*0.175))+W6</f>
        <v/>
      </c>
      <c r="Y6" t="n">
        <v>767378</v>
      </c>
    </row>
    <row r="7" ht="14.25" customHeight="1" s="52">
      <c r="A7" s="92" t="n">
        <v>46204</v>
      </c>
      <c r="B7" s="75" t="n">
        <v>1</v>
      </c>
      <c r="C7" s="75" t="inlineStr">
        <is>
          <t>Kristy</t>
        </is>
      </c>
      <c r="D7" s="75" t="inlineStr">
        <is>
          <t>Auntie Ool, Cursewretch</t>
        </is>
      </c>
      <c r="E7" s="76" t="n">
        <v>3.4</v>
      </c>
      <c r="F7" s="75" t="n">
        <v>0</v>
      </c>
      <c r="G7" s="75" t="n">
        <v>2</v>
      </c>
      <c r="H7" s="75" t="n">
        <v>5</v>
      </c>
      <c r="I7" s="75" t="n">
        <v>0</v>
      </c>
      <c r="J7" s="75">
        <f>F7-(1/H7)</f>
        <v/>
      </c>
      <c r="K7" s="75">
        <f>((I7-((H7-1)/H7))-(-5/6))/((5-(5/6))-(-5/6))</f>
        <v/>
      </c>
      <c r="L7" s="75">
        <f>E7-((E3+E4+E5+E6)/4)</f>
        <v/>
      </c>
      <c r="M7" s="78">
        <f>0.5 + (L7 * 0.09)</f>
        <v/>
      </c>
      <c r="N7" s="75">
        <f>((H7-(G7-1))/H7)*(IF(I7&lt;&gt;0,(I7+H7)/H7,1))</f>
        <v/>
      </c>
      <c r="O7" s="79">
        <f>(N7-(1/6))/(10/6)</f>
        <v/>
      </c>
      <c r="P7" s="75" t="n">
        <v>10</v>
      </c>
      <c r="Q7" s="79">
        <f>IF(F7=1,(((1-((P7-3)/15))*0.5)+0.5),((P7/18)*0.5))</f>
        <v/>
      </c>
      <c r="R7" s="75" t="n">
        <v>0</v>
      </c>
      <c r="S7" s="75" t="n">
        <v>2</v>
      </c>
      <c r="T7" s="75" t="n">
        <v>0</v>
      </c>
      <c r="U7" s="79">
        <f>IFERROR(T7/S7, 1)</f>
        <v/>
      </c>
      <c r="V7" s="80" t="n">
        <v>0</v>
      </c>
      <c r="W7" s="77" t="n">
        <v>3</v>
      </c>
      <c r="X7" s="85">
        <f>((O7*0.3)+(Q7*0.175)+(R7*0.175)+(U7*0.175)+((1-V7)*0.175))+W7</f>
        <v/>
      </c>
      <c r="Y7" t="n">
        <v>767378</v>
      </c>
    </row>
    <row r="8" ht="14.25" customHeight="1" s="52">
      <c r="A8" s="93" t="n">
        <v>46206</v>
      </c>
      <c r="B8" s="51" t="n">
        <v>2</v>
      </c>
      <c r="C8" s="51" t="inlineStr">
        <is>
          <t>Mateo</t>
        </is>
      </c>
      <c r="D8" s="51" t="inlineStr">
        <is>
          <t>Teval, the Balanced Scale</t>
        </is>
      </c>
      <c r="E8" s="68" t="n">
        <v>3</v>
      </c>
      <c r="F8" s="51" t="n">
        <v>1</v>
      </c>
      <c r="G8" s="51" t="n">
        <v>1</v>
      </c>
      <c r="H8" s="51" t="n">
        <v>4</v>
      </c>
      <c r="I8" s="51" t="n">
        <v>3</v>
      </c>
      <c r="J8" s="51">
        <f>F8-(1/H8)</f>
        <v/>
      </c>
      <c r="K8" s="51">
        <f>((I8-((H8-1)/H8))-(-5/6))/((5-(5/6))-(-5/6))</f>
        <v/>
      </c>
      <c r="L8" s="51">
        <f>E8-((E9+E10+E11)/3)</f>
        <v/>
      </c>
      <c r="M8" s="70">
        <f>0.5 + (L8 * 0.09)</f>
        <v/>
      </c>
      <c r="N8" s="51">
        <f>((H8-(G8-1))/H8)*(IF(I8&lt;&gt;0,(I8+H8)/H8,1))</f>
        <v/>
      </c>
      <c r="O8" s="71">
        <f>(N8-(1/6))/(10/6)</f>
        <v/>
      </c>
      <c r="P8" s="51" t="n">
        <v>8</v>
      </c>
      <c r="Q8" s="71">
        <f>IF(F8=1,(((1-((P8-3)/15))*0.5)+0.5),((P8/18)*0.5))</f>
        <v/>
      </c>
      <c r="R8" s="51" t="n">
        <v>1</v>
      </c>
      <c r="S8" s="51" t="n">
        <v>0</v>
      </c>
      <c r="T8" s="51" t="n">
        <v>0</v>
      </c>
      <c r="U8" s="71">
        <f>IFERROR(T8/S8, 1)</f>
        <v/>
      </c>
      <c r="V8" s="72" t="n">
        <v>0</v>
      </c>
      <c r="W8" s="69" t="n">
        <v>3</v>
      </c>
      <c r="X8" s="97">
        <f>((O8*0.3)+(Q8*0.175)+(R8*0.175)+(U8*0.175)+((1-V8)*0.175))+W8</f>
        <v/>
      </c>
      <c r="Y8" t="n">
        <v>773832</v>
      </c>
    </row>
    <row r="9" ht="14.25" customHeight="1" s="52">
      <c r="A9" s="93" t="n">
        <v>46206</v>
      </c>
      <c r="B9" s="51" t="n">
        <v>2</v>
      </c>
      <c r="C9" s="51" t="inlineStr">
        <is>
          <t>Michelle</t>
        </is>
      </c>
      <c r="D9" s="51" t="inlineStr">
        <is>
          <t>The Wise Mothman</t>
        </is>
      </c>
      <c r="E9" s="68" t="n">
        <v>2.7</v>
      </c>
      <c r="F9" s="51" t="n">
        <v>0</v>
      </c>
      <c r="G9" s="51" t="n">
        <v>2</v>
      </c>
      <c r="H9" s="51" t="n">
        <v>4</v>
      </c>
      <c r="I9" s="51" t="n">
        <v>0</v>
      </c>
      <c r="J9" s="51">
        <f>F9-(1/H9)</f>
        <v/>
      </c>
      <c r="K9" s="51">
        <f>((I9-((H9-1)/H9))-(-5/6))/((5-(5/6))-(-5/6))</f>
        <v/>
      </c>
      <c r="L9" s="51">
        <f>E9-((E8+E10+E11)/3)</f>
        <v/>
      </c>
      <c r="M9" s="70">
        <f>0.5 + (L9 * 0.09)</f>
        <v/>
      </c>
      <c r="N9" s="51">
        <f>((H9-(G9-1))/H9)*(IF(I9&lt;&gt;0,(I9+H9)/H9,1))</f>
        <v/>
      </c>
      <c r="O9" s="71">
        <f>(N9-(1/6))/(10/6)</f>
        <v/>
      </c>
      <c r="P9" s="51" t="n">
        <v>8</v>
      </c>
      <c r="Q9" s="71">
        <f>IF(F9=1,(((1-((P9-3)/15))*0.5)+0.5),((P9/18)*0.5))</f>
        <v/>
      </c>
      <c r="R9" s="51" t="n">
        <v>1</v>
      </c>
      <c r="S9" s="51" t="n">
        <v>0</v>
      </c>
      <c r="T9" s="51" t="n">
        <v>0</v>
      </c>
      <c r="U9" s="71">
        <f>IFERROR(T9/S9, 1)</f>
        <v/>
      </c>
      <c r="V9" s="72" t="n">
        <v>0</v>
      </c>
      <c r="W9" s="69" t="n">
        <v>2</v>
      </c>
      <c r="X9" s="82">
        <f>((O9*0.3)+(Q9*0.175)+(R9*0.175)+(U9*0.175)+((1-V9)*0.175))+W9</f>
        <v/>
      </c>
      <c r="Y9" t="n">
        <v>773832</v>
      </c>
    </row>
    <row r="10" ht="14.25" customHeight="1" s="52">
      <c r="A10" s="93" t="n">
        <v>46206</v>
      </c>
      <c r="B10" s="51" t="n">
        <v>2</v>
      </c>
      <c r="C10" s="51" t="inlineStr">
        <is>
          <t>Becca</t>
        </is>
      </c>
      <c r="D10" s="51" t="inlineStr">
        <is>
          <t>Killian, Decisive Mentor</t>
        </is>
      </c>
      <c r="E10" s="68" t="n">
        <v>2.7</v>
      </c>
      <c r="F10" s="51" t="n">
        <v>0</v>
      </c>
      <c r="G10" s="51" t="n">
        <v>2</v>
      </c>
      <c r="H10" s="51" t="n">
        <v>4</v>
      </c>
      <c r="I10" s="51" t="n">
        <v>0</v>
      </c>
      <c r="J10" s="51">
        <f>F10-(1/H10)</f>
        <v/>
      </c>
      <c r="K10" s="51">
        <f>((I10-((H10-1)/H10))-(-5/6))/((5-(5/6))-(-5/6))</f>
        <v/>
      </c>
      <c r="L10" s="51">
        <f>E10-((E8+E9+E11)/3)</f>
        <v/>
      </c>
      <c r="M10" s="70">
        <f>0.5 + (L10 * 0.09)</f>
        <v/>
      </c>
      <c r="N10" s="51">
        <f>((H10-(G10-1))/H10)*(IF(I10&lt;&gt;0,(I10+H10)/H10,1))</f>
        <v/>
      </c>
      <c r="O10" s="71">
        <f>(N10-(1/6))/(10/6)</f>
        <v/>
      </c>
      <c r="P10" s="51" t="n">
        <v>8</v>
      </c>
      <c r="Q10" s="71">
        <f>IF(F10=1,(((1-((P10-3)/15))*0.5)+0.5),((P10/18)*0.5))</f>
        <v/>
      </c>
      <c r="R10" s="51" t="n">
        <v>0</v>
      </c>
      <c r="S10" s="51" t="n">
        <v>0</v>
      </c>
      <c r="T10" s="51" t="n">
        <v>0</v>
      </c>
      <c r="U10" s="71">
        <f>IFERROR(T10/S10, 1)</f>
        <v/>
      </c>
      <c r="V10" s="72" t="n">
        <v>0</v>
      </c>
      <c r="W10" s="69" t="n">
        <v>2</v>
      </c>
      <c r="X10" s="82">
        <f>((O10*0.3)+(Q10*0.175)+(R10*0.175)+(U10*0.175)+((1-V10)*0.175))+W10</f>
        <v/>
      </c>
      <c r="Y10" t="n">
        <v>773832</v>
      </c>
    </row>
    <row r="11" ht="14.25" customHeight="1" s="52">
      <c r="A11" s="92" t="n">
        <v>46206</v>
      </c>
      <c r="B11" s="75" t="n">
        <v>2</v>
      </c>
      <c r="C11" s="75" t="inlineStr">
        <is>
          <t>Manny</t>
        </is>
      </c>
      <c r="D11" s="75" t="inlineStr">
        <is>
          <t>Galadriel, Light of Valinor</t>
        </is>
      </c>
      <c r="E11" s="76" t="n">
        <v>3.6</v>
      </c>
      <c r="F11" s="75" t="n">
        <v>0</v>
      </c>
      <c r="G11" s="75" t="n">
        <v>2</v>
      </c>
      <c r="H11" s="75" t="n">
        <v>4</v>
      </c>
      <c r="I11" s="75" t="n">
        <v>0</v>
      </c>
      <c r="J11" s="75">
        <f>F11-(1/H11)</f>
        <v/>
      </c>
      <c r="K11" s="75">
        <f>((I11-((H11-1)/H11))-(-5/6))/((5-(5/6))-(-5/6))</f>
        <v/>
      </c>
      <c r="L11" s="75">
        <f>E11-((E8+E9+E10)/3)</f>
        <v/>
      </c>
      <c r="M11" s="78">
        <f>0.5 + (L11 * 0.09)</f>
        <v/>
      </c>
      <c r="N11" s="75">
        <f>((H11-(G11-1))/H11)*(IF(I11&lt;&gt;0,(I11+H11)/H11,1))</f>
        <v/>
      </c>
      <c r="O11" s="79">
        <f>(N11-(1/6))/(10/6)</f>
        <v/>
      </c>
      <c r="P11" s="75" t="n">
        <v>8</v>
      </c>
      <c r="Q11" s="79">
        <f>IF(F11=1,(((1-((P11-3)/15))*0.5)+0.5),((P11/18)*0.5))</f>
        <v/>
      </c>
      <c r="R11" s="75" t="n">
        <v>0</v>
      </c>
      <c r="S11" s="75" t="n">
        <v>0</v>
      </c>
      <c r="T11" s="75" t="n">
        <v>0</v>
      </c>
      <c r="U11" s="79">
        <f>IFERROR(T11/S11, 1)</f>
        <v/>
      </c>
      <c r="V11" s="80" t="n">
        <v>1</v>
      </c>
      <c r="W11" s="77" t="n">
        <v>3</v>
      </c>
      <c r="X11" s="85">
        <f>((O11*0.3)+(Q11*0.175)+(R11*0.175)+(U11*0.175)+((1-V11)*0.175))+W11</f>
        <v/>
      </c>
      <c r="Y11" t="n">
        <v>773832</v>
      </c>
    </row>
    <row r="12" ht="14.25" customHeight="1" s="52">
      <c r="A12" s="93" t="n">
        <v>46206</v>
      </c>
      <c r="B12" s="51" t="n">
        <v>3</v>
      </c>
      <c r="C12" s="51" t="inlineStr">
        <is>
          <t>Becca</t>
        </is>
      </c>
      <c r="D12" s="51" t="inlineStr">
        <is>
          <t>Killian, Decisive Mentor</t>
        </is>
      </c>
      <c r="E12" s="68" t="n">
        <v>2.5</v>
      </c>
      <c r="F12" s="51" t="n">
        <v>1</v>
      </c>
      <c r="G12" s="51" t="n">
        <v>1</v>
      </c>
      <c r="H12" s="51" t="n">
        <v>4</v>
      </c>
      <c r="I12" s="51" t="n">
        <v>1</v>
      </c>
      <c r="J12" s="51">
        <f>F12-(1/H12)</f>
        <v/>
      </c>
      <c r="K12" s="51">
        <f>((I12-((H12-1)/H12))-(-5/6))/((5-(5/6))-(-5/6))</f>
        <v/>
      </c>
      <c r="L12" s="51">
        <f>E12-((E13+E14+E15)/3)</f>
        <v/>
      </c>
      <c r="M12" s="70">
        <f>0.5 + (L12 * 0.09)</f>
        <v/>
      </c>
      <c r="N12" s="51">
        <f>((H12-(G12-1))/H12)*(IF(I12&lt;&gt;0,(I12+H12)/H12,1))</f>
        <v/>
      </c>
      <c r="O12" s="71">
        <f>(N12-(1/6))/(10/6)</f>
        <v/>
      </c>
      <c r="P12" s="51" t="n">
        <v>9</v>
      </c>
      <c r="Q12" s="71">
        <f>IF(F12=1,(((1-((P12-3)/15))*0.5)+0.5),((P12/18)*0.5))</f>
        <v/>
      </c>
      <c r="R12" s="51" t="n">
        <v>1</v>
      </c>
      <c r="S12" s="51" t="n">
        <v>0</v>
      </c>
      <c r="T12" s="51" t="n">
        <v>0</v>
      </c>
      <c r="U12" s="71">
        <f>IFERROR(T12/S12, 1)</f>
        <v/>
      </c>
      <c r="V12" s="72" t="n">
        <v>0</v>
      </c>
      <c r="W12" s="69" t="n">
        <v>2</v>
      </c>
      <c r="X12" s="97">
        <f>((O12*0.3)+(Q12*0.175)+(R12*0.175)+(U12*0.175)+((1-V12)*0.175))+W12</f>
        <v/>
      </c>
      <c r="Y12" t="n">
        <v>774108</v>
      </c>
    </row>
    <row r="13" ht="14.25" customHeight="1" s="52">
      <c r="A13" s="93" t="n">
        <v>46206</v>
      </c>
      <c r="B13" s="51" t="n">
        <v>3</v>
      </c>
      <c r="C13" s="51" t="inlineStr">
        <is>
          <t>Manny</t>
        </is>
      </c>
      <c r="D13" s="51" t="inlineStr">
        <is>
          <t>Galadriel, Light of Valinor</t>
        </is>
      </c>
      <c r="E13" s="68" t="n">
        <v>3.3</v>
      </c>
      <c r="F13" s="51" t="n">
        <v>0</v>
      </c>
      <c r="G13" s="51" t="n">
        <v>2</v>
      </c>
      <c r="H13" s="51" t="n">
        <v>4</v>
      </c>
      <c r="I13" s="51" t="n">
        <v>1</v>
      </c>
      <c r="J13" s="51">
        <f>F13-(1/H13)</f>
        <v/>
      </c>
      <c r="K13" s="51">
        <f>((I13-((H13-1)/H13))-(-5/6))/((5-(5/6))-(-5/6))</f>
        <v/>
      </c>
      <c r="L13" s="51">
        <f>E13-((E12+E14+E15)/3)</f>
        <v/>
      </c>
      <c r="M13" s="70">
        <f>0.5 + (L13 * 0.09)</f>
        <v/>
      </c>
      <c r="N13" s="51">
        <f>((H13-(G13-1))/H13)*(IF(I13&lt;&gt;0,(I13+H13)/H13,1))</f>
        <v/>
      </c>
      <c r="O13" s="71">
        <f>(N13-(1/6))/(10/6)</f>
        <v/>
      </c>
      <c r="P13" s="51" t="n">
        <v>9</v>
      </c>
      <c r="Q13" s="71">
        <f>IF(F13=1,(((1-((P13-3)/15))*0.5)+0.5),((P13/18)*0.5))</f>
        <v/>
      </c>
      <c r="R13" s="51" t="n">
        <v>0</v>
      </c>
      <c r="S13" s="51" t="n">
        <v>0</v>
      </c>
      <c r="T13" s="51" t="n">
        <v>0</v>
      </c>
      <c r="U13" s="71">
        <f>IFERROR(T13/S13, 1)</f>
        <v/>
      </c>
      <c r="V13" s="72" t="n">
        <v>1</v>
      </c>
      <c r="W13" s="69" t="n">
        <v>3</v>
      </c>
      <c r="X13" s="82">
        <f>((O13*0.3)+(Q13*0.175)+(R13*0.175)+(U13*0.175)+((1-V13)*0.175))+W13</f>
        <v/>
      </c>
      <c r="Y13" t="n">
        <v>774108</v>
      </c>
    </row>
    <row r="14" ht="14.25" customHeight="1" s="52">
      <c r="A14" s="93" t="n">
        <v>46206</v>
      </c>
      <c r="B14" s="51" t="n">
        <v>3</v>
      </c>
      <c r="C14" s="51" t="inlineStr">
        <is>
          <t>Michelle</t>
        </is>
      </c>
      <c r="D14" s="51" t="inlineStr">
        <is>
          <t>The Wise Mothman</t>
        </is>
      </c>
      <c r="E14" s="68" t="n">
        <v>2.7</v>
      </c>
      <c r="F14" s="51" t="n">
        <v>0</v>
      </c>
      <c r="G14" s="51" t="n">
        <v>3</v>
      </c>
      <c r="H14" s="51" t="n">
        <v>4</v>
      </c>
      <c r="I14" s="51" t="n">
        <v>1</v>
      </c>
      <c r="J14" s="51">
        <f>F14-(1/H14)</f>
        <v/>
      </c>
      <c r="K14" s="51">
        <f>((I14-((H14-1)/H14))-(-5/6))/((5-(5/6))-(-5/6))</f>
        <v/>
      </c>
      <c r="L14" s="51">
        <f>E14-((E12+E13+E15)/3)</f>
        <v/>
      </c>
      <c r="M14" s="70">
        <f>0.5 + (L14 * 0.09)</f>
        <v/>
      </c>
      <c r="N14" s="51">
        <f>((H14-(G14-1))/H14)*(IF(I14&lt;&gt;0,(I14+H14)/H14,1))</f>
        <v/>
      </c>
      <c r="O14" s="71">
        <f>(N14-(1/6))/(10/6)</f>
        <v/>
      </c>
      <c r="P14" s="51" t="n">
        <v>8</v>
      </c>
      <c r="Q14" s="71">
        <f>IF(F14=1,(((1-((P14-3)/15))*0.5)+0.5),((P14/18)*0.5))</f>
        <v/>
      </c>
      <c r="R14" s="51" t="n">
        <v>1</v>
      </c>
      <c r="S14" s="51" t="n">
        <v>1</v>
      </c>
      <c r="T14" s="51" t="n">
        <v>0</v>
      </c>
      <c r="U14" s="71">
        <f>IFERROR(T14/S14, 1)</f>
        <v/>
      </c>
      <c r="V14" s="72" t="n">
        <v>0</v>
      </c>
      <c r="W14" s="69" t="n">
        <v>2</v>
      </c>
      <c r="X14" s="82">
        <f>((O14*0.3)+(Q14*0.175)+(R14*0.175)+(U14*0.175)+((1-V14)*0.175))+W14</f>
        <v/>
      </c>
      <c r="Y14" t="n">
        <v>774108</v>
      </c>
    </row>
    <row r="15" ht="14.25" customHeight="1" s="52">
      <c r="A15" s="92" t="n">
        <v>46206</v>
      </c>
      <c r="B15" s="75" t="n">
        <v>3</v>
      </c>
      <c r="C15" s="75" t="inlineStr">
        <is>
          <t>Mateo</t>
        </is>
      </c>
      <c r="D15" s="75" t="inlineStr">
        <is>
          <t>Zurgo Stormrender</t>
        </is>
      </c>
      <c r="E15" s="76" t="n">
        <v>3.9</v>
      </c>
      <c r="F15" s="75" t="n">
        <v>0</v>
      </c>
      <c r="G15" s="75" t="n">
        <v>4</v>
      </c>
      <c r="H15" s="75" t="n">
        <v>4</v>
      </c>
      <c r="I15" s="75" t="n">
        <v>0</v>
      </c>
      <c r="J15" s="75">
        <f>F15-(1/H15)</f>
        <v/>
      </c>
      <c r="K15" s="75">
        <f>((I15-((H15-1)/H15))-(-5/6))/((5-(5/6))-(-5/6))</f>
        <v/>
      </c>
      <c r="L15" s="75">
        <f>E15-((E12+E13+E14)/3)</f>
        <v/>
      </c>
      <c r="M15" s="78">
        <f>0.5 + (L15 * 0.09)</f>
        <v/>
      </c>
      <c r="N15" s="75">
        <f>((H15-(G15-1))/H15)*(IF(I15&lt;&gt;0,(I15+H15)/H15,1))</f>
        <v/>
      </c>
      <c r="O15" s="79">
        <f>(N15-(1/6))/(10/6)</f>
        <v/>
      </c>
      <c r="P15" s="75" t="n">
        <v>7</v>
      </c>
      <c r="Q15" s="79">
        <f>IF(F15=1,(((1-((P15-3)/15))*0.5)+0.5),((P15/18)*0.5))</f>
        <v/>
      </c>
      <c r="R15" s="75" t="n">
        <v>1</v>
      </c>
      <c r="S15" s="75" t="n">
        <v>0</v>
      </c>
      <c r="T15" s="75" t="n">
        <v>0</v>
      </c>
      <c r="U15" s="79">
        <f>IFERROR(T15/S15, 1)</f>
        <v/>
      </c>
      <c r="V15" s="80" t="n">
        <v>0</v>
      </c>
      <c r="W15" s="77" t="n">
        <v>3</v>
      </c>
      <c r="X15" s="85">
        <f>((O15*0.3)+(Q15*0.175)+(R15*0.175)+(U15*0.175)+((1-V15)*0.175))+W15</f>
        <v/>
      </c>
      <c r="Y15" t="n">
        <v>774108</v>
      </c>
    </row>
    <row r="16" ht="14.25" customHeight="1" s="52">
      <c r="A16" s="93" t="n">
        <v>46206</v>
      </c>
      <c r="B16" s="51" t="n">
        <v>4</v>
      </c>
      <c r="C16" s="51" t="inlineStr">
        <is>
          <t>Mateo</t>
        </is>
      </c>
      <c r="D16" s="51" t="inlineStr">
        <is>
          <t>Ureni of the Unwritten</t>
        </is>
      </c>
      <c r="E16" s="68" t="n">
        <v>3.8</v>
      </c>
      <c r="F16" s="51" t="n">
        <v>1</v>
      </c>
      <c r="G16" s="51" t="n">
        <v>1</v>
      </c>
      <c r="H16" s="51" t="n">
        <v>3</v>
      </c>
      <c r="I16" s="51" t="n">
        <v>2</v>
      </c>
      <c r="J16" s="51">
        <f>F16-(1/H16)</f>
        <v/>
      </c>
      <c r="K16" s="51">
        <f>((I16-((H16-1)/H16))-(-5/6))/((5-(5/6))-(-5/6))</f>
        <v/>
      </c>
      <c r="L16" s="68">
        <f>E16-((E17+E18)/2)</f>
        <v/>
      </c>
      <c r="M16" s="70">
        <f>0.5 + (L16 * 0.09)</f>
        <v/>
      </c>
      <c r="N16" s="51">
        <f>((H16-(G16-1))/H16)*(IF(I16&lt;&gt;0,(I16+H16)/H16,1))</f>
        <v/>
      </c>
      <c r="O16" s="71">
        <f>(N16-(1/6))/(10/6)</f>
        <v/>
      </c>
      <c r="P16" s="51" t="n">
        <v>8</v>
      </c>
      <c r="Q16" s="71">
        <f>IF(F16=1,(((1-((P16-3)/15))*0.5)+0.5),((P16/18)*0.5))</f>
        <v/>
      </c>
      <c r="R16" s="51" t="n">
        <v>1</v>
      </c>
      <c r="S16" s="51" t="n">
        <v>0</v>
      </c>
      <c r="T16" s="51" t="n">
        <v>0</v>
      </c>
      <c r="U16" s="71">
        <f>IFERROR(T16/S16, 1)</f>
        <v/>
      </c>
      <c r="V16" s="72" t="n">
        <v>0</v>
      </c>
      <c r="W16" s="69" t="n">
        <v>3</v>
      </c>
      <c r="X16" s="97">
        <f>((O16*0.3)+(Q16*0.175)+(R16*0.175)+(U16*0.175)+((1-V16)*0.175))+W16</f>
        <v/>
      </c>
      <c r="Y16" t="n">
        <v>774418</v>
      </c>
    </row>
    <row r="17" ht="14.25" customHeight="1" s="52">
      <c r="A17" s="93" t="n">
        <v>46206</v>
      </c>
      <c r="B17" s="51" t="n">
        <v>4</v>
      </c>
      <c r="C17" s="51" t="inlineStr">
        <is>
          <t>Becca</t>
        </is>
      </c>
      <c r="D17" s="51" t="inlineStr">
        <is>
          <t>Killian, Decisive Mentor</t>
        </is>
      </c>
      <c r="E17" s="68" t="n">
        <v>2.9</v>
      </c>
      <c r="F17" s="51" t="n">
        <v>0</v>
      </c>
      <c r="G17" s="51" t="n">
        <v>2</v>
      </c>
      <c r="H17" s="51" t="n">
        <v>3</v>
      </c>
      <c r="I17" s="51" t="n">
        <v>0</v>
      </c>
      <c r="J17" s="51">
        <f>F17-(1/H17)</f>
        <v/>
      </c>
      <c r="K17" s="51">
        <f>((I17-((H17-1)/H17))-(-5/6))/((5-(5/6))-(-5/6))</f>
        <v/>
      </c>
      <c r="L17" s="51">
        <f>E17-((E16+E18)/2)</f>
        <v/>
      </c>
      <c r="M17" s="70">
        <f>0.5 + (L17 * 0.09)</f>
        <v/>
      </c>
      <c r="N17" s="51">
        <f>((H17-(G17-1))/H17)*(IF(I17&lt;&gt;0,(I17+H17)/H17,1))</f>
        <v/>
      </c>
      <c r="O17" s="71">
        <f>(N17-(1/6))/(10/6)</f>
        <v/>
      </c>
      <c r="P17" s="51" t="n">
        <v>8</v>
      </c>
      <c r="Q17" s="71">
        <f>IF(F17=1,(((1-((P17-3)/15))*0.5)+0.5),((P17/18)*0.5))</f>
        <v/>
      </c>
      <c r="R17" s="51" t="n">
        <v>0</v>
      </c>
      <c r="S17" s="51" t="n">
        <v>1</v>
      </c>
      <c r="T17" s="51" t="n">
        <v>0</v>
      </c>
      <c r="U17" s="71">
        <f>IFERROR(T17/S17, 1)</f>
        <v/>
      </c>
      <c r="V17" s="72" t="n">
        <v>0</v>
      </c>
      <c r="W17" s="69" t="n">
        <v>2</v>
      </c>
      <c r="X17" s="82">
        <f>((O17*0.3)+(Q17*0.175)+(R17*0.175)+(U17*0.175)+((1-V17)*0.175))+W17</f>
        <v/>
      </c>
      <c r="Y17" t="n">
        <v>774418</v>
      </c>
    </row>
    <row r="18" ht="14.25" customHeight="1" s="52">
      <c r="A18" s="92" t="n">
        <v>46206</v>
      </c>
      <c r="B18" s="75" t="n">
        <v>4</v>
      </c>
      <c r="C18" s="75" t="inlineStr">
        <is>
          <t>Manny</t>
        </is>
      </c>
      <c r="D18" s="75" t="inlineStr">
        <is>
          <t>Zada, Hedron Grinder</t>
        </is>
      </c>
      <c r="E18" s="76" t="n">
        <v>2.5</v>
      </c>
      <c r="F18" s="75" t="n">
        <v>0</v>
      </c>
      <c r="G18" s="75" t="n">
        <v>2</v>
      </c>
      <c r="H18" s="75" t="n">
        <v>3</v>
      </c>
      <c r="I18" s="75" t="n">
        <v>0</v>
      </c>
      <c r="J18" s="75">
        <f>F18-(1/H18)</f>
        <v/>
      </c>
      <c r="K18" s="75">
        <f>((I18-((H18-1)/H18))-(-5/6))/((5-(5/6))-(-5/6))</f>
        <v/>
      </c>
      <c r="L18" s="75">
        <f>E18-((E16+E17)/2)</f>
        <v/>
      </c>
      <c r="M18" s="78">
        <f>0.5 + (L18 * 0.09)</f>
        <v/>
      </c>
      <c r="N18" s="75">
        <f>((H18-(G18-1))/H18)*(IF(I18&lt;&gt;0,(I18+H18)/H18,1))</f>
        <v/>
      </c>
      <c r="O18" s="79">
        <f>(N18-(1/6))/(10/6)</f>
        <v/>
      </c>
      <c r="P18" s="75" t="n">
        <v>8</v>
      </c>
      <c r="Q18" s="79">
        <f>IF(F18=1,(((1-((P18-3)/15))*0.5)+0.5),((P18/18)*0.5))</f>
        <v/>
      </c>
      <c r="R18" s="75" t="n">
        <v>0</v>
      </c>
      <c r="S18" s="75" t="n">
        <v>1</v>
      </c>
      <c r="T18" s="75" t="n">
        <v>0</v>
      </c>
      <c r="U18" s="79">
        <f>IFERROR(T18/S18, 1)</f>
        <v/>
      </c>
      <c r="V18" s="80" t="n">
        <v>0</v>
      </c>
      <c r="W18" s="77" t="n">
        <v>2</v>
      </c>
      <c r="X18" s="85">
        <f>((O18*0.3)+(Q18*0.175)+(R18*0.175)+(U18*0.175)+((1-V18)*0.175))+W18</f>
        <v/>
      </c>
      <c r="Y18" t="n">
        <v>774418</v>
      </c>
    </row>
    <row r="19" ht="14.25" customHeight="1" s="52">
      <c r="A19" s="93" t="n">
        <v>46211</v>
      </c>
      <c r="B19" s="51" t="n">
        <v>5</v>
      </c>
      <c r="C19" s="51" t="inlineStr">
        <is>
          <t>Becca</t>
        </is>
      </c>
      <c r="D19" s="51" t="inlineStr">
        <is>
          <t>Ms. Bumbleflower</t>
        </is>
      </c>
      <c r="E19" s="68" t="n">
        <v>2.5</v>
      </c>
      <c r="F19" s="51" t="n">
        <v>1</v>
      </c>
      <c r="G19" s="51" t="n">
        <v>1</v>
      </c>
      <c r="H19" s="51" t="n">
        <v>4</v>
      </c>
      <c r="I19" s="51" t="n">
        <v>1</v>
      </c>
      <c r="J19" s="51">
        <f>F19-(1/H19)</f>
        <v/>
      </c>
      <c r="K19" s="51">
        <f>((I19-((H19-1)/H19))-(-5/6))/((5-(5/6))-(-5/6))</f>
        <v/>
      </c>
      <c r="L19" s="51">
        <f>E19-((E20+E21+E22)/3)</f>
        <v/>
      </c>
      <c r="M19" s="70">
        <f>0.5 + (L19 * 0.09)</f>
        <v/>
      </c>
      <c r="N19" s="51">
        <f>((H19-(G19-1))/H19)*(IF(I19&lt;&gt;0,(I19+H19)/H19,1))</f>
        <v/>
      </c>
      <c r="O19" s="71">
        <f>(N19-(1/6))/(10/6)</f>
        <v/>
      </c>
      <c r="P19" s="51" t="n">
        <v>14</v>
      </c>
      <c r="Q19" s="71">
        <f>IF(F19=1,(((1-((P19-3)/15))*0.5)+0.5),((P19/18)*0.5))</f>
        <v/>
      </c>
      <c r="R19" s="51" t="n">
        <v>1</v>
      </c>
      <c r="S19" s="51" t="n">
        <v>3</v>
      </c>
      <c r="T19" s="51" t="n">
        <v>2</v>
      </c>
      <c r="U19" s="71">
        <f>IFERROR(T19/S19, 1)</f>
        <v/>
      </c>
      <c r="V19" s="72" t="n">
        <v>0</v>
      </c>
      <c r="W19" s="69" t="n">
        <v>2</v>
      </c>
      <c r="X19" s="97">
        <f>((O19*0.3)+(Q19*0.175)+(R19*0.175)+(U19*0.175)+((1-V19)*0.175))+W19</f>
        <v/>
      </c>
      <c r="Y19" t="n">
        <v>787397</v>
      </c>
    </row>
    <row r="20" ht="14.25" customHeight="1" s="52">
      <c r="A20" s="93" t="n">
        <v>46211</v>
      </c>
      <c r="B20" s="51" t="n">
        <v>5</v>
      </c>
      <c r="C20" s="51" t="inlineStr">
        <is>
          <t>Mateo</t>
        </is>
      </c>
      <c r="D20" s="51" t="inlineStr">
        <is>
          <t>Captain America, Team Leader</t>
        </is>
      </c>
      <c r="E20" s="68" t="n">
        <v>3.7</v>
      </c>
      <c r="F20" s="51" t="n">
        <v>0</v>
      </c>
      <c r="G20" s="51" t="n">
        <v>2</v>
      </c>
      <c r="H20" s="51" t="n">
        <v>4</v>
      </c>
      <c r="I20" s="51" t="n">
        <v>2</v>
      </c>
      <c r="J20" s="51">
        <f>F20-(1/H20)</f>
        <v/>
      </c>
      <c r="K20" s="51">
        <f>((I20-((H20-1)/H20))-(-5/6))/((5-(5/6))-(-5/6))</f>
        <v/>
      </c>
      <c r="L20" s="51">
        <f>E20-((E19+E21+E22)/3)</f>
        <v/>
      </c>
      <c r="M20" s="70">
        <f>0.5 + (L20 * 0.09)</f>
        <v/>
      </c>
      <c r="N20" s="51">
        <f>((H20-(G20-1))/H20)*(IF(I20&lt;&gt;0,(I20+H20)/H20,1))</f>
        <v/>
      </c>
      <c r="O20" s="71">
        <f>(N20-(1/6))/(10/6)</f>
        <v/>
      </c>
      <c r="P20" s="51" t="n">
        <v>14</v>
      </c>
      <c r="Q20" s="71">
        <f>IF(F20=1,(((1-((P20-3)/15))*0.5)+0.5),((P20/18)*0.5))</f>
        <v/>
      </c>
      <c r="R20" s="51" t="n">
        <v>1</v>
      </c>
      <c r="S20" s="51" t="n">
        <v>5</v>
      </c>
      <c r="T20" s="51" t="n">
        <v>2</v>
      </c>
      <c r="U20" s="71">
        <f>IFERROR(T20/S20, 1)</f>
        <v/>
      </c>
      <c r="V20" s="72" t="n">
        <v>0</v>
      </c>
      <c r="W20" s="69" t="n">
        <v>3</v>
      </c>
      <c r="X20" s="82">
        <f>((O20*0.3)+(Q20*0.175)+(R20*0.175)+(U20*0.175)+((1-V20)*0.175))+W20</f>
        <v/>
      </c>
      <c r="Y20" t="n">
        <v>787397</v>
      </c>
    </row>
    <row r="21" ht="14.25" customHeight="1" s="52">
      <c r="A21" s="93" t="n">
        <v>46211</v>
      </c>
      <c r="B21" s="51" t="n">
        <v>5</v>
      </c>
      <c r="C21" s="51" t="inlineStr">
        <is>
          <t>Ryan</t>
        </is>
      </c>
      <c r="D21" s="51" t="inlineStr">
        <is>
          <t>Rootha, Mastering the Moment</t>
        </is>
      </c>
      <c r="E21" s="68" t="n">
        <v>3.7</v>
      </c>
      <c r="F21" s="51" t="n">
        <v>0</v>
      </c>
      <c r="G21" s="51" t="n">
        <v>3</v>
      </c>
      <c r="H21" s="51" t="n">
        <v>4</v>
      </c>
      <c r="I21" s="51" t="n">
        <v>0</v>
      </c>
      <c r="J21" s="51">
        <f>F21-(1/H21)</f>
        <v/>
      </c>
      <c r="K21" s="51">
        <f>((I21-((H21-1)/H21))-(-5/6))/((5-(5/6))-(-5/6))</f>
        <v/>
      </c>
      <c r="L21" s="51">
        <f>E21-((E19+E20+E22)/3)</f>
        <v/>
      </c>
      <c r="M21" s="70">
        <f>0.5 + (L21 * 0.09)</f>
        <v/>
      </c>
      <c r="N21" s="51">
        <f>((H21-(G21-1))/H21)*(IF(I21&lt;&gt;0,(I21+H21)/H21,1))</f>
        <v/>
      </c>
      <c r="O21" s="71">
        <f>(N21-(1/6))/(10/6)</f>
        <v/>
      </c>
      <c r="P21" s="51" t="n">
        <v>14</v>
      </c>
      <c r="Q21" s="71">
        <f>IF(F21=1,(((1-((P21-3)/15))*0.5)+0.5),((P21/18)*0.5))</f>
        <v/>
      </c>
      <c r="R21" s="51" t="n">
        <v>1</v>
      </c>
      <c r="S21" s="51" t="n">
        <v>5</v>
      </c>
      <c r="T21" s="51" t="n">
        <v>3</v>
      </c>
      <c r="U21" s="71">
        <f>IFERROR(T21/S21, 1)</f>
        <v/>
      </c>
      <c r="V21" s="72" t="n">
        <v>0</v>
      </c>
      <c r="W21" s="69" t="n">
        <v>3</v>
      </c>
      <c r="X21" s="82">
        <f>((O21*0.3)+(Q21*0.175)+(R21*0.175)+(U21*0.175)+((1-V21)*0.175))+W21</f>
        <v/>
      </c>
      <c r="Y21" t="n">
        <v>787397</v>
      </c>
    </row>
    <row r="22" ht="14.25" customHeight="1" s="52">
      <c r="A22" s="92" t="n">
        <v>46211</v>
      </c>
      <c r="B22" s="75" t="n">
        <v>5</v>
      </c>
      <c r="C22" s="75" t="inlineStr">
        <is>
          <t>Manny</t>
        </is>
      </c>
      <c r="D22" s="75" t="inlineStr">
        <is>
          <t>Kruphix, God of Horizons</t>
        </is>
      </c>
      <c r="E22" s="76" t="n">
        <v>2.7</v>
      </c>
      <c r="F22" s="75" t="n">
        <v>0</v>
      </c>
      <c r="G22" s="75" t="n">
        <v>4</v>
      </c>
      <c r="H22" s="75" t="n">
        <v>4</v>
      </c>
      <c r="I22" s="75" t="n">
        <v>0</v>
      </c>
      <c r="J22" s="75">
        <f>F22-(1/H22)</f>
        <v/>
      </c>
      <c r="K22" s="75">
        <f>((I22-((H22-1)/H22))-(-5/6))/((5-(5/6))-(-5/6))</f>
        <v/>
      </c>
      <c r="L22" s="75">
        <f>E22-((E19+E20+E21)/3)</f>
        <v/>
      </c>
      <c r="M22" s="78">
        <f>0.5 + (L22 * 0.09)</f>
        <v/>
      </c>
      <c r="N22" s="75">
        <f>((H22-(G22-1))/H22)*(IF(I22&lt;&gt;0,(I22+H22)/H22,1))</f>
        <v/>
      </c>
      <c r="O22" s="79">
        <f>(N22-(1/6))/(10/6)</f>
        <v/>
      </c>
      <c r="P22" s="75" t="n">
        <v>12</v>
      </c>
      <c r="Q22" s="79">
        <f>IF(F22=1,(((1-((P22-3)/15))*0.5)+0.5),((P22/18)*0.5))</f>
        <v/>
      </c>
      <c r="R22" s="75" t="n">
        <v>1</v>
      </c>
      <c r="S22" s="75" t="n">
        <v>1</v>
      </c>
      <c r="T22" s="75" t="n">
        <v>1</v>
      </c>
      <c r="U22" s="79">
        <f>IFERROR(T22/S22, 1)</f>
        <v/>
      </c>
      <c r="V22" s="80" t="n">
        <v>0</v>
      </c>
      <c r="W22" s="77" t="n">
        <v>2</v>
      </c>
      <c r="X22" s="85">
        <f>((O22*0.3)+(Q22*0.175)+(R22*0.175)+(U22*0.175)+((1-V22)*0.175))+W22</f>
        <v/>
      </c>
      <c r="Y22" t="n">
        <v>787397</v>
      </c>
    </row>
    <row r="23" ht="14.25" customHeight="1" s="52">
      <c r="A23" s="93" t="n">
        <v>46220</v>
      </c>
      <c r="B23" s="51" t="n">
        <v>6</v>
      </c>
      <c r="C23" s="51" t="inlineStr">
        <is>
          <t>Mateo</t>
        </is>
      </c>
      <c r="D23" s="51" t="inlineStr">
        <is>
          <t>Kratos, God of War</t>
        </is>
      </c>
      <c r="E23" s="68" t="n">
        <v>2</v>
      </c>
      <c r="F23" s="51" t="n">
        <v>1</v>
      </c>
      <c r="G23" s="51" t="n">
        <v>1</v>
      </c>
      <c r="H23" s="51" t="n">
        <v>5</v>
      </c>
      <c r="I23" s="51" t="n">
        <v>2</v>
      </c>
      <c r="J23" s="51">
        <f>F23-(1/H23)</f>
        <v/>
      </c>
      <c r="K23" s="51">
        <f>((I23-((H23-1)/H23))-(-5/6))/((5-(5/6))-(-5/6))</f>
        <v/>
      </c>
      <c r="L23" s="87">
        <f>E23-((E24+E25+E26+E27)/4)</f>
        <v/>
      </c>
      <c r="M23" s="94">
        <f>0.5 + (L23 * 0.09)</f>
        <v/>
      </c>
      <c r="N23" s="51">
        <f>((H23-(G23-1))/H23)*(IF(I23&lt;&gt;0,(I23+H23)/H23,1))</f>
        <v/>
      </c>
      <c r="O23" s="71">
        <f>(N23-(1/6))/(10/6)</f>
        <v/>
      </c>
      <c r="P23" s="51" t="n">
        <v>9</v>
      </c>
      <c r="Q23" s="71">
        <f>IF(F23=1,(((1-((P23-3)/15))*0.5)+0.5),((P23/18)*0.5))</f>
        <v/>
      </c>
      <c r="R23" s="51" t="n">
        <v>1</v>
      </c>
      <c r="S23" s="51" t="n">
        <v>0</v>
      </c>
      <c r="T23" s="51" t="n">
        <v>0</v>
      </c>
      <c r="U23" s="71">
        <f>IFERROR(T23/S23, 1)</f>
        <v/>
      </c>
      <c r="V23" s="72" t="n">
        <v>0</v>
      </c>
      <c r="W23" s="69" t="n">
        <v>2</v>
      </c>
      <c r="X23" s="82">
        <f>((O23*0.3)+(Q23*0.175)+(R23*0.175)+(U23*0.175)+((1-V23)*0.175))+W23</f>
        <v/>
      </c>
      <c r="Y23" t="n">
        <v>823975</v>
      </c>
    </row>
    <row r="24" ht="14.25" customHeight="1" s="52">
      <c r="A24" s="93" t="n">
        <v>46220</v>
      </c>
      <c r="B24" s="51" t="n">
        <v>6</v>
      </c>
      <c r="C24" s="51" t="inlineStr">
        <is>
          <t>Joseph</t>
        </is>
      </c>
      <c r="D24" s="51" t="inlineStr">
        <is>
          <t>Ultima, Origin of Oblivion</t>
        </is>
      </c>
      <c r="E24" s="68" t="n">
        <v>3</v>
      </c>
      <c r="F24" s="51" t="n">
        <v>0</v>
      </c>
      <c r="G24" s="51" t="n">
        <v>2</v>
      </c>
      <c r="H24" s="51" t="n">
        <v>5</v>
      </c>
      <c r="I24" s="51" t="n">
        <v>2</v>
      </c>
      <c r="J24" s="51">
        <f>F24-(1/H24)</f>
        <v/>
      </c>
      <c r="K24" s="51">
        <f>((I24-((H24-1)/H24))-(-5/6))/((5-(5/6))-(-5/6))</f>
        <v/>
      </c>
      <c r="L24" s="51">
        <f>E24-((E23+E25+E26+E27)/4)</f>
        <v/>
      </c>
      <c r="M24" s="70">
        <f>0.5 + (L24 * 0.09)</f>
        <v/>
      </c>
      <c r="N24" s="51">
        <f>((H24-(G24-1))/H24)*(IF(I24&lt;&gt;0,(I24+H24)/H24,1))</f>
        <v/>
      </c>
      <c r="O24" s="71">
        <f>(N24-(1/6))/(10/6)</f>
        <v/>
      </c>
      <c r="P24" s="51" t="n">
        <v>9</v>
      </c>
      <c r="Q24" s="71">
        <f>IF(F24=1,(((1-((P24-3)/15))*0.5)+0.5),((P24/18)*0.5))</f>
        <v/>
      </c>
      <c r="R24" s="51" t="n">
        <v>1</v>
      </c>
      <c r="S24" s="51" t="n">
        <v>0</v>
      </c>
      <c r="T24" s="51" t="n">
        <v>0</v>
      </c>
      <c r="U24" s="71">
        <f>IFERROR(T24/S24, 1)</f>
        <v/>
      </c>
      <c r="V24" s="72" t="n">
        <v>0</v>
      </c>
      <c r="W24" s="69" t="n">
        <v>3</v>
      </c>
      <c r="X24" s="82">
        <f>((O24*0.3)+(Q24*0.175)+(R24*0.175)+(U24*0.175)+((1-V24)*0.175))+W24</f>
        <v/>
      </c>
      <c r="Y24" t="n">
        <v>823975</v>
      </c>
    </row>
    <row r="25" ht="14.25" customHeight="1" s="52">
      <c r="A25" s="93" t="n">
        <v>46220</v>
      </c>
      <c r="B25" s="51" t="n">
        <v>6</v>
      </c>
      <c r="C25" s="51" t="inlineStr">
        <is>
          <t>Manny</t>
        </is>
      </c>
      <c r="D25" s="51" t="inlineStr">
        <is>
          <t>Kruphix, God of Horizons</t>
        </is>
      </c>
      <c r="E25" s="68" t="n">
        <v>2.6</v>
      </c>
      <c r="F25" s="51" t="n">
        <v>0</v>
      </c>
      <c r="G25" s="51" t="n">
        <v>3</v>
      </c>
      <c r="H25" s="51" t="n">
        <v>5</v>
      </c>
      <c r="I25" s="51" t="n">
        <v>0</v>
      </c>
      <c r="J25" s="51">
        <f>F25-(1/H25)</f>
        <v/>
      </c>
      <c r="K25" s="51">
        <f>((I25-((H25-1)/H25))-(-5/6))/((5-(5/6))-(-5/6))</f>
        <v/>
      </c>
      <c r="L25" s="51">
        <f>E25-((E23+E24+E26+E27)/4)</f>
        <v/>
      </c>
      <c r="M25" s="70">
        <f>0.5 + (L25 * 0.09)</f>
        <v/>
      </c>
      <c r="N25" s="51">
        <f>((H25-(G25-1))/H25)*(IF(I25&lt;&gt;0,(I25+H25)/H25,1))</f>
        <v/>
      </c>
      <c r="O25" s="71">
        <f>(N25-(1/6))/(10/6)</f>
        <v/>
      </c>
      <c r="P25" s="51" t="n">
        <v>8</v>
      </c>
      <c r="Q25" s="71">
        <f>IF(F25=1,(((1-((P25-3)/15))*0.5)+0.5),((P25/18)*0.5))</f>
        <v/>
      </c>
      <c r="R25" s="51" t="n">
        <v>0</v>
      </c>
      <c r="S25" s="51" t="n">
        <v>0</v>
      </c>
      <c r="T25" s="51" t="n">
        <v>0</v>
      </c>
      <c r="U25" s="71">
        <f>IFERROR(T25/S25, 1)</f>
        <v/>
      </c>
      <c r="V25" s="72" t="n">
        <v>0</v>
      </c>
      <c r="W25" s="69" t="n">
        <v>2</v>
      </c>
      <c r="X25" s="82">
        <f>((O25*0.3)+(Q25*0.175)+(R25*0.175)+(U25*0.175)+((1-V25)*0.175))+W25</f>
        <v/>
      </c>
      <c r="Y25" t="n">
        <v>823975</v>
      </c>
    </row>
    <row r="26" ht="14.25" customHeight="1" s="52">
      <c r="A26" s="93" t="n">
        <v>46220</v>
      </c>
      <c r="B26" s="51" t="n">
        <v>6</v>
      </c>
      <c r="C26" s="51" t="inlineStr">
        <is>
          <t>Ryan</t>
        </is>
      </c>
      <c r="D26" s="51" t="inlineStr">
        <is>
          <t>Ashling, The Limitless</t>
        </is>
      </c>
      <c r="E26" s="68" t="n">
        <v>3.5</v>
      </c>
      <c r="F26" s="51" t="n">
        <v>0</v>
      </c>
      <c r="G26" s="51" t="n">
        <v>4</v>
      </c>
      <c r="H26" s="51" t="n">
        <v>5</v>
      </c>
      <c r="I26" s="51" t="n">
        <v>0</v>
      </c>
      <c r="J26" s="51">
        <f>F26-(1/H26)</f>
        <v/>
      </c>
      <c r="K26" s="51">
        <f>((I26-((H26-1)/H26))-(-5/6))/((5-(5/6))-(-5/6))</f>
        <v/>
      </c>
      <c r="L26" s="51">
        <f>E26-((E23+E24+E25+E27)/4)</f>
        <v/>
      </c>
      <c r="M26" s="70">
        <f>0.5 + (L26 * 0.09)</f>
        <v/>
      </c>
      <c r="N26" s="51">
        <f>((H26-(G26-1))/H26)*(IF(I26&lt;&gt;0,(I26+H26)/H26,1))</f>
        <v/>
      </c>
      <c r="O26" s="71">
        <f>(N26-(1/6))/(10/6)</f>
        <v/>
      </c>
      <c r="P26" s="51" t="n">
        <v>8</v>
      </c>
      <c r="Q26" s="71">
        <f>IF(F26=1,(((1-((P26-3)/15))*0.5)+0.5),((P26/18)*0.5))</f>
        <v/>
      </c>
      <c r="R26" s="51" t="n">
        <v>0</v>
      </c>
      <c r="S26" s="51" t="n">
        <v>0</v>
      </c>
      <c r="T26" s="51" t="n">
        <v>0</v>
      </c>
      <c r="U26" s="71">
        <f>IFERROR(T26/S26, 1)</f>
        <v/>
      </c>
      <c r="V26" s="72" t="n">
        <v>0</v>
      </c>
      <c r="W26" s="69" t="n">
        <v>3</v>
      </c>
      <c r="X26" s="82">
        <f>((O26*0.3)+(Q26*0.175)+(R26*0.175)+(U26*0.175)+((1-V26)*0.175))+W26</f>
        <v/>
      </c>
      <c r="Y26" t="n">
        <v>823975</v>
      </c>
    </row>
    <row r="27" ht="14.25" customHeight="1" s="52">
      <c r="A27" s="92" t="n">
        <v>46220</v>
      </c>
      <c r="B27" s="75" t="n">
        <v>6</v>
      </c>
      <c r="C27" s="75" t="inlineStr">
        <is>
          <t>Kristy</t>
        </is>
      </c>
      <c r="D27" s="75" t="inlineStr">
        <is>
          <t>Doctor Doom, King of Latveria</t>
        </is>
      </c>
      <c r="E27" s="76" t="n">
        <v>2</v>
      </c>
      <c r="F27" s="75" t="n">
        <v>0</v>
      </c>
      <c r="G27" s="75" t="n">
        <v>5</v>
      </c>
      <c r="H27" s="75" t="n">
        <v>5</v>
      </c>
      <c r="I27" s="75" t="n">
        <v>0</v>
      </c>
      <c r="J27" s="75">
        <f>F27-(1/H27)</f>
        <v/>
      </c>
      <c r="K27" s="75">
        <f>((I27-((H27-1)/H27))-(-5/6))/((5-(5/6))-(-5/6))</f>
        <v/>
      </c>
      <c r="L27" s="75">
        <f>E27-((E23+E24+E25+E26)/4)</f>
        <v/>
      </c>
      <c r="M27" s="78">
        <f>0.5 + (L27 * 0.09)</f>
        <v/>
      </c>
      <c r="N27" s="75">
        <f>((H27-(G27-1))/H27)*(IF(I27&lt;&gt;0,(I27+H27)/H27,1))</f>
        <v/>
      </c>
      <c r="O27" s="79">
        <f>(N27-(1/6))/(10/6)</f>
        <v/>
      </c>
      <c r="P27" s="75" t="n">
        <v>8</v>
      </c>
      <c r="Q27" s="79">
        <f>IF(F27=1,(((1-((P27-3)/15))*0.5)+0.5),((P27/18)*0.5))</f>
        <v/>
      </c>
      <c r="R27" s="75" t="n">
        <v>0</v>
      </c>
      <c r="S27" s="75" t="n">
        <v>0</v>
      </c>
      <c r="T27" s="75" t="n">
        <v>0</v>
      </c>
      <c r="U27" s="79">
        <f>IFERROR(T27/S27, 1)</f>
        <v/>
      </c>
      <c r="V27" s="80" t="n">
        <v>0</v>
      </c>
      <c r="W27" s="77" t="n">
        <v>2</v>
      </c>
      <c r="X27" s="85">
        <f>((O27*0.3)+(Q27*0.175)+(R27*0.175)+(U27*0.175)+((1-V27)*0.175))+W27</f>
        <v/>
      </c>
      <c r="Y27" t="n">
        <v>823975</v>
      </c>
    </row>
    <row r="28" ht="14.25" customHeight="1" s="52">
      <c r="A28" s="93" t="n">
        <v>46220</v>
      </c>
      <c r="B28" s="51" t="n">
        <v>7</v>
      </c>
      <c r="C28" s="51" t="inlineStr">
        <is>
          <t>Manny</t>
        </is>
      </c>
      <c r="D28" s="51" t="inlineStr">
        <is>
          <t>Aragorn, the Uniter</t>
        </is>
      </c>
      <c r="E28" s="68" t="n">
        <v>3.5</v>
      </c>
      <c r="F28" s="51" t="n">
        <v>1</v>
      </c>
      <c r="G28" s="51" t="n">
        <v>1</v>
      </c>
      <c r="H28" s="51" t="n">
        <v>4</v>
      </c>
      <c r="I28" s="51" t="n">
        <v>2</v>
      </c>
      <c r="J28" s="51">
        <f>F28-(1/H28)</f>
        <v/>
      </c>
      <c r="K28" s="51">
        <f>((I28-((H28-1)/H28))-(-5/6))/((5-(5/6))-(-5/6))</f>
        <v/>
      </c>
      <c r="L28" s="51">
        <f>E28-((E29+E30+E31)/3)</f>
        <v/>
      </c>
      <c r="M28" s="70">
        <f>0.5 + (L28 * 0.09)</f>
        <v/>
      </c>
      <c r="N28" s="51">
        <f>((H28-(G28-1))/H28)*(IF(I28&lt;&gt;0,(I28+H28)/H28,1))</f>
        <v/>
      </c>
      <c r="O28" s="71">
        <f>(N28-(1/6))/(10/6)</f>
        <v/>
      </c>
      <c r="P28" s="51" t="n">
        <v>8</v>
      </c>
      <c r="Q28" s="71">
        <f>IF(F28=1,(((1-((P28-3)/15))*0.5)+0.5),((P28/18)*0.5))</f>
        <v/>
      </c>
      <c r="R28" s="51" t="n">
        <v>1</v>
      </c>
      <c r="S28" s="51" t="n">
        <v>0</v>
      </c>
      <c r="T28" s="51" t="n">
        <v>0</v>
      </c>
      <c r="U28" s="71">
        <f>IFERROR(T28/S28, 1)</f>
        <v/>
      </c>
      <c r="V28" s="72" t="n">
        <v>0</v>
      </c>
      <c r="W28" s="69" t="n">
        <v>3</v>
      </c>
      <c r="X28" s="97">
        <f>((O28*0.3)+(Q28*0.175)+(R28*0.175)+(U28*0.175)+((1-V28)*0.175))+W28</f>
        <v/>
      </c>
      <c r="Y28" t="n">
        <v>824881</v>
      </c>
    </row>
    <row r="29" ht="14.25" customHeight="1" s="52">
      <c r="A29" s="93" t="n">
        <v>46220</v>
      </c>
      <c r="B29" s="51" t="n">
        <v>7</v>
      </c>
      <c r="C29" s="51" t="inlineStr">
        <is>
          <t>Ryan</t>
        </is>
      </c>
      <c r="D29" s="51" t="inlineStr">
        <is>
          <t>Arna Kennerud, Skycaptain</t>
        </is>
      </c>
      <c r="E29" s="68" t="n">
        <v>2</v>
      </c>
      <c r="F29" s="51" t="n">
        <v>0</v>
      </c>
      <c r="G29" s="51" t="n">
        <v>2</v>
      </c>
      <c r="H29" s="51" t="n">
        <v>4</v>
      </c>
      <c r="I29" s="51" t="n">
        <v>1</v>
      </c>
      <c r="J29" s="51">
        <f>F29-(1/H29)</f>
        <v/>
      </c>
      <c r="K29" s="51">
        <f>((I29-((H29-1)/H29))-(-5/6))/((5-(5/6))-(-5/6))</f>
        <v/>
      </c>
      <c r="L29" s="51">
        <f>E29-((E28+E30+E31)/3)</f>
        <v/>
      </c>
      <c r="M29" s="70">
        <f>0.5 + (L29 * 0.09)</f>
        <v/>
      </c>
      <c r="N29" s="51">
        <f>((H29-(G29-1))/H29)*(IF(I29&lt;&gt;0,(I29+H29)/H29,1))</f>
        <v/>
      </c>
      <c r="O29" s="71">
        <f>(N29-(1/6))/(10/6)</f>
        <v/>
      </c>
      <c r="P29" s="51" t="n">
        <v>8</v>
      </c>
      <c r="Q29" s="71">
        <f>IF(F29=1,(((1-((P29-3)/15))*0.5)+0.5),((P29/18)*0.5))</f>
        <v/>
      </c>
      <c r="R29" s="51" t="n">
        <v>1</v>
      </c>
      <c r="S29" s="51" t="n">
        <v>0</v>
      </c>
      <c r="T29" s="51" t="n">
        <v>0</v>
      </c>
      <c r="U29" s="71">
        <f>IFERROR(T29/S29, 1)</f>
        <v/>
      </c>
      <c r="V29" s="72" t="n">
        <v>0</v>
      </c>
      <c r="W29" s="69" t="n">
        <v>2</v>
      </c>
      <c r="X29" s="82">
        <f>((O29*0.3)+(Q29*0.175)+(R29*0.175)+(U29*0.175)+((1-V29)*0.175))+W29</f>
        <v/>
      </c>
      <c r="Y29" t="n">
        <v>824881</v>
      </c>
    </row>
    <row r="30" ht="14.25" customHeight="1" s="52">
      <c r="A30" s="93" t="n">
        <v>46220</v>
      </c>
      <c r="B30" s="51" t="n">
        <v>7</v>
      </c>
      <c r="C30" s="51" t="inlineStr">
        <is>
          <t>Mateo</t>
        </is>
      </c>
      <c r="D30" s="51" t="inlineStr">
        <is>
          <t>Captain America, Team Leader</t>
        </is>
      </c>
      <c r="E30" s="68" t="n">
        <v>3.7</v>
      </c>
      <c r="F30" s="51" t="n">
        <v>0</v>
      </c>
      <c r="G30" s="51" t="n">
        <v>2</v>
      </c>
      <c r="H30" s="51" t="n">
        <v>4</v>
      </c>
      <c r="I30" s="51" t="n">
        <v>0</v>
      </c>
      <c r="J30" s="51">
        <f>F30-(1/H30)</f>
        <v/>
      </c>
      <c r="K30" s="51">
        <f>((I30-((H30-1)/H30))-(-5/6))/((5-(5/6))-(-5/6))</f>
        <v/>
      </c>
      <c r="L30" s="51">
        <f>E30-((E28+E29+E31)/3)</f>
        <v/>
      </c>
      <c r="M30" s="70">
        <f>0.5 + (L30 * 0.09)</f>
        <v/>
      </c>
      <c r="N30" s="51">
        <f>((H30-(G30-1))/H30)*(IF(I30&lt;&gt;0,(I30+H30)/H30,1))</f>
        <v/>
      </c>
      <c r="O30" s="71">
        <f>(N30-(1/6))/(10/6)</f>
        <v/>
      </c>
      <c r="P30" s="51" t="n">
        <v>8</v>
      </c>
      <c r="Q30" s="71">
        <f>IF(F30=1,(((1-((P30-3)/15))*0.5)+0.5),((P30/18)*0.5))</f>
        <v/>
      </c>
      <c r="R30" s="51" t="n">
        <v>0</v>
      </c>
      <c r="S30" s="51" t="n">
        <v>0</v>
      </c>
      <c r="T30" s="51" t="n">
        <v>0</v>
      </c>
      <c r="U30" s="71">
        <f>IFERROR(T30/S30, 1)</f>
        <v/>
      </c>
      <c r="V30" s="72" t="n">
        <v>0</v>
      </c>
      <c r="W30" s="69" t="n">
        <v>3</v>
      </c>
      <c r="X30" s="82">
        <f>((O30*0.3)+(Q30*0.175)+(R30*0.175)+(U30*0.175)+((1-V30)*0.175))+W30</f>
        <v/>
      </c>
      <c r="Y30" t="n">
        <v>824881</v>
      </c>
    </row>
    <row r="31" ht="14.25" customHeight="1" s="52">
      <c r="A31" s="92" t="n">
        <v>46220</v>
      </c>
      <c r="B31" s="75" t="n">
        <v>7</v>
      </c>
      <c r="C31" s="75" t="inlineStr">
        <is>
          <t>Becca</t>
        </is>
      </c>
      <c r="D31" s="75" t="inlineStr">
        <is>
          <t>Ms. Bumbleflower</t>
        </is>
      </c>
      <c r="E31" s="76" t="n">
        <v>2.8</v>
      </c>
      <c r="F31" s="75" t="n">
        <v>0</v>
      </c>
      <c r="G31" s="75" t="n">
        <v>4</v>
      </c>
      <c r="H31" s="75" t="n">
        <v>4</v>
      </c>
      <c r="I31" s="75" t="n">
        <v>0</v>
      </c>
      <c r="J31" s="75">
        <f>F31-(1/H31)</f>
        <v/>
      </c>
      <c r="K31" s="75">
        <f>((I31-((H31-1)/H31))-(-5/6))/((5-(5/6))-(-5/6))</f>
        <v/>
      </c>
      <c r="L31" s="75">
        <f>E31-((E28+E29+E30)/3)</f>
        <v/>
      </c>
      <c r="M31" s="78">
        <f>0.5 + (L31 * 0.09)</f>
        <v/>
      </c>
      <c r="N31" s="75">
        <f>((H31-(G31-1))/H31)*(IF(I31&lt;&gt;0,(I31+H31)/H31,1))</f>
        <v/>
      </c>
      <c r="O31" s="79">
        <f>(N31-(1/6))/(10/6)</f>
        <v/>
      </c>
      <c r="P31" s="75" t="n">
        <v>8</v>
      </c>
      <c r="Q31" s="79">
        <f>IF(F31=1,(((1-((P31-3)/15))*0.5)+0.5),((P31/18)*0.5))</f>
        <v/>
      </c>
      <c r="R31" s="75" t="n">
        <v>0</v>
      </c>
      <c r="S31" s="75" t="n">
        <v>0</v>
      </c>
      <c r="T31" s="75" t="n">
        <v>0</v>
      </c>
      <c r="U31" s="79">
        <f>IFERROR(T31/S31, 1)</f>
        <v/>
      </c>
      <c r="V31" s="80" t="n">
        <v>0</v>
      </c>
      <c r="W31" s="77" t="n">
        <v>2</v>
      </c>
      <c r="X31" s="85">
        <f>((O31*0.3)+(Q31*0.175)+(R31*0.175)+(U31*0.175)+((1-V31)*0.175))+W31</f>
        <v/>
      </c>
      <c r="Y31" t="n">
        <v>824881</v>
      </c>
    </row>
    <row r="32" ht="14.25" customHeight="1" s="52">
      <c r="A32" s="93" t="n">
        <v>46225</v>
      </c>
      <c r="B32" s="51" t="n">
        <v>8</v>
      </c>
      <c r="C32" s="51" t="inlineStr">
        <is>
          <t>Manny</t>
        </is>
      </c>
      <c r="D32" s="51" t="inlineStr">
        <is>
          <t>Galadriel, Light of Valinor</t>
        </is>
      </c>
      <c r="E32" s="68" t="n">
        <v>3.4</v>
      </c>
      <c r="F32" s="51" t="n">
        <v>1</v>
      </c>
      <c r="G32" s="51" t="n">
        <v>1</v>
      </c>
      <c r="H32" s="51" t="n">
        <v>3</v>
      </c>
      <c r="I32" s="51" t="n">
        <v>2</v>
      </c>
      <c r="J32" s="51">
        <f>F32-(1/H32)</f>
        <v/>
      </c>
      <c r="K32" s="51">
        <f>((I32-((H32-1)/H32))-(-5/6))/((5-(5/6))-(-5/6))</f>
        <v/>
      </c>
      <c r="L32" s="68">
        <f>E32-((E33+E34)/2)</f>
        <v/>
      </c>
      <c r="M32" s="70">
        <f>0.5 + (L32 * 0.09)</f>
        <v/>
      </c>
      <c r="N32" s="51">
        <f>((H32-(G32-1))/H32)*(IF(I32&lt;&gt;0,(I32+H32)/H32,1))</f>
        <v/>
      </c>
      <c r="O32" s="71">
        <f>(N32-(1/6))/(10/6)</f>
        <v/>
      </c>
      <c r="P32" s="51" t="n">
        <v>9</v>
      </c>
      <c r="Q32" s="71">
        <f>IF(F32=1,(((1-((P32-3)/15))*0.5)+0.5),((P32/18)*0.5))</f>
        <v/>
      </c>
      <c r="R32" s="51" t="n">
        <v>1</v>
      </c>
      <c r="S32" s="51" t="n">
        <v>0</v>
      </c>
      <c r="T32" s="51" t="n">
        <v>0</v>
      </c>
      <c r="U32" s="71">
        <f>IFERROR(T32/S32, 1)</f>
        <v/>
      </c>
      <c r="V32" s="72" t="n">
        <v>0</v>
      </c>
      <c r="W32" s="69" t="n">
        <v>3</v>
      </c>
      <c r="X32" s="97">
        <f>((O32*0.3)+(Q32*0.175)+(R32*0.175)+(U32*0.175)+((1-V32)*0.175))+W32</f>
        <v/>
      </c>
      <c r="Y32" t="n">
        <v>848075</v>
      </c>
    </row>
    <row r="33" ht="14.25" customHeight="1" s="52">
      <c r="A33" s="93" t="n">
        <v>46225</v>
      </c>
      <c r="B33" s="51" t="n">
        <v>8</v>
      </c>
      <c r="C33" s="51" t="inlineStr">
        <is>
          <t>Becca</t>
        </is>
      </c>
      <c r="D33" s="51" t="inlineStr">
        <is>
          <t>Eshki, Temur's Roar (Manny's)</t>
        </is>
      </c>
      <c r="E33" s="68" t="n">
        <v>2</v>
      </c>
      <c r="F33" s="51" t="n">
        <v>0</v>
      </c>
      <c r="G33" s="51" t="n">
        <v>2</v>
      </c>
      <c r="H33" s="51" t="n">
        <v>3</v>
      </c>
      <c r="I33" s="51" t="n">
        <v>0</v>
      </c>
      <c r="J33" s="51">
        <f>F33-(1/H33)</f>
        <v/>
      </c>
      <c r="K33" s="51">
        <f>((I33-((H33-1)/H33))-(-5/6))/((5-(5/6))-(-5/6))</f>
        <v/>
      </c>
      <c r="L33" s="51">
        <f>E33-((E32+E34)/2)</f>
        <v/>
      </c>
      <c r="M33" s="70">
        <f>0.5 + (L33 * 0.09)</f>
        <v/>
      </c>
      <c r="N33" s="51">
        <f>((H33-(G33-1))/H33)*(IF(I33&lt;&gt;0,(I33+H33)/H33,1))</f>
        <v/>
      </c>
      <c r="O33" s="71">
        <f>(N33-(1/6))/(10/6)</f>
        <v/>
      </c>
      <c r="P33" s="51" t="n">
        <v>9</v>
      </c>
      <c r="Q33" s="71">
        <f>IF(F33=1,(((1-((P33-3)/15))*0.5)+0.5),((P33/18)*0.5))</f>
        <v/>
      </c>
      <c r="R33" s="51" t="n">
        <v>0</v>
      </c>
      <c r="S33" s="51" t="n">
        <v>0</v>
      </c>
      <c r="T33" s="51" t="n">
        <v>0</v>
      </c>
      <c r="U33" s="71">
        <f>IFERROR(T33/S33, 1)</f>
        <v/>
      </c>
      <c r="V33" s="72" t="n">
        <v>0</v>
      </c>
      <c r="W33" s="69" t="n">
        <v>2</v>
      </c>
      <c r="X33" s="82">
        <f>((O33*0.3)+(Q33*0.175)+(R33*0.175)+(U33*0.175)+((1-V33)*0.175))+W33</f>
        <v/>
      </c>
      <c r="Y33" t="n">
        <v>848075</v>
      </c>
    </row>
    <row r="34" ht="14.25" customHeight="1" s="52">
      <c r="A34" s="92" t="n">
        <v>46225</v>
      </c>
      <c r="B34" s="75" t="n">
        <v>8</v>
      </c>
      <c r="C34" s="75" t="inlineStr">
        <is>
          <t>Ryan</t>
        </is>
      </c>
      <c r="D34" s="75" t="inlineStr">
        <is>
          <t>Witherbloom, The Balancer</t>
        </is>
      </c>
      <c r="E34" s="76" t="n">
        <v>2.4</v>
      </c>
      <c r="F34" s="75" t="n">
        <v>0</v>
      </c>
      <c r="G34" s="75" t="n">
        <v>3</v>
      </c>
      <c r="H34" s="75" t="n">
        <v>3</v>
      </c>
      <c r="I34" s="75" t="n">
        <v>0</v>
      </c>
      <c r="J34" s="75">
        <f>F34-(1/H34)</f>
        <v/>
      </c>
      <c r="K34" s="75">
        <f>((I34-((H34-1)/H34))-(-5/6))/((5-(5/6))-(-5/6))</f>
        <v/>
      </c>
      <c r="L34" s="75">
        <f>E34-((E32+E33)/2)</f>
        <v/>
      </c>
      <c r="M34" s="78">
        <f>0.5 + (L34 * 0.09)</f>
        <v/>
      </c>
      <c r="N34" s="75">
        <f>((H34-(G34-1))/H34)*(IF(I34&lt;&gt;0,(I34+H34)/H34,1))</f>
        <v/>
      </c>
      <c r="O34" s="79">
        <f>(N34-(1/6))/(10/6)</f>
        <v/>
      </c>
      <c r="P34" s="75" t="n">
        <v>8</v>
      </c>
      <c r="Q34" s="79">
        <f>IF(F34=1,(((1-((P34-3)/15))*0.5)+0.5),((P34/18)*0.5))</f>
        <v/>
      </c>
      <c r="R34" s="75" t="n">
        <v>1</v>
      </c>
      <c r="S34" s="75" t="n">
        <v>0</v>
      </c>
      <c r="T34" s="75" t="n">
        <v>0</v>
      </c>
      <c r="U34" s="79">
        <f>IFERROR(T34/S34, 1)</f>
        <v/>
      </c>
      <c r="V34" s="80" t="n">
        <v>0</v>
      </c>
      <c r="W34" s="77" t="n">
        <v>2</v>
      </c>
      <c r="X34" s="85">
        <f>((O34*0.3)+(Q34*0.175)+(R34*0.175)+(U34*0.175)+((1-V34)*0.175))+W34</f>
        <v/>
      </c>
      <c r="Y34" t="n">
        <v>848075</v>
      </c>
    </row>
    <row r="35" ht="14.25" customHeight="1" s="52">
      <c r="A35" s="93" t="n">
        <v>46227</v>
      </c>
      <c r="B35" s="51" t="n">
        <v>9</v>
      </c>
      <c r="C35" s="51" t="inlineStr">
        <is>
          <t>Manny</t>
        </is>
      </c>
      <c r="D35" s="51" t="inlineStr">
        <is>
          <t>Galadriel, Light of Valinor</t>
        </is>
      </c>
      <c r="E35" s="68" t="n">
        <v>3.9</v>
      </c>
      <c r="F35" s="51" t="n">
        <v>1</v>
      </c>
      <c r="G35" s="51" t="n">
        <v>1</v>
      </c>
      <c r="H35" s="51" t="n">
        <v>4</v>
      </c>
      <c r="I35" s="51" t="n">
        <v>3</v>
      </c>
      <c r="J35" s="51">
        <f>F35-(1/H35)</f>
        <v/>
      </c>
      <c r="K35" s="51">
        <f>((I35-((H35-1)/H35))-(-5/6))/((5-(5/6))-(-5/6))</f>
        <v/>
      </c>
      <c r="L35" s="51">
        <f>E35-((E36+E37+E38)/3)</f>
        <v/>
      </c>
      <c r="M35" s="70">
        <f>0.5 + (L35 * 0.09)</f>
        <v/>
      </c>
      <c r="N35" s="51">
        <f>((H35-(G35-1))/H35)*(IF(I35&lt;&gt;0,(I35+H35)/H35,1))</f>
        <v/>
      </c>
      <c r="O35" s="71">
        <f>(N35-(1/6))/(10/6)</f>
        <v/>
      </c>
      <c r="P35" s="51" t="n">
        <v>13</v>
      </c>
      <c r="Q35" s="71">
        <f>IF(F35=1,(((1-((P35-3)/15))*0.5)+0.5),((P35/18)*0.5))</f>
        <v/>
      </c>
      <c r="R35" s="51" t="n">
        <v>1</v>
      </c>
      <c r="S35" s="51" t="n">
        <v>2</v>
      </c>
      <c r="T35" s="51" t="n">
        <v>1</v>
      </c>
      <c r="U35" s="71">
        <f>IFERROR(T35/S35, 1)</f>
        <v/>
      </c>
      <c r="V35" s="72" t="n">
        <v>0</v>
      </c>
      <c r="W35" s="69" t="n">
        <v>3</v>
      </c>
      <c r="X35" s="97">
        <f>((O35*0.3)+(Q35*0.175)+(R35*0.175)+(U35*0.175)+((1-V35)*0.175))+W35</f>
        <v/>
      </c>
      <c r="Y35" t="n">
        <v>862064</v>
      </c>
    </row>
    <row r="36" ht="14.25" customHeight="1" s="52">
      <c r="A36" s="93" t="n">
        <v>46227</v>
      </c>
      <c r="B36" s="51" t="n">
        <v>9</v>
      </c>
      <c r="C36" s="51" t="inlineStr">
        <is>
          <t>Ryan</t>
        </is>
      </c>
      <c r="D36" s="51" t="inlineStr">
        <is>
          <t>Preston Garvey, Minuteman</t>
        </is>
      </c>
      <c r="E36" s="68" t="n">
        <v>3.5</v>
      </c>
      <c r="F36" s="51" t="n">
        <v>0</v>
      </c>
      <c r="G36" s="51" t="n">
        <v>2</v>
      </c>
      <c r="H36" s="51" t="n">
        <v>4</v>
      </c>
      <c r="I36" s="51" t="n">
        <v>0</v>
      </c>
      <c r="J36" s="51">
        <f>F36-(1/H36)</f>
        <v/>
      </c>
      <c r="K36" s="51">
        <f>((I36-((H36-1)/H36))-(-5/6))/((5-(5/6))-(-5/6))</f>
        <v/>
      </c>
      <c r="L36" s="51">
        <f>E36-((E35+E37+E38)/3)</f>
        <v/>
      </c>
      <c r="M36" s="70">
        <f>0.5 + (L36 * 0.09)</f>
        <v/>
      </c>
      <c r="N36" s="51">
        <f>((H36-(G36-1))/H36)*(IF(I36&lt;&gt;0,(I36+H36)/H36,1))</f>
        <v/>
      </c>
      <c r="O36" s="71">
        <f>(N36-(1/6))/(10/6)</f>
        <v/>
      </c>
      <c r="P36" s="51" t="n">
        <v>13</v>
      </c>
      <c r="Q36" s="71">
        <f>IF(F36=1,(((1-((P36-3)/15))*0.5)+0.5),((P36/18)*0.5))</f>
        <v/>
      </c>
      <c r="R36" s="51" t="n">
        <v>1</v>
      </c>
      <c r="S36" s="51" t="n">
        <v>2</v>
      </c>
      <c r="T36" s="51" t="n">
        <v>1</v>
      </c>
      <c r="U36" s="71">
        <f>IFERROR(T36/S36, 1)</f>
        <v/>
      </c>
      <c r="V36" s="72" t="n">
        <v>0</v>
      </c>
      <c r="W36" s="69" t="n">
        <v>3</v>
      </c>
      <c r="X36" s="82">
        <f>((O36*0.3)+(Q36*0.175)+(R36*0.175)+(U36*0.175)+((1-V36)*0.175))+W36</f>
        <v/>
      </c>
      <c r="Y36" t="n">
        <v>862064</v>
      </c>
    </row>
    <row r="37" ht="14.25" customHeight="1" s="52">
      <c r="A37" s="93" t="n">
        <v>46227</v>
      </c>
      <c r="B37" s="51" t="n">
        <v>9</v>
      </c>
      <c r="C37" s="51" t="inlineStr">
        <is>
          <t>Mateo</t>
        </is>
      </c>
      <c r="D37" s="51" t="inlineStr">
        <is>
          <t>Kratos, God of War</t>
        </is>
      </c>
      <c r="E37" s="68" t="n">
        <v>2.9</v>
      </c>
      <c r="F37" s="51" t="n">
        <v>0</v>
      </c>
      <c r="G37" s="51" t="n">
        <v>2</v>
      </c>
      <c r="H37" s="51" t="n">
        <v>4</v>
      </c>
      <c r="I37" s="51" t="n">
        <v>0</v>
      </c>
      <c r="J37" s="51">
        <f>F37-(1/H37)</f>
        <v/>
      </c>
      <c r="K37" s="51">
        <f>((I37-((H37-1)/H37))-(-5/6))/((5-(5/6))-(-5/6))</f>
        <v/>
      </c>
      <c r="L37" s="51">
        <f>E37-((E35+E36+E38)/3)</f>
        <v/>
      </c>
      <c r="M37" s="70">
        <f>0.5 + (L37 * 0.09)</f>
        <v/>
      </c>
      <c r="N37" s="51">
        <f>((H37-(G37-1))/H37)*(IF(I37&lt;&gt;0,(I37+H37)/H37,1))</f>
        <v/>
      </c>
      <c r="O37" s="71">
        <f>(N37-(1/6))/(10/6)</f>
        <v/>
      </c>
      <c r="P37" s="51" t="n">
        <v>13</v>
      </c>
      <c r="Q37" s="71">
        <f>IF(F37=1,(((1-((P37-3)/15))*0.5)+0.5),((P37/18)*0.5))</f>
        <v/>
      </c>
      <c r="R37" s="51" t="n">
        <v>0</v>
      </c>
      <c r="S37" s="51" t="n">
        <v>3</v>
      </c>
      <c r="T37" s="51" t="n">
        <v>2</v>
      </c>
      <c r="U37" s="71">
        <f>IFERROR(T37/S37, 1)</f>
        <v/>
      </c>
      <c r="V37" s="72" t="n">
        <v>1</v>
      </c>
      <c r="W37" s="69" t="n">
        <v>2</v>
      </c>
      <c r="X37" s="82">
        <f>((O37*0.3)+(Q37*0.175)+(R37*0.175)+(U37*0.175)+((1-V37)*0.175))+W37</f>
        <v/>
      </c>
      <c r="Y37" t="n">
        <v>862064</v>
      </c>
    </row>
    <row r="38" ht="14.25" customHeight="1" s="52">
      <c r="A38" s="92" t="n">
        <v>46227</v>
      </c>
      <c r="B38" s="75" t="n">
        <v>9</v>
      </c>
      <c r="C38" s="75" t="inlineStr">
        <is>
          <t>Michelle</t>
        </is>
      </c>
      <c r="D38" s="75" t="inlineStr">
        <is>
          <t>Lucy MacLean, Positively Armed</t>
        </is>
      </c>
      <c r="E38" s="76" t="n">
        <v>2</v>
      </c>
      <c r="F38" s="75" t="n">
        <v>0</v>
      </c>
      <c r="G38" s="75" t="n">
        <v>2</v>
      </c>
      <c r="H38" s="75" t="n">
        <v>4</v>
      </c>
      <c r="I38" s="75" t="n">
        <v>0</v>
      </c>
      <c r="J38" s="75">
        <f>F38-(1/H38)</f>
        <v/>
      </c>
      <c r="K38" s="75">
        <f>((I38-((H38-1)/H38))-(-5/6))/((5-(5/6))-(-5/6))</f>
        <v/>
      </c>
      <c r="L38" s="75">
        <f>E38-((E35+E36+E37)/3)</f>
        <v/>
      </c>
      <c r="M38" s="78">
        <f>0.5 + (L38 * 0.09)</f>
        <v/>
      </c>
      <c r="N38" s="75">
        <f>((H38-(G38-1))/H38)*(IF(I38&lt;&gt;0,(I38+H38)/H38,1))</f>
        <v/>
      </c>
      <c r="O38" s="79">
        <f>(N38-(1/6))/(10/6)</f>
        <v/>
      </c>
      <c r="P38" s="75" t="n">
        <v>13</v>
      </c>
      <c r="Q38" s="79">
        <f>IF(F38=1,(((1-((P38-3)/15))*0.5)+0.5),((P38/18)*0.5))</f>
        <v/>
      </c>
      <c r="R38" s="75" t="n">
        <v>0</v>
      </c>
      <c r="S38" s="75" t="n">
        <v>2</v>
      </c>
      <c r="T38" s="75" t="n">
        <v>1</v>
      </c>
      <c r="U38" s="79">
        <f>IFERROR(T38/S38, 1)</f>
        <v/>
      </c>
      <c r="V38" s="80" t="n">
        <v>0</v>
      </c>
      <c r="W38" s="77" t="n">
        <v>2</v>
      </c>
      <c r="X38" s="85">
        <f>((O38*0.3)+(Q38*0.175)+(R38*0.175)+(U38*0.175)+((1-V38)*0.175))+W38</f>
        <v/>
      </c>
      <c r="Y38" t="n">
        <v>862064</v>
      </c>
    </row>
    <row r="39" ht="14.25" customHeight="1" s="52">
      <c r="A39" s="93" t="n">
        <v>46227</v>
      </c>
      <c r="B39" s="51" t="n">
        <v>10</v>
      </c>
      <c r="C39" s="51" t="inlineStr">
        <is>
          <t>Mateo</t>
        </is>
      </c>
      <c r="D39" s="51" t="inlineStr">
        <is>
          <t>Chatterfang, Squirrel General</t>
        </is>
      </c>
      <c r="E39" s="68" t="n">
        <v>3</v>
      </c>
      <c r="F39" s="51" t="n">
        <v>1</v>
      </c>
      <c r="G39" s="51" t="n">
        <v>1</v>
      </c>
      <c r="H39" s="51" t="n">
        <v>3</v>
      </c>
      <c r="I39" s="51" t="n">
        <v>2</v>
      </c>
      <c r="J39" s="51">
        <f>F39-(1/H39)</f>
        <v/>
      </c>
      <c r="K39" s="51">
        <f>((I39-((H39-1)/H39))-(-5/6))/((5-(5/6))-(-5/6))</f>
        <v/>
      </c>
      <c r="L39" s="68">
        <f>E39-((E40+E41)/2)</f>
        <v/>
      </c>
      <c r="M39" s="70">
        <f>0.5 + (L39 * 0.09)</f>
        <v/>
      </c>
      <c r="N39" s="51">
        <f>((H39-(G39-1))/H39)*(IF(I39&lt;&gt;0,(I39+H39)/H39,1))</f>
        <v/>
      </c>
      <c r="O39" s="71">
        <f>(N39-(1/6))/(10/6)</f>
        <v/>
      </c>
      <c r="P39" s="51" t="n">
        <v>9</v>
      </c>
      <c r="Q39" s="71">
        <f>IF(F39=1,(((1-((P39-3)/15))*0.5)+0.5),((P39/18)*0.5))</f>
        <v/>
      </c>
      <c r="R39" s="51" t="n">
        <v>1</v>
      </c>
      <c r="S39" s="51" t="n">
        <v>0</v>
      </c>
      <c r="T39" s="51" t="n">
        <v>0</v>
      </c>
      <c r="U39" s="71">
        <f>IFERROR(T39/S39, 1)</f>
        <v/>
      </c>
      <c r="V39" s="72" t="n">
        <v>0</v>
      </c>
      <c r="W39" s="69" t="n">
        <v>3</v>
      </c>
      <c r="X39" s="97">
        <f>((O39*0.3)+(Q39*0.175)+(R39*0.175)+(U39*0.175)+((1-V39)*0.175))+W39</f>
        <v/>
      </c>
      <c r="Y39" t="n">
        <v>863208</v>
      </c>
    </row>
    <row r="40" ht="14.25" customHeight="1" s="52">
      <c r="A40" s="93" t="n">
        <v>46227</v>
      </c>
      <c r="B40" s="51" t="n">
        <v>10</v>
      </c>
      <c r="C40" s="51" t="inlineStr">
        <is>
          <t>Manny</t>
        </is>
      </c>
      <c r="D40" s="51" t="inlineStr">
        <is>
          <t>Kruphix, God of Horizons</t>
        </is>
      </c>
      <c r="E40" s="68" t="n">
        <v>2.5</v>
      </c>
      <c r="F40" s="51" t="n">
        <v>0</v>
      </c>
      <c r="G40" s="51" t="n">
        <v>2</v>
      </c>
      <c r="H40" s="51" t="n">
        <v>3</v>
      </c>
      <c r="I40" s="51" t="n">
        <v>0</v>
      </c>
      <c r="J40" s="51">
        <f>F40-(1/H40)</f>
        <v/>
      </c>
      <c r="K40" s="51">
        <f>((I40-((H40-1)/H40))-(-5/6))/((5-(5/6))-(-5/6))</f>
        <v/>
      </c>
      <c r="L40" s="51">
        <f>E40-((E39+E41)/2)</f>
        <v/>
      </c>
      <c r="M40" s="70">
        <f>0.5 + (L40 * 0.09)</f>
        <v/>
      </c>
      <c r="N40" s="51">
        <f>((H40-(G40-1))/H40)*(IF(I40&lt;&gt;0,(I40+H40)/H40,1))</f>
        <v/>
      </c>
      <c r="O40" s="71">
        <f>(N40-(1/6))/(10/6)</f>
        <v/>
      </c>
      <c r="P40" s="51" t="n">
        <v>9</v>
      </c>
      <c r="Q40" s="71">
        <f>IF(F40=1,(((1-((P40-3)/15))*0.5)+0.5),((P40/18)*0.5))</f>
        <v/>
      </c>
      <c r="R40" s="51" t="n">
        <v>0</v>
      </c>
      <c r="S40" s="51" t="n">
        <v>0</v>
      </c>
      <c r="T40" s="51" t="n">
        <v>0</v>
      </c>
      <c r="U40" s="71">
        <f>IFERROR(T40/S40, 1)</f>
        <v/>
      </c>
      <c r="V40" s="72" t="n">
        <v>0</v>
      </c>
      <c r="W40" s="69" t="n">
        <v>2</v>
      </c>
      <c r="X40" s="82">
        <f>((O40*0.3)+(Q40*0.175)+(R40*0.175)+(U40*0.175)+((1-V40)*0.175))+W40</f>
        <v/>
      </c>
      <c r="Y40" t="n">
        <v>863208</v>
      </c>
    </row>
    <row r="41" ht="14.25" customHeight="1" s="52">
      <c r="A41" s="92" t="n">
        <v>46227</v>
      </c>
      <c r="B41" s="75" t="n">
        <v>10</v>
      </c>
      <c r="C41" s="75" t="inlineStr">
        <is>
          <t>Ryan</t>
        </is>
      </c>
      <c r="D41" s="75" t="inlineStr">
        <is>
          <t>Namor the Sub-Mariner</t>
        </is>
      </c>
      <c r="E41" s="76" t="n">
        <v>3</v>
      </c>
      <c r="F41" s="75" t="n">
        <v>0</v>
      </c>
      <c r="G41" s="75" t="n">
        <v>2</v>
      </c>
      <c r="H41" s="75" t="n">
        <v>3</v>
      </c>
      <c r="I41" s="75" t="n">
        <v>0</v>
      </c>
      <c r="J41" s="75">
        <f>F41-(1/H41)</f>
        <v/>
      </c>
      <c r="K41" s="75">
        <f>((I41-((H41-1)/H41))-(-5/6))/((5-(5/6))-(-5/6))</f>
        <v/>
      </c>
      <c r="L41" s="75">
        <f>E41-((E39+E40)/2)</f>
        <v/>
      </c>
      <c r="M41" s="78">
        <f>0.5 + (L41 * 0.09)</f>
        <v/>
      </c>
      <c r="N41" s="75">
        <f>((H41-(G41-1))/H41)*(IF(I41&lt;&gt;0,(I41+H41)/H41,1))</f>
        <v/>
      </c>
      <c r="O41" s="79">
        <f>(N41-(1/6))/(10/6)</f>
        <v/>
      </c>
      <c r="P41" s="75" t="n">
        <v>9</v>
      </c>
      <c r="Q41" s="79">
        <f>IF(F41=1,(((1-((P41-3)/15))*0.5)+0.5),((P41/18)*0.5))</f>
        <v/>
      </c>
      <c r="R41" s="75" t="n">
        <v>0</v>
      </c>
      <c r="S41" s="75" t="n">
        <v>0</v>
      </c>
      <c r="T41" s="75" t="n">
        <v>0</v>
      </c>
      <c r="U41" s="79">
        <f>IFERROR(T41/S41, 1)</f>
        <v/>
      </c>
      <c r="V41" s="80" t="n">
        <v>1</v>
      </c>
      <c r="W41" s="77" t="n">
        <v>3</v>
      </c>
      <c r="X41" s="85">
        <f>((O41*0.3)+(Q41*0.175)+(R41*0.175)+(U41*0.175)+((1-V41)*0.175))+W41</f>
        <v/>
      </c>
      <c r="Y41" t="n">
        <v>863208</v>
      </c>
    </row>
    <row r="42" ht="14.25" customHeight="1" s="52">
      <c r="A42" s="93" t="n">
        <v>46228</v>
      </c>
      <c r="B42" s="51" t="n">
        <v>11</v>
      </c>
      <c r="C42" s="51" t="inlineStr">
        <is>
          <t>Ryan</t>
        </is>
      </c>
      <c r="D42" s="51" t="inlineStr">
        <is>
          <t>Arna Kennerud, Skycaptain</t>
        </is>
      </c>
      <c r="E42" s="68" t="n">
        <v>2.7</v>
      </c>
      <c r="F42" s="51" t="n">
        <v>1</v>
      </c>
      <c r="G42" s="51" t="n">
        <v>1</v>
      </c>
      <c r="H42" s="51" t="n">
        <v>3</v>
      </c>
      <c r="I42" s="51" t="n">
        <v>2</v>
      </c>
      <c r="J42" s="51">
        <f>F42-(1/H42)</f>
        <v/>
      </c>
      <c r="K42" s="51">
        <f>((I42-((H42-1)/H42))-(-5/6))/((5-(5/6))-(-5/6))</f>
        <v/>
      </c>
      <c r="L42" s="68">
        <f>E42-((E43+E44)/2)</f>
        <v/>
      </c>
      <c r="M42" s="70">
        <f>0.5 + (L42 * 0.09)</f>
        <v/>
      </c>
      <c r="N42" s="51">
        <f>((H42-(G42-1))/H42)*(IF(I42&lt;&gt;0,(I42+H42)/H42,1))</f>
        <v/>
      </c>
      <c r="O42" s="71">
        <f>(N42-(1/6))/(10/6)</f>
        <v/>
      </c>
      <c r="P42" s="51" t="n">
        <v>8</v>
      </c>
      <c r="Q42" s="71">
        <f>IF(F42=1,(((1-((P42-3)/15))*0.5)+0.5),((P42/18)*0.5))</f>
        <v/>
      </c>
      <c r="R42" s="51" t="n">
        <v>1</v>
      </c>
      <c r="S42" s="51" t="n">
        <v>0</v>
      </c>
      <c r="T42" s="51" t="n">
        <v>0</v>
      </c>
      <c r="U42" s="71">
        <f>IFERROR(T42/S42, 1)</f>
        <v/>
      </c>
      <c r="V42" s="72" t="n">
        <v>0</v>
      </c>
      <c r="W42" s="69" t="n">
        <v>2</v>
      </c>
      <c r="X42" s="97">
        <f>((O42*0.3)+(Q42*0.175)+(R42*0.175)+(U42*0.175)+((1-V42)*0.175))+W42</f>
        <v/>
      </c>
      <c r="Y42" t="n">
        <v>868917</v>
      </c>
    </row>
    <row r="43" ht="14.25" customHeight="1" s="52">
      <c r="A43" s="93" t="n">
        <v>46228</v>
      </c>
      <c r="B43" s="51" t="n">
        <v>11</v>
      </c>
      <c r="C43" s="51" t="inlineStr">
        <is>
          <t>Manny</t>
        </is>
      </c>
      <c r="D43" s="51" t="inlineStr">
        <is>
          <t>Zada, Hedron Grinder</t>
        </is>
      </c>
      <c r="E43" s="68" t="n">
        <v>2.3</v>
      </c>
      <c r="F43" s="51" t="n">
        <v>0</v>
      </c>
      <c r="G43" s="51" t="n">
        <v>2</v>
      </c>
      <c r="H43" s="51" t="n">
        <v>3</v>
      </c>
      <c r="I43" s="51" t="n">
        <v>0</v>
      </c>
      <c r="J43" s="51">
        <f>F43-(1/H43)</f>
        <v/>
      </c>
      <c r="K43" s="51">
        <f>((I43-((H43-1)/H43))-(-5/6))/((5-(5/6))-(-5/6))</f>
        <v/>
      </c>
      <c r="L43" s="51">
        <f>E43-((E42+E44)/2)</f>
        <v/>
      </c>
      <c r="M43" s="70">
        <f>0.5 + (L43 * 0.09)</f>
        <v/>
      </c>
      <c r="N43" s="51">
        <f>((H43-(G43-1))/H43)*(IF(I43&lt;&gt;0,(I43+H43)/H43,1))</f>
        <v/>
      </c>
      <c r="O43" s="71">
        <f>(N43-(1/6))/(10/6)</f>
        <v/>
      </c>
      <c r="P43" s="51" t="n">
        <v>8</v>
      </c>
      <c r="Q43" s="71">
        <f>IF(F43=1,(((1-((P43-3)/15))*0.5)+0.5),((P43/18)*0.5))</f>
        <v/>
      </c>
      <c r="R43" s="51" t="n">
        <v>1</v>
      </c>
      <c r="S43" s="51" t="n">
        <v>0</v>
      </c>
      <c r="T43" s="51" t="n">
        <v>0</v>
      </c>
      <c r="U43" s="71">
        <f>IFERROR(T43/S43, 1)</f>
        <v/>
      </c>
      <c r="V43" s="72" t="n">
        <v>0</v>
      </c>
      <c r="W43" s="69" t="n">
        <v>2</v>
      </c>
      <c r="X43" s="82">
        <f>((O43*0.3)+(Q43*0.175)+(R43*0.175)+(U43*0.175)+((1-V43)*0.175))+W43</f>
        <v/>
      </c>
      <c r="Y43" t="n">
        <v>868917</v>
      </c>
    </row>
    <row r="44" ht="14.25" customHeight="1" s="52">
      <c r="A44" s="92" t="n">
        <v>46228</v>
      </c>
      <c r="B44" s="75" t="n">
        <v>11</v>
      </c>
      <c r="C44" s="75" t="inlineStr">
        <is>
          <t>Mateo</t>
        </is>
      </c>
      <c r="D44" s="75" t="inlineStr">
        <is>
          <t>Captain America, Team Leader</t>
        </is>
      </c>
      <c r="E44" s="76" t="n">
        <v>3.5</v>
      </c>
      <c r="F44" s="75" t="n">
        <v>0</v>
      </c>
      <c r="G44" s="75" t="n">
        <v>2</v>
      </c>
      <c r="H44" s="75" t="n">
        <v>3</v>
      </c>
      <c r="I44" s="75" t="n">
        <v>0</v>
      </c>
      <c r="J44" s="75">
        <f>F44-(1/H44)</f>
        <v/>
      </c>
      <c r="K44" s="75">
        <f>((I44-((H44-1)/H44))-(-5/6))/((5-(5/6))-(-5/6))</f>
        <v/>
      </c>
      <c r="L44" s="75">
        <f>E44-((E42+E43)/2)</f>
        <v/>
      </c>
      <c r="M44" s="78">
        <f>0.5 + (L44 * 0.09)</f>
        <v/>
      </c>
      <c r="N44" s="75">
        <f>((H44-(G44-1))/H44)*(IF(I44&lt;&gt;0,(I44+H44)/H44,1))</f>
        <v/>
      </c>
      <c r="O44" s="79">
        <f>(N44-(1/6))/(10/6)</f>
        <v/>
      </c>
      <c r="P44" s="75" t="n">
        <v>8</v>
      </c>
      <c r="Q44" s="79">
        <f>IF(F44=1,(((1-((P44-3)/15))*0.5)+0.5),((P44/18)*0.5))</f>
        <v/>
      </c>
      <c r="R44" s="75" t="n">
        <v>1</v>
      </c>
      <c r="S44" s="75" t="n">
        <v>0</v>
      </c>
      <c r="T44" s="75" t="n">
        <v>0</v>
      </c>
      <c r="U44" s="79">
        <f>IFERROR(T44/S44, 1)</f>
        <v/>
      </c>
      <c r="V44" s="80" t="n">
        <v>0</v>
      </c>
      <c r="W44" s="77" t="n">
        <v>3</v>
      </c>
      <c r="X44" s="85">
        <f>((O44*0.3)+(Q44*0.175)+(R44*0.175)+(U44*0.175)+((1-V44)*0.175))+W44</f>
        <v/>
      </c>
      <c r="Y44" t="n">
        <v>868917</v>
      </c>
    </row>
    <row r="45" ht="14.25" customHeight="1" s="52">
      <c r="A45" s="93" t="n">
        <v>46228</v>
      </c>
      <c r="B45" s="51" t="n">
        <v>12</v>
      </c>
      <c r="C45" s="51" t="inlineStr">
        <is>
          <t>Mateo</t>
        </is>
      </c>
      <c r="D45" s="51" t="inlineStr">
        <is>
          <t>Kratos, God of War</t>
        </is>
      </c>
      <c r="E45" s="68" t="n">
        <v>2.3</v>
      </c>
      <c r="F45" s="51" t="n">
        <v>1</v>
      </c>
      <c r="G45" s="51" t="n">
        <v>1</v>
      </c>
      <c r="H45" s="51" t="n">
        <v>3</v>
      </c>
      <c r="I45" s="51" t="n">
        <v>2</v>
      </c>
      <c r="J45" s="51">
        <f>F45-(1/H45)</f>
        <v/>
      </c>
      <c r="K45" s="51">
        <f>((I45-((H45-1)/H45))-(-5/6))/((5-(5/6))-(-5/6))</f>
        <v/>
      </c>
      <c r="L45" s="68">
        <f>E45-((E46+E47)/2)</f>
        <v/>
      </c>
      <c r="M45" s="70">
        <f>0.5 + (L45 * 0.09)</f>
        <v/>
      </c>
      <c r="N45" s="51">
        <f>((H45-(G45-1))/H45)*(IF(I45&lt;&gt;0,(I45+H45)/H45,1))</f>
        <v/>
      </c>
      <c r="O45" s="71">
        <f>(N45-(1/6))/(10/6)</f>
        <v/>
      </c>
      <c r="P45" s="51" t="n">
        <v>7</v>
      </c>
      <c r="Q45" s="71">
        <f>IF(F45=1,(((1-((P45-3)/15))*0.5)+0.5),((P45/18)*0.5))</f>
        <v/>
      </c>
      <c r="R45" s="51" t="n">
        <v>1</v>
      </c>
      <c r="S45" s="51" t="n">
        <v>0</v>
      </c>
      <c r="T45" s="51" t="n">
        <v>0</v>
      </c>
      <c r="U45" s="71">
        <f>IFERROR(T45/S45, 1)</f>
        <v/>
      </c>
      <c r="V45" s="72" t="n">
        <v>0</v>
      </c>
      <c r="W45" s="69" t="n">
        <v>2</v>
      </c>
      <c r="X45" s="97">
        <f>((O45*0.3)+(Q45*0.175)+(R45*0.175)+(U45*0.175)+((1-V45)*0.175))+W45</f>
        <v/>
      </c>
      <c r="Y45" t="n">
        <v>869357</v>
      </c>
    </row>
    <row r="46" ht="14.25" customHeight="1" s="52">
      <c r="A46" s="93" t="n">
        <v>46228</v>
      </c>
      <c r="B46" s="51" t="n">
        <v>12</v>
      </c>
      <c r="C46" s="51" t="inlineStr">
        <is>
          <t>Manny</t>
        </is>
      </c>
      <c r="D46" s="51" t="inlineStr">
        <is>
          <t>Kruphix, God of Horizons</t>
        </is>
      </c>
      <c r="E46" s="68" t="n">
        <v>2.5</v>
      </c>
      <c r="F46" s="51" t="n">
        <v>0</v>
      </c>
      <c r="G46" s="51" t="n">
        <v>2</v>
      </c>
      <c r="H46" s="51" t="n">
        <v>3</v>
      </c>
      <c r="I46" s="51" t="n">
        <v>0</v>
      </c>
      <c r="J46" s="51">
        <f>F46-(1/H46)</f>
        <v/>
      </c>
      <c r="K46" s="51">
        <f>((I46-((H46-1)/H46))-(-5/6))/((5-(5/6))-(-5/6))</f>
        <v/>
      </c>
      <c r="L46" s="51">
        <f>E46-((E45+E47)/2)</f>
        <v/>
      </c>
      <c r="M46" s="70">
        <f>0.5 + (L46 * 0.09)</f>
        <v/>
      </c>
      <c r="N46" s="51">
        <f>((H46-(G46-1))/H46)*(IF(I46&lt;&gt;0,(I46+H46)/H46,1))</f>
        <v/>
      </c>
      <c r="O46" s="71">
        <f>(N46-(1/6))/(10/6)</f>
        <v/>
      </c>
      <c r="P46" s="51" t="n">
        <v>7</v>
      </c>
      <c r="Q46" s="71">
        <f>IF(F46=1,(((1-((P46-3)/15))*0.5)+0.5),((P46/18)*0.5))</f>
        <v/>
      </c>
      <c r="R46" s="51" t="n">
        <v>0</v>
      </c>
      <c r="S46" s="51" t="n">
        <v>0</v>
      </c>
      <c r="T46" s="51" t="n">
        <v>0</v>
      </c>
      <c r="U46" s="71">
        <f>IFERROR(T46/S46, 1)</f>
        <v/>
      </c>
      <c r="V46" s="72" t="n">
        <v>1</v>
      </c>
      <c r="W46" s="69" t="n">
        <v>2</v>
      </c>
      <c r="X46" s="82">
        <f>((O46*0.3)+(Q46*0.175)+(R46*0.175)+(U46*0.175)+((1-V46)*0.175))+W46</f>
        <v/>
      </c>
      <c r="Y46" t="n">
        <v>869357</v>
      </c>
    </row>
    <row r="47" ht="14.25" customHeight="1" s="52">
      <c r="A47" s="92" t="n">
        <v>46228</v>
      </c>
      <c r="B47" s="75" t="n">
        <v>12</v>
      </c>
      <c r="C47" s="75" t="inlineStr">
        <is>
          <t>Ryan</t>
        </is>
      </c>
      <c r="D47" s="75" t="inlineStr">
        <is>
          <t>Rootha, Mastering the Moment</t>
        </is>
      </c>
      <c r="E47" s="76" t="n">
        <v>3.6</v>
      </c>
      <c r="F47" s="75" t="n">
        <v>0</v>
      </c>
      <c r="G47" s="75" t="n">
        <v>3</v>
      </c>
      <c r="H47" s="75" t="n">
        <v>3</v>
      </c>
      <c r="I47" s="75" t="n">
        <v>0</v>
      </c>
      <c r="J47" s="75">
        <f>F47-(1/H47)</f>
        <v/>
      </c>
      <c r="K47" s="75">
        <f>((I47-((H47-1)/H47))-(-5/6))/((5-(5/6))-(-5/6))</f>
        <v/>
      </c>
      <c r="L47" s="75">
        <f>E47-((E45+E46)/2)</f>
        <v/>
      </c>
      <c r="M47" s="78">
        <f>0.5 + (L47 * 0.09)</f>
        <v/>
      </c>
      <c r="N47" s="75">
        <f>((H47-(G47-1))/H47)*(IF(I47&lt;&gt;0,(I47+H47)/H47,1))</f>
        <v/>
      </c>
      <c r="O47" s="79">
        <f>(N47-(1/6))/(10/6)</f>
        <v/>
      </c>
      <c r="P47" s="75" t="n">
        <v>6</v>
      </c>
      <c r="Q47" s="79">
        <f>IF(F47=1,(((1-((P47-3)/15))*0.5)+0.5),((P47/18)*0.5))</f>
        <v/>
      </c>
      <c r="R47" s="75" t="n">
        <v>1</v>
      </c>
      <c r="S47" s="75" t="n">
        <v>0</v>
      </c>
      <c r="T47" s="75" t="n">
        <v>0</v>
      </c>
      <c r="U47" s="79">
        <f>IFERROR(T47/S47, 1)</f>
        <v/>
      </c>
      <c r="V47" s="80" t="n">
        <v>0</v>
      </c>
      <c r="W47" s="77" t="n">
        <v>3</v>
      </c>
      <c r="X47" s="85">
        <f>((O47*0.3)+(Q47*0.175)+(R47*0.175)+(U47*0.175)+((1-V47)*0.175))+W47</f>
        <v/>
      </c>
      <c r="Y47" t="n">
        <v>869357</v>
      </c>
    </row>
    <row r="48" ht="14.25" customHeight="1" s="52">
      <c r="A48" s="93" t="n">
        <v>46228</v>
      </c>
      <c r="B48" s="51" t="n">
        <v>13</v>
      </c>
      <c r="C48" s="51" t="inlineStr">
        <is>
          <t>Ryan</t>
        </is>
      </c>
      <c r="D48" s="51" t="inlineStr">
        <is>
          <t>Namor the Sub-Mariner</t>
        </is>
      </c>
      <c r="E48" s="68" t="n">
        <v>3.3</v>
      </c>
      <c r="F48" s="51" t="n">
        <v>1</v>
      </c>
      <c r="G48" s="51" t="n">
        <v>1</v>
      </c>
      <c r="H48" s="51" t="n">
        <v>3</v>
      </c>
      <c r="I48" s="51" t="n">
        <v>2</v>
      </c>
      <c r="J48" s="51">
        <f>F48-(1/H48)</f>
        <v/>
      </c>
      <c r="K48" s="51">
        <f>((I48-((H48-1)/H48))-(-5/6))/((5-(5/6))-(-5/6))</f>
        <v/>
      </c>
      <c r="L48" s="68">
        <f>E48-((E49+E50)/2)</f>
        <v/>
      </c>
      <c r="M48" s="70">
        <f>0.5 + (L48 * 0.09)</f>
        <v/>
      </c>
      <c r="N48" s="51">
        <f>((H48-(G48-1))/H48)*(IF(I48&lt;&gt;0,(I48+H48)/H48,1))</f>
        <v/>
      </c>
      <c r="O48" s="71">
        <f>(N48-(1/6))/(10/6)</f>
        <v/>
      </c>
      <c r="P48" s="51" t="n">
        <v>11</v>
      </c>
      <c r="Q48" s="71">
        <f>IF(F48=1,(((1-((P48-3)/15))*0.5)+0.5),((P48/18)*0.5))</f>
        <v/>
      </c>
      <c r="R48" s="51" t="n">
        <v>1</v>
      </c>
      <c r="S48" s="51" t="n">
        <v>0</v>
      </c>
      <c r="T48" s="51" t="n">
        <v>0</v>
      </c>
      <c r="U48" s="71">
        <f>IFERROR(T48/S48, 1)</f>
        <v/>
      </c>
      <c r="V48" s="72" t="n">
        <v>0</v>
      </c>
      <c r="W48" s="69" t="n">
        <v>3</v>
      </c>
      <c r="X48" s="97">
        <f>((O48*0.3)+(Q48*0.175)+(R48*0.175)+(U48*0.175)+((1-V48)*0.175))+W48</f>
        <v/>
      </c>
      <c r="Y48" t="n">
        <v>869611</v>
      </c>
    </row>
    <row r="49" ht="14.25" customHeight="1" s="52">
      <c r="A49" s="93" t="n">
        <v>46228</v>
      </c>
      <c r="B49" s="51" t="n">
        <v>13</v>
      </c>
      <c r="C49" s="51" t="inlineStr">
        <is>
          <t>Manny</t>
        </is>
      </c>
      <c r="D49" s="51" t="inlineStr">
        <is>
          <t>Avatar Aang</t>
        </is>
      </c>
      <c r="E49" s="68" t="n">
        <v>3</v>
      </c>
      <c r="F49" s="51" t="n">
        <v>0</v>
      </c>
      <c r="G49" s="51" t="n">
        <v>2</v>
      </c>
      <c r="H49" s="51" t="n">
        <v>3</v>
      </c>
      <c r="I49" s="51" t="n">
        <v>0</v>
      </c>
      <c r="J49" s="51">
        <f>F49-(1/H49)</f>
        <v/>
      </c>
      <c r="K49" s="51">
        <f>((I49-((H49-1)/H49))-(-5/6))/((5-(5/6))-(-5/6))</f>
        <v/>
      </c>
      <c r="L49" s="51">
        <f>E49-((E48+E50)/2)</f>
        <v/>
      </c>
      <c r="M49" s="70">
        <f>0.5 + (L49 * 0.09)</f>
        <v/>
      </c>
      <c r="N49" s="51">
        <f>((H49-(G49-1))/H49)*(IF(I49&lt;&gt;0,(I49+H49)/H49,1))</f>
        <v/>
      </c>
      <c r="O49" s="71">
        <f>(N49-(1/6))/(10/6)</f>
        <v/>
      </c>
      <c r="P49" s="51" t="n">
        <v>11</v>
      </c>
      <c r="Q49" s="71">
        <f>IF(F49=1,(((1-((P49-3)/15))*0.5)+0.5),((P49/18)*0.5))</f>
        <v/>
      </c>
      <c r="R49" s="51" t="n">
        <v>0</v>
      </c>
      <c r="S49" s="51" t="n">
        <v>0</v>
      </c>
      <c r="T49" s="51" t="n">
        <v>0</v>
      </c>
      <c r="U49" s="71">
        <f>IFERROR(T49/S49, 1)</f>
        <v/>
      </c>
      <c r="V49" s="72" t="n">
        <v>0</v>
      </c>
      <c r="W49" s="69" t="n">
        <v>3</v>
      </c>
      <c r="X49" s="82">
        <f>((O49*0.3)+(Q49*0.175)+(R49*0.175)+(U49*0.175)+((1-V49)*0.175))+W49</f>
        <v/>
      </c>
      <c r="Y49" t="n">
        <v>869611</v>
      </c>
    </row>
    <row r="50" ht="14.25" customHeight="1" s="52">
      <c r="A50" s="92" t="n">
        <v>46228</v>
      </c>
      <c r="B50" s="75" t="n">
        <v>13</v>
      </c>
      <c r="C50" s="75" t="inlineStr">
        <is>
          <t>Mateo</t>
        </is>
      </c>
      <c r="D50" s="75" t="inlineStr">
        <is>
          <t>Yuna, Grand Summoner</t>
        </is>
      </c>
      <c r="E50" s="76" t="n">
        <v>3.7</v>
      </c>
      <c r="F50" s="75" t="n">
        <v>0</v>
      </c>
      <c r="G50" s="75" t="n">
        <v>3</v>
      </c>
      <c r="H50" s="75" t="n">
        <v>3</v>
      </c>
      <c r="I50" s="75" t="n">
        <v>0</v>
      </c>
      <c r="J50" s="75">
        <f>F50-(1/H50)</f>
        <v/>
      </c>
      <c r="K50" s="75">
        <f>((I50-((H50-1)/H50))-(-5/6))/((5-(5/6))-(-5/6))</f>
        <v/>
      </c>
      <c r="L50" s="75">
        <f>E50-((E48+E49)/2)</f>
        <v/>
      </c>
      <c r="M50" s="78">
        <f>0.5 + (L50 * 0.09)</f>
        <v/>
      </c>
      <c r="N50" s="75">
        <f>((H50-(G50-1))/H50)*(IF(I50&lt;&gt;0,(I50+H50)/H50,1))</f>
        <v/>
      </c>
      <c r="O50" s="79">
        <f>(N50-(1/6))/(10/6)</f>
        <v/>
      </c>
      <c r="P50" s="75" t="n">
        <v>9</v>
      </c>
      <c r="Q50" s="79">
        <f>IF(F50=1,(((1-((P50-3)/15))*0.5)+0.5),((P50/18)*0.5))</f>
        <v/>
      </c>
      <c r="R50" s="75" t="n">
        <v>1</v>
      </c>
      <c r="S50" s="75" t="n">
        <v>0</v>
      </c>
      <c r="T50" s="75" t="n">
        <v>0</v>
      </c>
      <c r="U50" s="79">
        <f>IFERROR(T50/S50, 1)</f>
        <v/>
      </c>
      <c r="V50" s="80" t="n">
        <v>0</v>
      </c>
      <c r="W50" s="77" t="n">
        <v>3</v>
      </c>
      <c r="X50" s="85">
        <f>((O50*0.3)+(Q50*0.175)+(R50*0.175)+(U50*0.175)+((1-V50)*0.175))+W50</f>
        <v/>
      </c>
      <c r="Y50" t="n">
        <v>869611</v>
      </c>
    </row>
    <row r="51" ht="14.25" customHeight="1" s="52">
      <c r="A51" s="93" t="n">
        <v>46236</v>
      </c>
      <c r="B51" s="75" t="n">
        <v>14</v>
      </c>
      <c r="C51" s="75" t="inlineStr">
        <is>
          <t>Manny</t>
        </is>
      </c>
      <c r="D51" s="75" t="inlineStr">
        <is>
          <t>Kruphix, God of Horizons</t>
        </is>
      </c>
      <c r="E51" s="68" t="n">
        <v>2.3</v>
      </c>
      <c r="F51" s="75" t="n">
        <v>1</v>
      </c>
      <c r="G51" s="75" t="n">
        <v>1</v>
      </c>
      <c r="H51" s="75" t="n">
        <v>3</v>
      </c>
      <c r="I51" s="75" t="n">
        <v>2</v>
      </c>
      <c r="J51" s="75">
        <f>F51-(1/H51)</f>
        <v/>
      </c>
      <c r="K51" s="75">
        <f>((I51-((H51-1)/H51))-(-5/6))/((5-(5/6))-(-5/6))</f>
        <v/>
      </c>
      <c r="L51" s="75">
        <f>E51-((E52+E53)/2)</f>
        <v/>
      </c>
      <c r="M51" s="70">
        <f>0.5+(L51*0.09)</f>
        <v/>
      </c>
      <c r="N51" s="75">
        <f>((H51-(G51-1))/H51)*(IF(I51&lt;&gt;0,(I51+H51)/H51,1))</f>
        <v/>
      </c>
      <c r="O51" s="79">
        <f>(N51-(1/6))/(10/6)</f>
        <v/>
      </c>
      <c r="P51" s="75" t="n">
        <v>8</v>
      </c>
      <c r="Q51" s="79">
        <f>IF(F51=1,(((1-((P51-3)/15))*0.5)+0.5),((P51/18)*0.5))</f>
        <v/>
      </c>
      <c r="R51" s="75" t="n">
        <v>1</v>
      </c>
      <c r="S51" s="75" t="n">
        <v>0</v>
      </c>
      <c r="T51" s="75" t="n">
        <v>0</v>
      </c>
      <c r="U51" s="79">
        <f>IFERROR(T51/S51, 1)</f>
        <v/>
      </c>
      <c r="V51" s="80" t="n">
        <v>0</v>
      </c>
      <c r="W51" s="77" t="n">
        <v>2</v>
      </c>
      <c r="X51" s="68">
        <f>((O51*0.3)+(Q51*0.175)+(R51*0.175)+(U51*0.175)+((1-V51)*0.175))+W51</f>
        <v/>
      </c>
      <c r="Y51" t="n">
        <v>913140</v>
      </c>
    </row>
    <row r="52" ht="14.25" customHeight="1" s="52">
      <c r="A52" s="93" t="n">
        <v>46236</v>
      </c>
      <c r="B52" s="75" t="n">
        <v>14</v>
      </c>
      <c r="C52" s="75" t="inlineStr">
        <is>
          <t>Michelle</t>
        </is>
      </c>
      <c r="D52" s="75" t="inlineStr">
        <is>
          <t>The Wise Mothman</t>
        </is>
      </c>
      <c r="E52" s="68" t="n">
        <v>2.5</v>
      </c>
      <c r="F52" s="75" t="n">
        <v>0</v>
      </c>
      <c r="G52" s="75" t="n">
        <v>2</v>
      </c>
      <c r="H52" s="75" t="n">
        <v>3</v>
      </c>
      <c r="I52" s="75" t="n">
        <v>0</v>
      </c>
      <c r="J52" s="75">
        <f>F52-(1/H52)</f>
        <v/>
      </c>
      <c r="K52" s="75">
        <f>((I52-((H52-1)/H52))-(-5/6))/((5-(5/6))-(-5/6))</f>
        <v/>
      </c>
      <c r="L52" s="75">
        <f>E52-((E51+E53)/2)</f>
        <v/>
      </c>
      <c r="M52" s="70">
        <f>0.5+(L52*0.09)</f>
        <v/>
      </c>
      <c r="N52" s="75">
        <f>((H52-(G52-1))/H52)*(IF(I52&lt;&gt;0,(I52+H52)/H52,1))</f>
        <v/>
      </c>
      <c r="O52" s="79">
        <f>(N52-(1/6))/(10/6)</f>
        <v/>
      </c>
      <c r="P52" s="75" t="n">
        <v>8</v>
      </c>
      <c r="Q52" s="79">
        <f>IF(F52=1,(((1-((P52-3)/15))*0.5)+0.5),((P52/18)*0.5))</f>
        <v/>
      </c>
      <c r="R52" s="75" t="n">
        <v>0</v>
      </c>
      <c r="S52" s="75" t="n">
        <v>1</v>
      </c>
      <c r="T52" s="75" t="n">
        <v>0</v>
      </c>
      <c r="U52" s="79">
        <f>IFERROR(T52/S52, 1)</f>
        <v/>
      </c>
      <c r="V52" s="80" t="n">
        <v>0</v>
      </c>
      <c r="W52" s="77" t="n">
        <v>2</v>
      </c>
      <c r="X52" s="68">
        <f>((O52*0.3)+(Q52*0.175)+(R52*0.175)+(U52*0.175)+((1-V52)*0.175))+W52</f>
        <v/>
      </c>
      <c r="Y52" t="n">
        <v>913140</v>
      </c>
    </row>
    <row r="53" ht="14.25" customHeight="1" s="52">
      <c r="A53" s="93" t="n">
        <v>46236</v>
      </c>
      <c r="B53" s="75" t="n">
        <v>14</v>
      </c>
      <c r="C53" s="75" t="inlineStr">
        <is>
          <t>Ryan</t>
        </is>
      </c>
      <c r="D53" s="75" t="inlineStr">
        <is>
          <t>Preston Garvey, Minuteman</t>
        </is>
      </c>
      <c r="E53" s="68" t="n">
        <v>3.6</v>
      </c>
      <c r="F53" s="75" t="n">
        <v>0</v>
      </c>
      <c r="G53" s="75" t="n">
        <v>3</v>
      </c>
      <c r="H53" s="75" t="n">
        <v>3</v>
      </c>
      <c r="I53" s="75" t="n">
        <v>0</v>
      </c>
      <c r="J53" s="75">
        <f>F53-(1/H53)</f>
        <v/>
      </c>
      <c r="K53" s="75">
        <f>((I53-((H53-1)/H53))-(-5/6))/((5-(5/6))-(-5/6))</f>
        <v/>
      </c>
      <c r="L53" s="75">
        <f>E53-((E51+E52)/2)</f>
        <v/>
      </c>
      <c r="M53" s="70">
        <f>0.5+(L53*0.09)</f>
        <v/>
      </c>
      <c r="N53" s="75">
        <f>((H53-(G53-1))/H53)*(IF(I53&lt;&gt;0,(I53+H53)/H53,1))</f>
        <v/>
      </c>
      <c r="O53" s="79">
        <f>(N53-(1/6))/(10/6)</f>
        <v/>
      </c>
      <c r="P53" s="75" t="n">
        <v>7</v>
      </c>
      <c r="Q53" s="79">
        <f>IF(F53=1,(((1-((P53-3)/15))*0.5)+0.5),((P53/18)*0.5))</f>
        <v/>
      </c>
      <c r="R53" s="75" t="n">
        <v>0</v>
      </c>
      <c r="S53" s="75" t="n">
        <v>1</v>
      </c>
      <c r="T53" s="75" t="n">
        <v>0</v>
      </c>
      <c r="U53" s="79">
        <f>IFERROR(T53/S53, 1)</f>
        <v/>
      </c>
      <c r="V53" s="80" t="n">
        <v>0</v>
      </c>
      <c r="W53" s="77" t="n">
        <v>3</v>
      </c>
      <c r="X53" s="68">
        <f>((O53*0.3)+(Q53*0.175)+(R53*0.175)+(U53*0.175)+((1-V53)*0.175))+W53</f>
        <v/>
      </c>
      <c r="Y53" t="n">
        <v>913140</v>
      </c>
    </row>
    <row r="54" ht="14.25" customHeight="1" s="52">
      <c r="A54" s="93" t="n">
        <v>46242</v>
      </c>
      <c r="B54" s="75" t="n">
        <v>15</v>
      </c>
      <c r="C54" s="75" t="inlineStr">
        <is>
          <t>Manny</t>
        </is>
      </c>
      <c r="D54" s="75" t="inlineStr">
        <is>
          <t>Sokka, Tenacious Tactician</t>
        </is>
      </c>
      <c r="E54" s="68" t="n">
        <v>3</v>
      </c>
      <c r="F54" s="75" t="n">
        <v>0</v>
      </c>
      <c r="G54" s="75" t="n">
        <v>2</v>
      </c>
      <c r="H54" s="75" t="n">
        <v>4</v>
      </c>
      <c r="I54" s="75" t="n">
        <v>0</v>
      </c>
      <c r="J54" s="75">
        <f>F54-(1/H54)</f>
        <v/>
      </c>
      <c r="K54" s="75">
        <f>((I54-((H54-1)/H54))-(-5/6))/((5-(5/6))-(-5/6))</f>
        <v/>
      </c>
      <c r="L54" s="75">
        <f>E54-((E55+E56+E57)/3)</f>
        <v/>
      </c>
      <c r="M54" s="70">
        <f>0.5+(L54*0.09)</f>
        <v/>
      </c>
      <c r="N54" s="75">
        <f>((H54-(G54-1))/H54)*(IF(I54&lt;&gt;0,(I54+H54)/H54,1))</f>
        <v/>
      </c>
      <c r="O54" s="79">
        <f>(N54-(1/6))/(10/6)</f>
        <v/>
      </c>
      <c r="P54" s="75" t="n">
        <v>10</v>
      </c>
      <c r="Q54" s="79">
        <f>IF(F54=1,(((1-((P54-3)/15))*0.5)+0.5),((P54/18)*0.5))</f>
        <v/>
      </c>
      <c r="R54" s="75" t="n">
        <v>1</v>
      </c>
      <c r="S54" s="75" t="n">
        <v>0</v>
      </c>
      <c r="T54" s="75" t="n">
        <v>0</v>
      </c>
      <c r="U54" s="79">
        <f>IFERROR(T54/S54, 1)</f>
        <v/>
      </c>
      <c r="V54" s="80" t="n">
        <v>0</v>
      </c>
      <c r="W54" s="77" t="n">
        <v>3</v>
      </c>
      <c r="X54" s="68">
        <f>((O54*0.3)+(Q54*0.175)+(R54*0.175)+(U54*0.175)+((1-V54)*0.175))+W54</f>
        <v/>
      </c>
      <c r="Y54" t="n">
        <v>944159</v>
      </c>
    </row>
    <row r="55" ht="14.25" customHeight="1" s="52">
      <c r="A55" s="93" t="n">
        <v>46242</v>
      </c>
      <c r="B55" s="75" t="n">
        <v>15</v>
      </c>
      <c r="C55" s="75" t="inlineStr">
        <is>
          <t>Mateo</t>
        </is>
      </c>
      <c r="D55" s="75" t="inlineStr">
        <is>
          <t>Quintorius, History Chaser</t>
        </is>
      </c>
      <c r="E55" s="68" t="n">
        <v>2.9</v>
      </c>
      <c r="F55" s="75" t="n">
        <v>0</v>
      </c>
      <c r="G55" s="75" t="n">
        <v>4</v>
      </c>
      <c r="H55" s="75" t="n">
        <v>4</v>
      </c>
      <c r="I55" s="75" t="n">
        <v>0</v>
      </c>
      <c r="J55" s="75">
        <f>F55-(1/H55)</f>
        <v/>
      </c>
      <c r="K55" s="75">
        <f>((I55-((H55-1)/H55))-(-5/6))/((5-(5/6))-(-5/6))</f>
        <v/>
      </c>
      <c r="L55" s="75">
        <f>E55-((E54+E56+E57)/3)</f>
        <v/>
      </c>
      <c r="M55" s="70">
        <f>0.5+(L55*0.09)</f>
        <v/>
      </c>
      <c r="N55" s="75">
        <f>((H55-(G55-1))/H55)*(IF(I55&lt;&gt;0,(I55+H55)/H55,1))</f>
        <v/>
      </c>
      <c r="O55" s="79">
        <f>(N55-(1/6))/(10/6)</f>
        <v/>
      </c>
      <c r="P55" s="75" t="n">
        <v>9</v>
      </c>
      <c r="Q55" s="79">
        <f>IF(F55=1,(((1-((P55-3)/15))*0.5)+0.5),((P55/18)*0.5))</f>
        <v/>
      </c>
      <c r="R55" s="75" t="n">
        <v>0</v>
      </c>
      <c r="S55" s="75" t="n">
        <v>2</v>
      </c>
      <c r="T55" s="75" t="n">
        <v>1</v>
      </c>
      <c r="U55" s="79">
        <f>IFERROR(T55/S55, 1)</f>
        <v/>
      </c>
      <c r="V55" s="80" t="n">
        <v>0</v>
      </c>
      <c r="W55" s="77" t="n">
        <v>2</v>
      </c>
      <c r="X55" s="68">
        <f>((O55*0.3)+(Q55*0.175)+(R55*0.175)+(U55*0.175)+((1-V55)*0.175))+W55</f>
        <v/>
      </c>
      <c r="Y55" t="n">
        <v>944159</v>
      </c>
    </row>
    <row r="56" ht="14.25" customHeight="1" s="52">
      <c r="A56" s="93" t="n">
        <v>46242</v>
      </c>
      <c r="B56" s="75" t="n">
        <v>15</v>
      </c>
      <c r="C56" s="75" t="inlineStr">
        <is>
          <t>Becca</t>
        </is>
      </c>
      <c r="D56" s="75" t="inlineStr">
        <is>
          <t>Katara, the Fearless</t>
        </is>
      </c>
      <c r="E56" s="68" t="n">
        <v>2</v>
      </c>
      <c r="F56" s="75" t="n">
        <v>1</v>
      </c>
      <c r="G56" s="75" t="n">
        <v>1</v>
      </c>
      <c r="H56" s="75" t="n">
        <v>4</v>
      </c>
      <c r="I56" s="75" t="n">
        <v>2</v>
      </c>
      <c r="J56" s="75">
        <f>F56-(1/H56)</f>
        <v/>
      </c>
      <c r="K56" s="75">
        <f>((I56-((H56-1)/H56))-(-5/6))/((5-(5/6))-(-5/6))</f>
        <v/>
      </c>
      <c r="L56" s="75">
        <f>E56-((E54+E55+E57)/3)</f>
        <v/>
      </c>
      <c r="M56" s="70">
        <f>0.5+(L56*0.09)</f>
        <v/>
      </c>
      <c r="N56" s="75">
        <f>((H56-(G56-1))/H56)*(IF(I56&lt;&gt;0,(I56+H56)/H56,1))</f>
        <v/>
      </c>
      <c r="O56" s="79">
        <f>(N56-(1/6))/(10/6)</f>
        <v/>
      </c>
      <c r="P56" s="75" t="n">
        <v>10</v>
      </c>
      <c r="Q56" s="79">
        <f>IF(F56=1,(((1-((P56-3)/15))*0.5)+0.5),((P56/18)*0.5))</f>
        <v/>
      </c>
      <c r="R56" s="75" t="n">
        <v>1</v>
      </c>
      <c r="S56" s="75" t="n">
        <v>0</v>
      </c>
      <c r="T56" s="75" t="n">
        <v>0</v>
      </c>
      <c r="U56" s="79">
        <f>IFERROR(T56/S56, 1)</f>
        <v/>
      </c>
      <c r="V56" s="80" t="n">
        <v>0</v>
      </c>
      <c r="W56" s="77" t="n">
        <v>2</v>
      </c>
      <c r="X56" s="68">
        <f>((O56*0.3)+(Q56*0.175)+(R56*0.175)+(U56*0.175)+((1-V56)*0.175))+W56</f>
        <v/>
      </c>
      <c r="Y56" t="n">
        <v>944159</v>
      </c>
    </row>
    <row r="57" ht="14.25" customHeight="1" s="52">
      <c r="A57" s="93" t="n">
        <v>46242</v>
      </c>
      <c r="B57" s="75" t="n">
        <v>15</v>
      </c>
      <c r="C57" s="75" t="inlineStr">
        <is>
          <t>Ryan</t>
        </is>
      </c>
      <c r="D57" s="75" t="inlineStr">
        <is>
          <t>Arna Kennerüd, Skycaptain</t>
        </is>
      </c>
      <c r="E57" s="68" t="n">
        <v>2.9</v>
      </c>
      <c r="F57" s="75" t="n">
        <v>0</v>
      </c>
      <c r="G57" s="75" t="n">
        <v>3</v>
      </c>
      <c r="H57" s="75" t="n">
        <v>4</v>
      </c>
      <c r="I57" s="75" t="n">
        <v>1</v>
      </c>
      <c r="J57" s="75">
        <f>F57-(1/H57)</f>
        <v/>
      </c>
      <c r="K57" s="75">
        <f>((I57-((H57-1)/H57))-(-5/6))/((5-(5/6))-(-5/6))</f>
        <v/>
      </c>
      <c r="L57" s="75">
        <f>E57-((E54+E55+E56)/3)</f>
        <v/>
      </c>
      <c r="M57" s="70">
        <f>0.5+(L57*0.09)</f>
        <v/>
      </c>
      <c r="N57" s="75">
        <f>((H57-(G57-1))/H57)*(IF(I57&lt;&gt;0,(I57+H57)/H57,1))</f>
        <v/>
      </c>
      <c r="O57" s="79">
        <f>(N57-(1/6))/(10/6)</f>
        <v/>
      </c>
      <c r="P57" s="75" t="n">
        <v>10</v>
      </c>
      <c r="Q57" s="79">
        <f>IF(F57=1,(((1-((P57-3)/15))*0.5)+0.5),((P57/18)*0.5))</f>
        <v/>
      </c>
      <c r="R57" s="75" t="n">
        <v>1</v>
      </c>
      <c r="S57" s="75" t="n">
        <v>2</v>
      </c>
      <c r="T57" s="75" t="n">
        <v>0</v>
      </c>
      <c r="U57" s="79">
        <f>IFERROR(T57/S57, 1)</f>
        <v/>
      </c>
      <c r="V57" s="80" t="n">
        <v>0</v>
      </c>
      <c r="W57" s="77" t="n">
        <v>2</v>
      </c>
      <c r="X57" s="68">
        <f>((O57*0.3)+(Q57*0.175)+(R57*0.175)+(U57*0.175)+((1-V57)*0.175))+W57</f>
        <v/>
      </c>
      <c r="Y57" t="n">
        <v>944159</v>
      </c>
    </row>
    <row r="58" ht="14.25" customHeight="1" s="52">
      <c r="A58" s="93" t="n"/>
      <c r="E58" s="68" t="n"/>
      <c r="M58" s="70" t="n"/>
      <c r="X58" s="68" t="n"/>
    </row>
    <row r="59" ht="14.25" customHeight="1" s="52">
      <c r="A59" s="93" t="n"/>
      <c r="E59" s="68" t="n"/>
      <c r="M59" s="70" t="n"/>
      <c r="X59" s="68" t="n"/>
    </row>
    <row r="60" ht="14.25" customHeight="1" s="52">
      <c r="A60" s="93" t="n"/>
      <c r="E60" s="68" t="n"/>
      <c r="M60" s="70" t="n"/>
      <c r="X60" s="68" t="n"/>
    </row>
    <row r="61" ht="14.25" customHeight="1" s="52">
      <c r="A61" s="93" t="n"/>
      <c r="E61" s="68" t="n"/>
      <c r="M61" s="70" t="n"/>
      <c r="X61" s="68" t="n"/>
    </row>
    <row r="62" ht="14.25" customHeight="1" s="52">
      <c r="A62" s="93" t="n"/>
      <c r="E62" s="68" t="n"/>
      <c r="M62" s="70" t="n"/>
      <c r="X62" s="68" t="n"/>
    </row>
    <row r="63" ht="14.25" customHeight="1" s="52">
      <c r="A63" s="93" t="n"/>
      <c r="E63" s="68" t="n"/>
      <c r="M63" s="70" t="n"/>
      <c r="X63" s="68" t="n"/>
    </row>
    <row r="64" ht="14.25" customHeight="1" s="52">
      <c r="A64" s="93" t="n"/>
      <c r="E64" s="68" t="n"/>
      <c r="M64" s="70" t="n"/>
      <c r="X64" s="68" t="n"/>
    </row>
    <row r="65" ht="14.25" customHeight="1" s="52">
      <c r="A65" s="93" t="n"/>
      <c r="E65" s="68" t="n"/>
      <c r="M65" s="70" t="n"/>
      <c r="X65" s="68" t="n"/>
    </row>
    <row r="66" ht="14.25" customHeight="1" s="52">
      <c r="A66" s="93" t="n"/>
      <c r="E66" s="68" t="n"/>
      <c r="M66" s="70" t="n"/>
      <c r="X66" s="68" t="n"/>
    </row>
    <row r="67" ht="14.25" customHeight="1" s="52">
      <c r="A67" s="93" t="n"/>
      <c r="E67" s="68" t="n"/>
      <c r="M67" s="70" t="n"/>
      <c r="X67" s="68" t="n"/>
    </row>
    <row r="68" ht="14.25" customHeight="1" s="52">
      <c r="A68" s="93" t="n"/>
      <c r="E68" s="68" t="n"/>
      <c r="M68" s="70" t="n"/>
      <c r="X68" s="68" t="n"/>
    </row>
    <row r="69" ht="14.25" customHeight="1" s="52">
      <c r="A69" s="93" t="n"/>
      <c r="E69" s="68" t="n"/>
      <c r="M69" s="70" t="n"/>
      <c r="X69" s="68" t="n"/>
    </row>
    <row r="70" ht="14.25" customHeight="1" s="52">
      <c r="A70" s="93" t="n"/>
      <c r="E70" s="68" t="n"/>
      <c r="M70" s="70" t="n"/>
      <c r="X70" s="68" t="n"/>
    </row>
    <row r="71" ht="14.25" customHeight="1" s="52">
      <c r="A71" s="93" t="n"/>
      <c r="E71" s="68" t="n"/>
      <c r="M71" s="70" t="n"/>
      <c r="X71" s="68" t="n"/>
    </row>
    <row r="72" ht="14.25" customHeight="1" s="52">
      <c r="A72" s="93" t="n"/>
      <c r="E72" s="68" t="n"/>
      <c r="M72" s="70" t="n"/>
      <c r="X72" s="68" t="n"/>
    </row>
    <row r="73" ht="14.25" customHeight="1" s="52">
      <c r="A73" s="93" t="n"/>
      <c r="E73" s="68" t="n"/>
      <c r="M73" s="70" t="n"/>
      <c r="X73" s="68" t="n"/>
    </row>
    <row r="74" ht="14.25" customHeight="1" s="52">
      <c r="A74" s="93" t="n"/>
      <c r="E74" s="68" t="n"/>
      <c r="M74" s="70" t="n"/>
      <c r="X74" s="68" t="n"/>
    </row>
    <row r="75" ht="14.25" customHeight="1" s="52">
      <c r="A75" s="93" t="n"/>
      <c r="E75" s="68" t="n"/>
      <c r="M75" s="70" t="n"/>
      <c r="X75" s="68" t="n"/>
    </row>
    <row r="76" ht="14.25" customHeight="1" s="52">
      <c r="A76" s="93" t="n"/>
      <c r="E76" s="68" t="n"/>
      <c r="M76" s="70" t="n"/>
      <c r="X76" s="68" t="n"/>
    </row>
    <row r="77" ht="14.25" customHeight="1" s="52">
      <c r="A77" s="93" t="n"/>
      <c r="E77" s="68" t="n"/>
      <c r="M77" s="70" t="n"/>
      <c r="X77" s="68" t="n"/>
    </row>
    <row r="78" ht="14.25" customHeight="1" s="52">
      <c r="A78" s="93" t="n"/>
      <c r="E78" s="68" t="n"/>
      <c r="M78" s="70" t="n"/>
      <c r="X78" s="68" t="n"/>
    </row>
    <row r="79" ht="14.25" customHeight="1" s="52">
      <c r="A79" s="93" t="n"/>
      <c r="E79" s="68" t="n"/>
      <c r="M79" s="70" t="n"/>
      <c r="X79" s="68" t="n"/>
    </row>
    <row r="80" ht="14.25" customHeight="1" s="52">
      <c r="A80" s="93" t="n"/>
      <c r="E80" s="68" t="n"/>
      <c r="M80" s="70" t="n"/>
      <c r="X80" s="68" t="n"/>
    </row>
    <row r="81" ht="14.25" customHeight="1" s="52">
      <c r="A81" s="93" t="n"/>
      <c r="E81" s="68" t="n"/>
      <c r="M81" s="70" t="n"/>
      <c r="X81" s="68" t="n"/>
    </row>
    <row r="82" ht="14.25" customHeight="1" s="52">
      <c r="A82" s="93" t="n"/>
      <c r="E82" s="68" t="n"/>
      <c r="M82" s="70" t="n"/>
      <c r="X82" s="68" t="n"/>
    </row>
    <row r="83" ht="14.25" customHeight="1" s="52">
      <c r="A83" s="93" t="n"/>
      <c r="E83" s="68" t="n"/>
      <c r="L83" s="68" t="n"/>
      <c r="M83" s="70" t="n"/>
      <c r="X83" s="68" t="n"/>
    </row>
    <row r="84" ht="14.25" customHeight="1" s="52">
      <c r="A84" s="93" t="n"/>
      <c r="E84" s="68" t="n"/>
      <c r="M84" s="70" t="n"/>
      <c r="X84" s="68" t="n"/>
    </row>
    <row r="85" ht="14.25" customHeight="1" s="52">
      <c r="A85" s="93" t="n"/>
      <c r="E85" s="68" t="n"/>
      <c r="M85" s="70" t="n"/>
      <c r="X85" s="68" t="n"/>
    </row>
    <row r="86" ht="14.25" customHeight="1" s="52">
      <c r="A86" s="93" t="n"/>
      <c r="E86" s="68" t="n"/>
      <c r="M86" s="70" t="n"/>
      <c r="X86" s="68" t="n"/>
    </row>
    <row r="87" ht="14.25" customHeight="1" s="52">
      <c r="A87" s="93" t="n"/>
      <c r="E87" s="68" t="n"/>
      <c r="M87" s="70" t="n"/>
      <c r="X87" s="68" t="n"/>
    </row>
    <row r="88" ht="14.25" customHeight="1" s="52">
      <c r="A88" s="93" t="n"/>
      <c r="E88" s="68" t="n"/>
      <c r="M88" s="70" t="n"/>
      <c r="X88" s="68" t="n"/>
    </row>
    <row r="89" ht="14.25" customHeight="1" s="52">
      <c r="A89" s="93" t="n"/>
      <c r="E89" s="68" t="n"/>
      <c r="M89" s="70" t="n"/>
      <c r="X89" s="68" t="n"/>
    </row>
    <row r="90" ht="14.25" customHeight="1" s="52">
      <c r="A90" s="93" t="n"/>
      <c r="E90" s="68" t="n"/>
      <c r="M90" s="70" t="n"/>
      <c r="X90" s="68" t="n"/>
    </row>
    <row r="91" ht="14.25" customHeight="1" s="52">
      <c r="A91" s="93" t="n"/>
      <c r="E91" s="68" t="n"/>
      <c r="M91" s="70" t="n"/>
      <c r="X91" s="68" t="n"/>
    </row>
    <row r="92" ht="14.25" customHeight="1" s="52">
      <c r="A92" s="93" t="n"/>
      <c r="E92" s="68" t="n"/>
      <c r="M92" s="70" t="n"/>
      <c r="X92" s="68" t="n"/>
    </row>
    <row r="93" ht="14.25" customHeight="1" s="52">
      <c r="A93" s="93" t="n"/>
      <c r="E93" s="68" t="n"/>
      <c r="M93" s="70" t="n"/>
      <c r="X93" s="68" t="n"/>
    </row>
    <row r="94" ht="14.25" customHeight="1" s="52">
      <c r="A94" s="93" t="n"/>
      <c r="E94" s="68" t="n"/>
      <c r="M94" s="70" t="n"/>
      <c r="X94" s="68" t="n"/>
    </row>
    <row r="95" ht="14.25" customHeight="1" s="52">
      <c r="A95" s="93" t="n"/>
      <c r="E95" s="68" t="n"/>
      <c r="M95" s="70" t="n"/>
      <c r="X95" s="68" t="n"/>
    </row>
    <row r="96" ht="14.25" customHeight="1" s="52">
      <c r="A96" s="93" t="n"/>
      <c r="E96" s="68" t="n"/>
      <c r="L96" s="68" t="n"/>
      <c r="M96" s="70" t="n"/>
      <c r="X96" s="68" t="n"/>
    </row>
    <row r="97" ht="14.25" customHeight="1" s="52">
      <c r="A97" s="93" t="n"/>
      <c r="E97" s="68" t="n"/>
      <c r="M97" s="70" t="n"/>
      <c r="X97" s="68" t="n"/>
    </row>
    <row r="98" ht="14.25" customHeight="1" s="52">
      <c r="A98" s="93" t="n"/>
      <c r="E98" s="68" t="n"/>
      <c r="M98" s="70" t="n"/>
      <c r="X98" s="68" t="n"/>
    </row>
    <row r="99" ht="14.25" customHeight="1" s="52">
      <c r="A99" s="93" t="n"/>
      <c r="E99" s="68" t="n"/>
      <c r="M99" s="70" t="n"/>
      <c r="X99" s="68" t="n"/>
    </row>
    <row r="100" ht="14.25" customHeight="1" s="52">
      <c r="A100" s="93" t="n"/>
      <c r="E100" s="68" t="n"/>
      <c r="M100" s="70" t="n"/>
      <c r="X100" s="68" t="n"/>
    </row>
    <row r="101" ht="14.25" customHeight="1" s="52">
      <c r="A101" s="93" t="n"/>
      <c r="E101" s="68" t="n"/>
      <c r="M101" s="70" t="n"/>
      <c r="X101" s="68" t="n"/>
    </row>
    <row r="102" ht="14.25" customHeight="1" s="52">
      <c r="A102" s="93" t="n"/>
      <c r="E102" s="68" t="n"/>
      <c r="M102" s="70" t="n"/>
      <c r="X102" s="68" t="n"/>
    </row>
    <row r="103" ht="14.25" customHeight="1" s="52">
      <c r="A103" s="93" t="n"/>
      <c r="E103" s="68" t="n"/>
      <c r="M103" s="70" t="n"/>
      <c r="X103" s="68" t="n"/>
    </row>
    <row r="104" ht="14.25" customHeight="1" s="52">
      <c r="A104" s="93" t="n"/>
      <c r="E104" s="68" t="n"/>
      <c r="L104" s="68" t="n"/>
      <c r="M104" s="70" t="n"/>
      <c r="X104" s="68" t="n"/>
    </row>
    <row r="105" ht="14.25" customHeight="1" s="52">
      <c r="A105" s="93" t="n"/>
      <c r="E105" s="68" t="n"/>
      <c r="M105" s="70" t="n"/>
      <c r="X105" s="68" t="n"/>
    </row>
    <row r="106" ht="14.25" customHeight="1" s="52">
      <c r="A106" s="93" t="n"/>
      <c r="E106" s="68" t="n"/>
      <c r="M106" s="70" t="n"/>
      <c r="X106" s="68" t="n"/>
    </row>
    <row r="107" ht="14.25" customHeight="1" s="52">
      <c r="A107" s="93" t="n"/>
      <c r="E107" s="68" t="n"/>
      <c r="M107" s="70" t="n"/>
      <c r="X107" s="68" t="n"/>
    </row>
    <row r="108" ht="14.25" customHeight="1" s="52">
      <c r="A108" s="93" t="n"/>
      <c r="E108" s="68" t="n"/>
      <c r="M108" s="70" t="n"/>
      <c r="X108" s="68" t="n"/>
    </row>
    <row r="109" ht="14.25" customHeight="1" s="52">
      <c r="A109" s="93" t="n"/>
      <c r="E109" s="68" t="n"/>
      <c r="M109" s="70" t="n"/>
      <c r="X109" s="68" t="n"/>
    </row>
    <row r="110" ht="14.25" customHeight="1" s="52">
      <c r="A110" s="93" t="n"/>
      <c r="E110" s="68" t="n"/>
      <c r="M110" s="70" t="n"/>
      <c r="X110" s="68" t="n"/>
    </row>
    <row r="111" ht="14.25" customHeight="1" s="52">
      <c r="A111" s="93" t="n"/>
      <c r="E111" s="68" t="n"/>
      <c r="M111" s="70" t="n"/>
      <c r="X111" s="68" t="n"/>
    </row>
    <row r="112" ht="14.25" customHeight="1" s="52">
      <c r="A112" s="93" t="n"/>
      <c r="E112" s="68" t="n"/>
      <c r="M112" s="70" t="n"/>
      <c r="X112" s="68" t="n"/>
    </row>
    <row r="113" ht="14.25" customHeight="1" s="52">
      <c r="A113" s="93" t="n"/>
      <c r="E113" s="68" t="n"/>
      <c r="M113" s="70" t="n"/>
      <c r="X113" s="68" t="n"/>
    </row>
    <row r="114" ht="14.25" customHeight="1" s="52">
      <c r="A114" s="93" t="n"/>
      <c r="E114" s="68" t="n"/>
      <c r="M114" s="70" t="n"/>
      <c r="X114" s="68" t="n"/>
    </row>
    <row r="115" ht="14.25" customHeight="1" s="52">
      <c r="A115" s="93" t="n"/>
      <c r="E115" s="68" t="n"/>
      <c r="M115" s="70" t="n"/>
      <c r="X115" s="68" t="n"/>
    </row>
    <row r="116" ht="14.25" customHeight="1" s="52">
      <c r="A116" s="93" t="n"/>
      <c r="E116" s="68" t="n"/>
      <c r="M116" s="70" t="n"/>
      <c r="X116" s="68" t="n"/>
    </row>
  </sheetData>
  <autoFilter ref="A2:X34"/>
  <mergeCells count="4">
    <mergeCell ref="P1:Q1"/>
    <mergeCell ref="A1:E1"/>
    <mergeCell ref="S1:U1"/>
    <mergeCell ref="W1:X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8" activeCellId="0" sqref="B8"/>
    </sheetView>
  </sheetViews>
  <sheetFormatPr baseColWidth="8" defaultColWidth="8.5390625" defaultRowHeight="14.25" zeroHeight="0" outlineLevelRow="0"/>
  <cols>
    <col width="40.33" customWidth="1" style="51" min="1" max="1"/>
    <col width="23.44" customWidth="1" style="51" min="2" max="2"/>
    <col width="38" customWidth="1" style="51" min="3" max="3"/>
    <col width="24" customWidth="1" style="51" min="4" max="4"/>
  </cols>
  <sheetData>
    <row r="1" ht="14.25" customHeight="1" s="52">
      <c r="A1" s="98" t="inlineStr">
        <is>
          <t>Decks</t>
        </is>
      </c>
      <c r="B1" s="98" t="inlineStr">
        <is>
          <t>Current Deck Strength</t>
        </is>
      </c>
      <c r="C1" s="99" t="n"/>
      <c r="D1" s="98" t="inlineStr">
        <is>
          <t>Baseline (used until a game is logged)</t>
        </is>
      </c>
      <c r="E1" s="100" t="inlineStr">
        <is>
          <t>Playgroup Deck ID</t>
        </is>
      </c>
    </row>
    <row r="2" ht="14.25" customHeight="1" s="52">
      <c r="A2" s="100" t="inlineStr">
        <is>
          <t>Becca</t>
        </is>
      </c>
      <c r="B2" s="101">
        <f>AVERAGE(B3:B7)</f>
        <v/>
      </c>
      <c r="C2" s="99" t="n"/>
    </row>
    <row r="3" ht="14.25" customHeight="1" s="52">
      <c r="A3" s="102" t="inlineStr">
        <is>
          <t>Ms. Bumbleflower</t>
        </is>
      </c>
      <c r="B3" s="102">
        <f>IFERROR(LOOKUP(2,1/(('Game Log Season 3'!$C$3:$C$1000="Becca")*('Game Log Season 3'!$D$3:$D$1000=A3)*('Game Log Season 3'!$X$3:$X$1000&lt;&gt;"")),'Game Log Season 3'!$X$3:$X$1000), D3)</f>
        <v/>
      </c>
      <c r="C3" s="99" t="n"/>
      <c r="D3" s="102" t="n">
        <v>2.4</v>
      </c>
      <c r="E3" s="100" t="inlineStr">
        <is>
          <t>560453</t>
        </is>
      </c>
    </row>
    <row r="4" ht="27.75" customHeight="1" s="52">
      <c r="A4" s="102" t="inlineStr">
        <is>
          <t>Aminatou, Veil Piercer</t>
        </is>
      </c>
      <c r="B4" s="102">
        <f>IFERROR(LOOKUP(2,1/(('Game Log Season 3'!$C$3:$C$1000="Becca")*('Game Log Season 3'!$D$3:$D$1000=A4)*('Game Log Season 3'!$X$3:$X$1000&lt;&gt;"")),'Game Log Season 3'!$X$3:$X$1000), D4)</f>
        <v/>
      </c>
      <c r="C4" s="99" t="inlineStr">
        <is>
          <t>*Bracket 4 review (1 game no infinite combos)</t>
        </is>
      </c>
      <c r="D4" s="102" t="n">
        <v>3.7</v>
      </c>
      <c r="E4" s="100" t="inlineStr">
        <is>
          <t>560452</t>
        </is>
      </c>
    </row>
    <row r="5" ht="14.25" customHeight="1" s="52">
      <c r="A5" s="102" t="inlineStr">
        <is>
          <t>Killian, Decisive Mentor</t>
        </is>
      </c>
      <c r="B5" s="102">
        <f>IFERROR(LOOKUP(2,1/(('Game Log Season 3'!$C$3:$C$1000="Becca")*('Game Log Season 3'!$D$3:$D$1000=A5)*('Game Log Season 3'!$X$3:$X$1000&lt;&gt;"")),'Game Log Season 3'!$X$3:$X$1000), D5)</f>
        <v/>
      </c>
      <c r="C5" s="99" t="n"/>
      <c r="D5" s="102" t="n">
        <v>2.3</v>
      </c>
      <c r="E5" s="100" t="inlineStr">
        <is>
          <t>648625</t>
        </is>
      </c>
    </row>
    <row r="6" ht="14.25" customHeight="1" s="52">
      <c r="A6" s="102" t="inlineStr">
        <is>
          <t>Eshki, Temur's Roar (Manny's)</t>
        </is>
      </c>
      <c r="B6" s="102">
        <f>IFERROR(LOOKUP(2,1/(('Game Log Season 3'!$C$3:$C$1000="Becca")*('Game Log Season 3'!$D$3:$D$1000=A6)*('Game Log Season 3'!$X$3:$X$1000&lt;&gt;"")),'Game Log Season 3'!$X$3:$X$1000), D6)</f>
        <v/>
      </c>
      <c r="C6" s="99" t="n"/>
      <c r="D6" s="102" t="n">
        <v>2.5</v>
      </c>
    </row>
    <row r="7" ht="14.25" customHeight="1" s="52">
      <c r="A7" s="102" t="inlineStr">
        <is>
          <t>Katara, the Fearless</t>
        </is>
      </c>
      <c r="B7" s="102">
        <f>IFERROR(LOOKUP(2,1/(('Game Log Season 3'!$C$3:$C$1000="Becca")*('Game Log Season 3'!$D$3:$D$1000=A7)*('Game Log Season 3'!$X$3:$X$1000&lt;&gt;"")),'Game Log Season 3'!$X$3:$X$1000), D7)</f>
        <v/>
      </c>
      <c r="C7" s="99" t="inlineStr">
        <is>
          <t>*Bracket 2</t>
        </is>
      </c>
      <c r="D7" s="102" t="n">
        <v>2</v>
      </c>
      <c r="E7" s="100" t="inlineStr">
        <is>
          <t>797189</t>
        </is>
      </c>
    </row>
    <row r="8" ht="14.25" customHeight="1" s="52">
      <c r="A8" s="100" t="inlineStr">
        <is>
          <t>Manny</t>
        </is>
      </c>
      <c r="B8" s="101">
        <f>AVERAGE(B9:B21)</f>
        <v/>
      </c>
      <c r="C8" s="99" t="n"/>
    </row>
    <row r="9" ht="14.25" customHeight="1" s="52">
      <c r="A9" s="102" t="inlineStr">
        <is>
          <t>Galadriel, Light of Valinor</t>
        </is>
      </c>
      <c r="B9" s="102">
        <f>IFERROR(LOOKUP(2,1/(('Game Log Season 3'!$C$3:$C$1000="Manny")*('Game Log Season 3'!$D$3:$D$1000=A9)*('Game Log Season 3'!$X$3:$X$1000&lt;&gt;"")),'Game Log Season 3'!$X$3:$X$1000), D9)</f>
        <v/>
      </c>
      <c r="C9" s="99" t="n"/>
      <c r="D9" s="102" t="n">
        <v>3.8</v>
      </c>
      <c r="E9" s="100" t="inlineStr">
        <is>
          <t>626865</t>
        </is>
      </c>
    </row>
    <row r="10" ht="14.25" customHeight="1" s="52">
      <c r="A10" s="102" t="inlineStr">
        <is>
          <t>Atraxa, Praetor's Voice</t>
        </is>
      </c>
      <c r="B10" s="102">
        <f>IFERROR(LOOKUP(2,1/(('Game Log Season 3'!$C$3:$C$1000="Manny")*('Game Log Season 3'!$D$3:$D$1000=A10)*('Game Log Season 3'!$X$3:$X$1000&lt;&gt;"")),'Game Log Season 3'!$X$3:$X$1000), D10)</f>
        <v/>
      </c>
      <c r="C10" s="99" t="n"/>
      <c r="D10" s="102" t="n">
        <v>3.9</v>
      </c>
      <c r="E10" s="100" t="inlineStr">
        <is>
          <t>626866</t>
        </is>
      </c>
    </row>
    <row r="11" ht="27.75" customHeight="1" s="52">
      <c r="A11" s="102" t="inlineStr">
        <is>
          <t>Athreos, God of Passage</t>
        </is>
      </c>
      <c r="B11" s="102">
        <f>IFERROR(LOOKUP(2,1/(('Game Log Season 3'!$C$3:$C$1000="Manny")*('Game Log Season 3'!$D$3:$D$1000=A11)*('Game Log Season 3'!$X$3:$X$1000&lt;&gt;"")),'Game Log Season 3'!$X$3:$X$1000), D11)</f>
        <v/>
      </c>
      <c r="C11" s="99" t="inlineStr">
        <is>
          <t>*Bracket 4 review (2 games no infinite combos)</t>
        </is>
      </c>
      <c r="D11" s="102" t="n">
        <v>3.4</v>
      </c>
      <c r="E11" s="100" t="inlineStr">
        <is>
          <t>626503</t>
        </is>
      </c>
    </row>
    <row r="12" ht="14.25" customHeight="1" s="52">
      <c r="A12" s="102" t="inlineStr">
        <is>
          <t>Fynn, the Fangbearer</t>
        </is>
      </c>
      <c r="B12" s="102">
        <f>IFERROR(LOOKUP(2,1/(('Game Log Season 3'!$C$3:$C$1000="Manny")*('Game Log Season 3'!$D$3:$D$1000=A12)*('Game Log Season 3'!$X$3:$X$1000&lt;&gt;"")),'Game Log Season 3'!$X$3:$X$1000), D12)</f>
        <v/>
      </c>
      <c r="C12" s="99" t="n"/>
      <c r="D12" s="102" t="n">
        <v>2.6</v>
      </c>
      <c r="E12" s="100" t="inlineStr">
        <is>
          <t>614179</t>
        </is>
      </c>
    </row>
    <row r="13" ht="27.75" customHeight="1" s="52">
      <c r="A13" s="102" t="inlineStr">
        <is>
          <t>Frodo, Adventurous Hobbit/Sam, Loyal Attendant</t>
        </is>
      </c>
      <c r="B13" s="102">
        <f>IFERROR(LOOKUP(2,1/(('Game Log Season 3'!$C$3:$C$1000="Manny")*('Game Log Season 3'!$D$3:$D$1000=A13)*('Game Log Season 3'!$X$3:$X$1000&lt;&gt;"")),'Game Log Season 3'!$X$3:$X$1000), D13)</f>
        <v/>
      </c>
      <c r="C13" s="99" t="inlineStr">
        <is>
          <t>*Bracket 4 review (1 game no infinite combos)</t>
        </is>
      </c>
      <c r="D13" s="102" t="n">
        <v>3.5</v>
      </c>
      <c r="E13" s="100" t="inlineStr">
        <is>
          <t>560532</t>
        </is>
      </c>
    </row>
    <row r="14" ht="14.25" customHeight="1" s="52">
      <c r="A14" s="102" t="inlineStr">
        <is>
          <t>Zada, Hedron Grinder</t>
        </is>
      </c>
      <c r="B14" s="102">
        <f>IFERROR(LOOKUP(2,1/(('Game Log Season 3'!$C$3:$C$1000="Manny")*('Game Log Season 3'!$D$3:$D$1000=A14)*('Game Log Season 3'!$X$3:$X$1000&lt;&gt;"")),'Game Log Season 3'!$X$3:$X$1000), D14)</f>
        <v/>
      </c>
      <c r="C14" s="99" t="n"/>
      <c r="D14" s="102" t="n">
        <v>2.7</v>
      </c>
      <c r="E14" s="100" t="inlineStr">
        <is>
          <t>695274</t>
        </is>
      </c>
    </row>
    <row r="15" ht="14.25" customHeight="1" s="52">
      <c r="A15" s="102" t="inlineStr">
        <is>
          <t>Ureni of the Unwritten</t>
        </is>
      </c>
      <c r="B15" s="102">
        <f>IFERROR(LOOKUP(2,1/(('Game Log Season 3'!$C$3:$C$1000="Manny")*('Game Log Season 3'!$D$3:$D$1000=A15)*('Game Log Season 3'!$X$3:$X$1000&lt;&gt;"")),'Game Log Season 3'!$X$3:$X$1000), D15)</f>
        <v/>
      </c>
      <c r="C15" s="99" t="n"/>
      <c r="D15" s="102" t="n">
        <v>2.6</v>
      </c>
      <c r="E15" s="100" t="inlineStr">
        <is>
          <t>703425</t>
        </is>
      </c>
    </row>
    <row r="16" ht="14.25" customHeight="1" s="52">
      <c r="A16" s="102" t="inlineStr">
        <is>
          <t>Aragorn, the Uniter</t>
        </is>
      </c>
      <c r="B16" s="102">
        <f>IFERROR(LOOKUP(2,1/(('Game Log Season 3'!$C$3:$C$1000="Manny")*('Game Log Season 3'!$D$3:$D$1000=A16)*('Game Log Season 3'!$X$3:$X$1000&lt;&gt;"")),'Game Log Season 3'!$X$3:$X$1000), D16)</f>
        <v/>
      </c>
      <c r="C16" s="99" t="n"/>
      <c r="D16" s="102" t="n">
        <v>3.9</v>
      </c>
      <c r="E16" s="100" t="inlineStr">
        <is>
          <t>560534</t>
        </is>
      </c>
    </row>
    <row r="17" ht="14.25" customHeight="1" s="52">
      <c r="A17" s="102" t="inlineStr">
        <is>
          <t>Kruphix, God of Horizons</t>
        </is>
      </c>
      <c r="B17" s="102">
        <f>IFERROR(LOOKUP(2,1/(('Game Log Season 3'!$C$3:$C$1000="Manny")*('Game Log Season 3'!$D$3:$D$1000=A17)*('Game Log Season 3'!$X$3:$X$1000&lt;&gt;"")),'Game Log Season 3'!$X$3:$X$1000), D17)</f>
        <v/>
      </c>
      <c r="C17" s="99" t="n"/>
      <c r="D17" s="102" t="n">
        <v>2.3</v>
      </c>
      <c r="E17" s="100" t="inlineStr">
        <is>
          <t>713019</t>
        </is>
      </c>
    </row>
    <row r="18" ht="14.25" customHeight="1" s="52">
      <c r="A18" s="102" t="inlineStr">
        <is>
          <t>Avatar Aang</t>
        </is>
      </c>
      <c r="B18" s="102">
        <f>IFERROR(LOOKUP(2,1/(('Game Log Season 3'!$C$3:$C$1000="Manny")*('Game Log Season 3'!$D$3:$D$1000=A18)*('Game Log Season 3'!$X$3:$X$1000&lt;&gt;"")),'Game Log Season 3'!$X$3:$X$1000), D18)</f>
        <v/>
      </c>
      <c r="C18" s="99" t="n"/>
      <c r="D18" s="102" t="n">
        <v>3.5</v>
      </c>
      <c r="E18" s="100" t="inlineStr">
        <is>
          <t>560535</t>
        </is>
      </c>
    </row>
    <row r="19" ht="14.25" customHeight="1" s="52">
      <c r="A19" s="102" t="inlineStr">
        <is>
          <t>Toph, Hardheaded Teacher</t>
        </is>
      </c>
      <c r="B19" s="102">
        <f>IFERROR(LOOKUP(2,1/(('Game Log Season 3'!$C$3:$C$1000="Manny")*('Game Log Season 3'!$D$3:$D$1000=A19)*('Game Log Season 3'!$X$3:$X$1000&lt;&gt;"")),'Game Log Season 3'!$X$3:$X$1000), D19)</f>
        <v/>
      </c>
      <c r="C19" s="99" t="n"/>
      <c r="D19" s="102" t="n">
        <v>3.9</v>
      </c>
      <c r="E19" s="100" t="inlineStr">
        <is>
          <t>796808</t>
        </is>
      </c>
    </row>
    <row r="20" ht="14.25" customHeight="1" s="52">
      <c r="A20" s="102" t="inlineStr">
        <is>
          <t>Eshki, Temur's Roar</t>
        </is>
      </c>
      <c r="B20" s="102">
        <f>IFERROR(LOOKUP(2,1/(('Game Log Season 3'!$C$3:$C$1000="Manny")*('Game Log Season 3'!$D$3:$D$1000=A20)*('Game Log Season 3'!$X$3:$X$1000&lt;&gt;"")),'Game Log Season 3'!$X$3:$X$1000), D20)</f>
        <v/>
      </c>
      <c r="C20" s="99" t="n"/>
      <c r="D20" s="102" t="n">
        <v>3.7</v>
      </c>
      <c r="E20" s="100" t="inlineStr">
        <is>
          <t>737114</t>
        </is>
      </c>
    </row>
    <row r="21" ht="14.25" customHeight="1" s="52">
      <c r="A21" s="102" t="inlineStr">
        <is>
          <t>Sokka, Tenacious Tactician</t>
        </is>
      </c>
      <c r="B21" s="102">
        <f>IFERROR(LOOKUP(2,1/(('Game Log Season 3'!$C$3:$C$1000="Manny")*('Game Log Season 3'!$D$3:$D$1000=A21)*('Game Log Season 3'!$X$3:$X$1000&lt;&gt;"")),'Game Log Season 3'!$X$3:$X$1000), D21)</f>
        <v/>
      </c>
      <c r="C21" s="99" t="inlineStr">
        <is>
          <t>*Bracket 3</t>
        </is>
      </c>
      <c r="D21" s="102" t="n">
        <v>3</v>
      </c>
      <c r="E21" s="100" t="inlineStr">
        <is>
          <t>741945</t>
        </is>
      </c>
    </row>
    <row r="22" ht="14.25" customHeight="1" s="52">
      <c r="A22" s="100" t="inlineStr">
        <is>
          <t>Mateo</t>
        </is>
      </c>
      <c r="B22" s="101">
        <f>AVERAGE(B23:B39)</f>
        <v/>
      </c>
      <c r="C22" s="99" t="n"/>
    </row>
    <row r="23" ht="14.25" customHeight="1" s="52">
      <c r="A23" s="102" t="inlineStr">
        <is>
          <t>High Perfect Morcant</t>
        </is>
      </c>
      <c r="B23" s="102">
        <f>IFERROR(LOOKUP(2,1/(('Game Log Season 3'!$C$3:$C$1000="Mateo")*('Game Log Season 3'!$D$3:$D$1000=A23)*('Game Log Season 3'!$X$3:$X$1000&lt;&gt;"")),'Game Log Season 3'!$X$3:$X$1000), D23)</f>
        <v/>
      </c>
      <c r="C23" s="99" t="n"/>
      <c r="D23" s="102" t="n">
        <v>2.4</v>
      </c>
      <c r="E23" s="100" t="inlineStr">
        <is>
          <t>639396</t>
        </is>
      </c>
    </row>
    <row r="24" ht="14.25" customHeight="1" s="52">
      <c r="A24" s="102" t="inlineStr">
        <is>
          <t>Zurgo Stormrender</t>
        </is>
      </c>
      <c r="B24" s="102">
        <f>IFERROR(LOOKUP(2,1/(('Game Log Season 3'!$C$3:$C$1000="Mateo")*('Game Log Season 3'!$D$3:$D$1000=A24)*('Game Log Season 3'!$X$3:$X$1000&lt;&gt;"")),'Game Log Season 3'!$X$3:$X$1000), D24)</f>
        <v/>
      </c>
      <c r="C24" s="99" t="n"/>
      <c r="D24" s="102" t="n">
        <v>3.6</v>
      </c>
      <c r="E24" s="100" t="inlineStr">
        <is>
          <t>560454</t>
        </is>
      </c>
    </row>
    <row r="25" ht="14.25" customHeight="1" s="52">
      <c r="A25" s="102" t="inlineStr">
        <is>
          <t>Fire Lord Azula</t>
        </is>
      </c>
      <c r="B25" s="102">
        <f>IFERROR(LOOKUP(2,1/(('Game Log Season 3'!$C$3:$C$1000="Mateo")*('Game Log Season 3'!$D$3:$D$1000=A25)*('Game Log Season 3'!$X$3:$X$1000&lt;&gt;"")),'Game Log Season 3'!$X$3:$X$1000), D25)</f>
        <v/>
      </c>
      <c r="C25" s="99" t="n"/>
      <c r="D25" s="102" t="n">
        <v>3.6</v>
      </c>
      <c r="E25" s="100" t="inlineStr">
        <is>
          <t>614174</t>
        </is>
      </c>
    </row>
    <row r="26" ht="14.25" customHeight="1" s="52">
      <c r="A26" s="102" t="inlineStr">
        <is>
          <t>Quintorius, History Chaser</t>
        </is>
      </c>
      <c r="B26" s="102">
        <f>IFERROR(LOOKUP(2,1/(('Game Log Season 3'!$C$3:$C$1000="Mateo")*('Game Log Season 3'!$D$3:$D$1000=A26)*('Game Log Season 3'!$X$3:$X$1000&lt;&gt;"")),'Game Log Season 3'!$X$3:$X$1000), D26)</f>
        <v/>
      </c>
      <c r="C26" s="99" t="n"/>
      <c r="D26" s="102" t="n">
        <v>2.9</v>
      </c>
      <c r="E26" s="100" t="inlineStr">
        <is>
          <t>648623</t>
        </is>
      </c>
    </row>
    <row r="27" ht="27.75" customHeight="1" s="52">
      <c r="A27" s="102" t="inlineStr">
        <is>
          <t>Auntie Ool, Cursewretch</t>
        </is>
      </c>
      <c r="B27" s="102">
        <f>IFERROR(LOOKUP(2,1/(('Game Log Season 3'!$C$3:$C$1000="Mateo")*('Game Log Season 3'!$D$3:$D$1000=A27)*('Game Log Season 3'!$X$3:$X$1000&lt;&gt;"")),'Game Log Season 3'!$X$3:$X$1000), D27)</f>
        <v/>
      </c>
      <c r="C27" s="99" t="inlineStr">
        <is>
          <t>*Bracket 4 review (1 game no infinite combos)</t>
        </is>
      </c>
      <c r="D27" s="102" t="n">
        <v>3.9</v>
      </c>
      <c r="E27" s="100" t="inlineStr">
        <is>
          <t>588726</t>
        </is>
      </c>
    </row>
    <row r="28" ht="14.25" customHeight="1" s="52">
      <c r="A28" s="102" t="inlineStr">
        <is>
          <t>Killian, Decisive Mentor (Becca's)</t>
        </is>
      </c>
      <c r="B28" s="102">
        <f>IFERROR(LOOKUP(2,1/(('Game Log Season 3'!$C$3:$C$1000="Mateo")*('Game Log Season 3'!$D$3:$D$1000=A28)*('Game Log Season 3'!$X$3:$X$1000&lt;&gt;"")),'Game Log Season 3'!$X$3:$X$1000), D28)</f>
        <v/>
      </c>
      <c r="C28" s="99" t="n"/>
      <c r="D28" s="102" t="n">
        <v>2.8</v>
      </c>
    </row>
    <row r="29" ht="14.25" customHeight="1" s="52">
      <c r="A29" s="102" t="inlineStr">
        <is>
          <t>Noctis, Heir Apparent</t>
        </is>
      </c>
      <c r="B29" s="102">
        <f>IFERROR(LOOKUP(2,1/(('Game Log Season 3'!$C$3:$C$1000="Mateo")*('Game Log Season 3'!$D$3:$D$1000=A29)*('Game Log Season 3'!$X$3:$X$1000&lt;&gt;"")),'Game Log Season 3'!$X$3:$X$1000), D29)</f>
        <v/>
      </c>
      <c r="C29" s="99" t="n"/>
      <c r="D29" s="102" t="n">
        <v>2.6</v>
      </c>
      <c r="E29" s="100" t="inlineStr">
        <is>
          <t>671540</t>
        </is>
      </c>
    </row>
    <row r="30" ht="14.25" customHeight="1" s="52">
      <c r="A30" s="102" t="inlineStr">
        <is>
          <t>Yuna, Grand Summoner</t>
        </is>
      </c>
      <c r="B30" s="102">
        <f>IFERROR(LOOKUP(2,1/(('Game Log Season 3'!$C$3:$C$1000="Mateo")*('Game Log Season 3'!$D$3:$D$1000=A30)*('Game Log Season 3'!$X$3:$X$1000&lt;&gt;"")),'Game Log Season 3'!$X$3:$X$1000), D30)</f>
        <v/>
      </c>
      <c r="C30" s="99" t="inlineStr">
        <is>
          <t>*Bracket 3</t>
        </is>
      </c>
      <c r="D30" s="102" t="n">
        <v>3.6</v>
      </c>
      <c r="E30" s="100" t="inlineStr">
        <is>
          <t>677158</t>
        </is>
      </c>
    </row>
    <row r="31" ht="14.25" customHeight="1" s="52">
      <c r="A31" s="102" t="inlineStr">
        <is>
          <t>Ureni of the Unwritten</t>
        </is>
      </c>
      <c r="B31" s="102">
        <f>IFERROR(LOOKUP(2,1/(('Game Log Season 3'!$C$3:$C$1000="Mateo")*('Game Log Season 3'!$D$3:$D$1000=A31)*('Game Log Season 3'!$X$3:$X$1000&lt;&gt;"")),'Game Log Season 3'!$X$3:$X$1000), D31)</f>
        <v/>
      </c>
      <c r="C31" s="99" t="n"/>
      <c r="D31" s="102" t="n">
        <v>3.9</v>
      </c>
      <c r="E31" s="100" t="inlineStr">
        <is>
          <t>560457</t>
        </is>
      </c>
    </row>
    <row r="32" ht="14.25" customHeight="1" s="52">
      <c r="A32" s="102" t="inlineStr">
        <is>
          <t>Captain America, Team Leader</t>
        </is>
      </c>
      <c r="B32" s="102">
        <f>IFERROR(LOOKUP(2,1/(('Game Log Season 3'!$C$3:$C$1000="Mateo")*('Game Log Season 3'!$D$3:$D$1000=A32)*('Game Log Season 3'!$X$3:$X$1000&lt;&gt;"")),'Game Log Season 3'!$X$3:$X$1000), D32)</f>
        <v/>
      </c>
      <c r="C32" s="99" t="n"/>
      <c r="D32" s="102" t="n">
        <v>3.7</v>
      </c>
      <c r="E32" s="100" t="inlineStr">
        <is>
          <t>710932</t>
        </is>
      </c>
    </row>
    <row r="33" ht="14.25" customHeight="1" s="52">
      <c r="A33" s="102" t="inlineStr">
        <is>
          <t>Teval, the Balanced Scale</t>
        </is>
      </c>
      <c r="B33" s="103">
        <f>IFERROR(LOOKUP(2,1/(('Game Log Season 3'!$C$3:$C$1000="Mateo")*('Game Log Season 3'!$D$3:$D$1000=A33)*('Game Log Season 3'!$X$3:$X$1000&lt;&gt;"")),'Game Log Season 3'!$X$3:$X$1000), D33)</f>
        <v/>
      </c>
      <c r="C33" s="99" t="n"/>
      <c r="D33" s="103" t="n">
        <v>4</v>
      </c>
      <c r="E33" s="100" t="inlineStr">
        <is>
          <t>566516</t>
        </is>
      </c>
    </row>
    <row r="34" ht="14.25" customHeight="1" s="52">
      <c r="A34" s="102" t="inlineStr">
        <is>
          <t>Kratos, God of War</t>
        </is>
      </c>
      <c r="B34" s="103">
        <f>IFERROR(LOOKUP(2,1/(('Game Log Season 3'!$C$3:$C$1000="Mateo")*('Game Log Season 3'!$D$3:$D$1000=A34)*('Game Log Season 3'!$X$3:$X$1000&lt;&gt;"")),'Game Log Season 3'!$X$3:$X$1000), D34)</f>
        <v/>
      </c>
      <c r="C34" s="99" t="n"/>
      <c r="D34" s="103" t="n">
        <v>2.9</v>
      </c>
      <c r="E34" s="100" t="inlineStr">
        <is>
          <t>743882</t>
        </is>
      </c>
    </row>
    <row r="35" ht="27.75" customHeight="1" s="52">
      <c r="A35" s="102" t="inlineStr">
        <is>
          <t>Chatterfang, Squirrel General</t>
        </is>
      </c>
      <c r="B35" s="103">
        <f>IFERROR(LOOKUP(2,1/(('Game Log Season 3'!$C$3:$C$1000="Mateo")*('Game Log Season 3'!$D$3:$D$1000=A35)*('Game Log Season 3'!$X$3:$X$1000&lt;&gt;"")),'Game Log Season 3'!$X$3:$X$1000), D35)</f>
        <v/>
      </c>
      <c r="C35" s="99" t="inlineStr">
        <is>
          <t>*Bracket 4 review (1 game infinite combo round 9)</t>
        </is>
      </c>
      <c r="D35" s="103" t="n">
        <v>3.9</v>
      </c>
      <c r="E35" s="100" t="inlineStr">
        <is>
          <t>566515</t>
        </is>
      </c>
    </row>
    <row r="36" ht="14.25" customHeight="1" s="52">
      <c r="A36" s="102" t="inlineStr">
        <is>
          <t>Toph, the First Metalbender</t>
        </is>
      </c>
      <c r="B36" s="102">
        <f>IFERROR(LOOKUP(2,1/(('Game Log Season 3'!$C$3:$C$1000="Mateo")*('Game Log Season 3'!$D$3:$D$1000=A36)*('Game Log Season 3'!$X$3:$X$1000&lt;&gt;"")),'Game Log Season 3'!$X$3:$X$1000), D36)</f>
        <v/>
      </c>
      <c r="C36" s="99" t="n"/>
      <c r="D36" s="102" t="n">
        <v>3</v>
      </c>
      <c r="E36" s="100" t="inlineStr">
        <is>
          <t>575526</t>
        </is>
      </c>
    </row>
    <row r="37" ht="14.25" customHeight="1" s="52">
      <c r="A37" s="102" t="inlineStr">
        <is>
          <t>Doctor Doom, King of Latveria</t>
        </is>
      </c>
      <c r="B37" s="102">
        <f>IFERROR(LOOKUP(2,1/(('Game Log Season 3'!$C$3:$C$1000="Mateo")*('Game Log Season 3'!$D$3:$D$1000=A37)*('Game Log Season 3'!$X$3:$X$1000&lt;&gt;"")),'Game Log Season 3'!$X$3:$X$1000), D37)</f>
        <v/>
      </c>
      <c r="C37" s="99" t="n"/>
      <c r="D37" s="102" t="n">
        <v>2</v>
      </c>
      <c r="E37" s="100" t="inlineStr">
        <is>
          <t>795075</t>
        </is>
      </c>
    </row>
    <row r="38" ht="14.25" customHeight="1" s="52">
      <c r="A38" s="102" t="inlineStr">
        <is>
          <t>Tidus, Yuna's Guardian</t>
        </is>
      </c>
      <c r="B38" s="102">
        <f>IFERROR(LOOKUP(2,1/(('Game Log Season 3'!$C$3:$C$1000="Mateo")*('Game Log Season 3'!$D$3:$D$1000=A38)*('Game Log Season 3'!$X$3:$X$1000&lt;&gt;"")),'Game Log Season 3'!$X$3:$X$1000), D38)</f>
        <v/>
      </c>
      <c r="C38" s="99" t="n"/>
      <c r="D38" s="102" t="n">
        <v>3.9</v>
      </c>
      <c r="E38" s="100" t="inlineStr">
        <is>
          <t>560459</t>
        </is>
      </c>
    </row>
    <row r="39" ht="14.25" customHeight="1" s="52">
      <c r="A39" s="102" t="inlineStr">
        <is>
          <t>Leonardo, the Balance/Michelangelo, the Heart</t>
        </is>
      </c>
      <c r="B39" s="102">
        <f>IFERROR(LOOKUP(2,1/(('Game Log Season 3'!$C$3:$C$1000="Mateo")*('Game Log Season 3'!$D$3:$D$1000=A39)*('Game Log Season 3'!$X$3:$X$1000&lt;&gt;"")),'Game Log Season 3'!$X$3:$X$1000), D39)</f>
        <v/>
      </c>
      <c r="C39" s="99" t="n"/>
      <c r="D39" s="102" t="n">
        <v>2.6</v>
      </c>
      <c r="E39" s="100" t="inlineStr">
        <is>
          <t>614175</t>
        </is>
      </c>
    </row>
    <row r="40" ht="14.25" customHeight="1" s="52">
      <c r="A40" s="100" t="inlineStr">
        <is>
          <t>Ryan</t>
        </is>
      </c>
      <c r="B40" s="101">
        <f>AVERAGE(B41:B54)</f>
        <v/>
      </c>
      <c r="C40" s="99" t="n"/>
    </row>
    <row r="41" ht="14.25" customHeight="1" s="52">
      <c r="A41" s="102" t="inlineStr">
        <is>
          <t>Eowyn, Shieldmaiden</t>
        </is>
      </c>
      <c r="B41" s="102">
        <f>IFERROR(LOOKUP(2,1/(('Game Log Season 3'!$C$3:$C$1000="Ryan")*('Game Log Season 3'!$D$3:$D$1000=A41)*('Game Log Season 3'!$X$3:$X$1000&lt;&gt;"")),'Game Log Season 3'!$X$3:$X$1000), D41)</f>
        <v/>
      </c>
      <c r="C41" s="99" t="n"/>
      <c r="D41" s="102" t="n">
        <v>3.5</v>
      </c>
      <c r="E41" s="100" t="inlineStr">
        <is>
          <t>560264</t>
        </is>
      </c>
    </row>
    <row r="42" ht="14.25" customHeight="1" s="52">
      <c r="A42" s="102" t="inlineStr">
        <is>
          <t>Ashling, The Limitless</t>
        </is>
      </c>
      <c r="B42" s="102">
        <f>IFERROR(LOOKUP(2,1/(('Game Log Season 3'!$C$3:$C$1000="Ryan")*('Game Log Season 3'!$D$3:$D$1000=A42)*('Game Log Season 3'!$X$3:$X$1000&lt;&gt;"")),'Game Log Season 3'!$X$3:$X$1000), D42)</f>
        <v/>
      </c>
      <c r="C42" s="99" t="n"/>
      <c r="D42" s="102" t="n">
        <v>3.4</v>
      </c>
      <c r="E42" s="100" t="inlineStr">
        <is>
          <t>601033</t>
        </is>
      </c>
    </row>
    <row r="43" ht="14.25" customHeight="1" s="52">
      <c r="A43" s="102" t="inlineStr">
        <is>
          <t>Cloud, Ex-SOLDIER</t>
        </is>
      </c>
      <c r="B43" s="102">
        <f>IFERROR(LOOKUP(2,1/(('Game Log Season 3'!$C$3:$C$1000="Ryan")*('Game Log Season 3'!$D$3:$D$1000=A43)*('Game Log Season 3'!$X$3:$X$1000&lt;&gt;"")),'Game Log Season 3'!$X$3:$X$1000), D43)</f>
        <v/>
      </c>
      <c r="C43" s="99" t="n"/>
      <c r="D43" s="102" t="n">
        <v>3.7</v>
      </c>
      <c r="E43" s="100" t="inlineStr">
        <is>
          <t>560262</t>
        </is>
      </c>
    </row>
    <row r="44" ht="14.25" customHeight="1" s="52">
      <c r="A44" s="102" t="inlineStr">
        <is>
          <t>Kratos, Stoic Father/Atreus, Impulsive Son</t>
        </is>
      </c>
      <c r="B44" s="102">
        <f>IFERROR(LOOKUP(2,1/(('Game Log Season 3'!$C$3:$C$1000="Ryan")*('Game Log Season 3'!$D$3:$D$1000=A44)*('Game Log Season 3'!$X$3:$X$1000&lt;&gt;"")),'Game Log Season 3'!$X$3:$X$1000), D44)</f>
        <v/>
      </c>
      <c r="C44" s="99" t="n"/>
      <c r="D44" s="102" t="n">
        <v>2.6</v>
      </c>
      <c r="E44" s="100" t="inlineStr">
        <is>
          <t>601032</t>
        </is>
      </c>
    </row>
    <row r="45" ht="14.25" customHeight="1" s="52">
      <c r="A45" s="102" t="inlineStr">
        <is>
          <t>Fire Lord Zuko</t>
        </is>
      </c>
      <c r="B45" s="102">
        <f>IFERROR(LOOKUP(2,1/(('Game Log Season 3'!$C$3:$C$1000="Ryan")*('Game Log Season 3'!$D$3:$D$1000=A45)*('Game Log Season 3'!$X$3:$X$1000&lt;&gt;"")),'Game Log Season 3'!$X$3:$X$1000), D45)</f>
        <v/>
      </c>
      <c r="C45" s="99" t="n"/>
      <c r="D45" s="102" t="n">
        <v>3.8</v>
      </c>
      <c r="E45" s="100" t="inlineStr">
        <is>
          <t>560261</t>
        </is>
      </c>
    </row>
    <row r="46" ht="14.25" customHeight="1" s="52">
      <c r="A46" s="102" t="inlineStr">
        <is>
          <t>Witherbloom, The Balancer</t>
        </is>
      </c>
      <c r="B46" s="102">
        <f>IFERROR(LOOKUP(2,1/(('Game Log Season 3'!$C$3:$C$1000="Ryan")*('Game Log Season 3'!$D$3:$D$1000=A46)*('Game Log Season 3'!$X$3:$X$1000&lt;&gt;"")),'Game Log Season 3'!$X$3:$X$1000), D46)</f>
        <v/>
      </c>
      <c r="C46" s="99" t="n"/>
      <c r="D46" s="102" t="n">
        <v>2.6</v>
      </c>
      <c r="E46" s="100" t="inlineStr">
        <is>
          <t>659612</t>
        </is>
      </c>
    </row>
    <row r="47" ht="14.25" customHeight="1" s="52">
      <c r="A47" s="102" t="inlineStr">
        <is>
          <t>Preston Garvey, Minuteman</t>
        </is>
      </c>
      <c r="B47" s="102">
        <f>IFERROR(LOOKUP(2,1/(('Game Log Season 3'!$C$3:$C$1000="Ryan")*('Game Log Season 3'!$D$3:$D$1000=A47)*('Game Log Season 3'!$X$3:$X$1000&lt;&gt;"")),'Game Log Season 3'!$X$3:$X$1000), D47)</f>
        <v/>
      </c>
      <c r="C47" s="99" t="n"/>
      <c r="D47" s="102" t="n">
        <v>3.6</v>
      </c>
      <c r="E47" s="100" t="inlineStr">
        <is>
          <t>560263</t>
        </is>
      </c>
    </row>
    <row r="48" ht="14.25" customHeight="1" s="52">
      <c r="A48" s="102" t="inlineStr">
        <is>
          <t>Giada, Font of Hope</t>
        </is>
      </c>
      <c r="B48" s="102">
        <f>IFERROR(LOOKUP(2,1/(('Game Log Season 3'!$C$3:$C$1000="Ryan")*('Game Log Season 3'!$D$3:$D$1000=A48)*('Game Log Season 3'!$X$3:$X$1000&lt;&gt;"")),'Game Log Season 3'!$X$3:$X$1000), D48)</f>
        <v/>
      </c>
      <c r="C48" s="99" t="n"/>
      <c r="D48" s="102" t="n">
        <v>2.6</v>
      </c>
      <c r="E48" s="100" t="inlineStr">
        <is>
          <t>693262</t>
        </is>
      </c>
    </row>
    <row r="49" ht="14.25" customHeight="1" s="52">
      <c r="A49" s="102" t="inlineStr">
        <is>
          <t>Rootha, Mastering the Moment</t>
        </is>
      </c>
      <c r="B49" s="102">
        <f>IFERROR(LOOKUP(2,1/(('Game Log Season 3'!$C$3:$C$1000="Ryan")*('Game Log Season 3'!$D$3:$D$1000=A49)*('Game Log Season 3'!$X$3:$X$1000&lt;&gt;"")),'Game Log Season 3'!$X$3:$X$1000), D49)</f>
        <v/>
      </c>
      <c r="C49" s="99" t="n"/>
      <c r="D49" s="102" t="n">
        <v>3.6</v>
      </c>
    </row>
    <row r="50" ht="14.25" customHeight="1" s="52">
      <c r="A50" s="102" t="inlineStr">
        <is>
          <t>Arna Kennerud, Skycaptain</t>
        </is>
      </c>
      <c r="B50" s="102">
        <f>IFERROR(LOOKUP(2,1/(('Game Log Season 3'!$C$3:$C$1000="Ryan")*('Game Log Season 3'!$D$3:$D$1000=A50)*('Game Log Season 3'!$X$3:$X$1000&lt;&gt;"")),'Game Log Season 3'!$X$3:$X$1000), D50)</f>
        <v/>
      </c>
      <c r="C50" s="99" t="n"/>
      <c r="D50" s="102" t="n">
        <v>2.9</v>
      </c>
      <c r="E50" s="100" t="inlineStr">
        <is>
          <t>744133</t>
        </is>
      </c>
    </row>
    <row r="51" ht="14.25" customHeight="1" s="52">
      <c r="A51" s="102" t="inlineStr">
        <is>
          <t>Namor the Sub-Mariner</t>
        </is>
      </c>
      <c r="B51" s="102">
        <f>IFERROR(LOOKUP(2,1/(('Game Log Season 3'!$C$3:$C$1000="Ryan")*('Game Log Season 3'!$D$3:$D$1000=A51)*('Game Log Season 3'!$X$3:$X$1000&lt;&gt;"")),'Game Log Season 3'!$X$3:$X$1000), D51)</f>
        <v/>
      </c>
      <c r="C51" s="99" t="n"/>
      <c r="D51" s="102" t="n">
        <v>3.9</v>
      </c>
      <c r="E51" s="100" t="inlineStr">
        <is>
          <t>744134</t>
        </is>
      </c>
    </row>
    <row r="52" ht="14.25" customHeight="1" s="52">
      <c r="A52" s="102" t="inlineStr">
        <is>
          <t>Atraxa, Praetors' Voice</t>
        </is>
      </c>
      <c r="B52" s="102">
        <f>IFERROR(LOOKUP(2,1/(('Game Log Season 3'!$C$3:$C$1000="Ryan")*('Game Log Season 3'!$D$3:$D$1000=A52)*('Game Log Season 3'!$X$3:$X$1000&lt;&gt;"")),'Game Log Season 3'!$X$3:$X$1000), D52)</f>
        <v/>
      </c>
      <c r="C52" s="99" t="n"/>
      <c r="D52" s="102" t="n">
        <v>3.7</v>
      </c>
      <c r="E52" s="100" t="inlineStr">
        <is>
          <t>560265</t>
        </is>
      </c>
    </row>
    <row r="53" ht="14.25" customHeight="1" s="52">
      <c r="A53" s="102" t="inlineStr">
        <is>
          <t>Davros, Dalek Creator</t>
        </is>
      </c>
      <c r="B53" s="102">
        <f>IFERROR(LOOKUP(2,1/(('Game Log Season 3'!$C$3:$C$1000="Ryan")*('Game Log Season 3'!$D$3:$D$1000=A53)*('Game Log Season 3'!$X$3:$X$1000&lt;&gt;"")),'Game Log Season 3'!$X$3:$X$1000), D53)</f>
        <v/>
      </c>
      <c r="C53" s="99" t="n"/>
      <c r="D53" s="102" t="n">
        <v>3.2</v>
      </c>
      <c r="E53" s="100" t="inlineStr">
        <is>
          <t>560266</t>
        </is>
      </c>
    </row>
    <row r="54" ht="14.25" customHeight="1" s="52">
      <c r="A54" s="102" t="inlineStr">
        <is>
          <t>Krenko, Mob Boss</t>
        </is>
      </c>
      <c r="B54" s="102">
        <f>IFERROR(LOOKUP(2,1/(('Game Log Season 3'!$C$3:$C$1000="Ryan")*('Game Log Season 3'!$D$3:$D$1000=A54)*('Game Log Season 3'!$X$3:$X$1000&lt;&gt;"")),'Game Log Season 3'!$X$3:$X$1000), D54)</f>
        <v/>
      </c>
      <c r="C54" s="99" t="n"/>
      <c r="D54" s="102" t="n">
        <v>3.9</v>
      </c>
      <c r="E54" s="100" t="inlineStr">
        <is>
          <t>744135</t>
        </is>
      </c>
    </row>
    <row r="55" ht="14.25" customHeight="1" s="52">
      <c r="A55" s="100" t="inlineStr">
        <is>
          <t>Kristy</t>
        </is>
      </c>
      <c r="B55" s="101">
        <f>AVERAGE(B56:B60)</f>
        <v/>
      </c>
      <c r="C55" s="99" t="n"/>
    </row>
    <row r="56" ht="14.25" customHeight="1" s="52">
      <c r="A56" s="102" t="inlineStr">
        <is>
          <t>Edgar Markov</t>
        </is>
      </c>
      <c r="B56" s="102">
        <f>IFERROR(LOOKUP(2,1/(('Game Log Season 3'!$C$3:$C$1000="Kristy")*('Game Log Season 3'!$D$3:$D$1000=A56)*('Game Log Season 3'!$X$3:$X$1000&lt;&gt;"")),'Game Log Season 3'!$X$3:$X$1000), D56)</f>
        <v/>
      </c>
      <c r="C56" s="99" t="inlineStr">
        <is>
          <t>*Bracket 3</t>
        </is>
      </c>
      <c r="D56" s="102" t="n">
        <v>3.6</v>
      </c>
    </row>
    <row r="57" ht="14.25" customHeight="1" s="52">
      <c r="A57" s="102" t="inlineStr">
        <is>
          <t>Auntie Ool, Cursewretch</t>
        </is>
      </c>
      <c r="B57" s="102">
        <f>IFERROR(LOOKUP(2,1/(('Game Log Season 3'!$C$3:$C$1000="Kristy")*('Game Log Season 3'!$D$3:$D$1000=A57)*('Game Log Season 3'!$X$3:$X$1000&lt;&gt;"")),'Game Log Season 3'!$X$3:$X$1000), D57)</f>
        <v/>
      </c>
      <c r="C57" s="99" t="inlineStr">
        <is>
          <t>*Bracket 3</t>
        </is>
      </c>
      <c r="D57" s="102" t="n">
        <v>3.3</v>
      </c>
    </row>
    <row r="58" ht="14.25" customHeight="1" s="52">
      <c r="A58" s="102" t="inlineStr">
        <is>
          <t>Dina, Essence Brewer</t>
        </is>
      </c>
      <c r="B58" s="102">
        <f>IFERROR(LOOKUP(2,1/(('Game Log Season 3'!$C$3:$C$1000="Kristy")*('Game Log Season 3'!$D$3:$D$1000=A58)*('Game Log Season 3'!$X$3:$X$1000&lt;&gt;"")),'Game Log Season 3'!$X$3:$X$1000), D58)</f>
        <v/>
      </c>
      <c r="C58" s="99" t="n"/>
      <c r="D58" s="102" t="n">
        <v>3.2</v>
      </c>
    </row>
    <row r="59" ht="27.75" customHeight="1" s="52">
      <c r="A59" s="102" t="inlineStr">
        <is>
          <t>Niv-Mizzet, Parun</t>
        </is>
      </c>
      <c r="B59" s="102">
        <f>IFERROR(LOOKUP(2,1/(('Game Log Season 3'!$C$3:$C$1000="Kristy")*('Game Log Season 3'!$D$3:$D$1000=A59)*('Game Log Season 3'!$X$3:$X$1000&lt;&gt;"")),'Game Log Season 3'!$X$3:$X$1000), D59)</f>
        <v/>
      </c>
      <c r="C59" s="99" t="inlineStr">
        <is>
          <t>*Bracket 4 review (1 game infinite combo round 9)</t>
        </is>
      </c>
      <c r="D59" s="102" t="n">
        <v>3.9</v>
      </c>
    </row>
    <row r="60" ht="14.25" customHeight="1" s="52">
      <c r="A60" s="102" t="inlineStr">
        <is>
          <t>Doctor Doom, King of Latveria</t>
        </is>
      </c>
      <c r="B60" s="102">
        <f>IFERROR(LOOKUP(2,1/(('Game Log Season 3'!$C$3:$C$1000="Kristy")*('Game Log Season 3'!$D$3:$D$1000=A60)*('Game Log Season 3'!$X$3:$X$1000&lt;&gt;"")),'Game Log Season 3'!$X$3:$X$1000), D60)</f>
        <v/>
      </c>
      <c r="C60" s="99" t="n"/>
      <c r="D60" s="102" t="n">
        <v>2.4</v>
      </c>
    </row>
    <row r="61" ht="14.25" customHeight="1" s="52">
      <c r="A61" s="100" t="inlineStr">
        <is>
          <t>Joseph</t>
        </is>
      </c>
      <c r="B61" s="101">
        <f>AVERAGE(B62:B66)</f>
        <v/>
      </c>
      <c r="C61" s="99" t="n"/>
    </row>
    <row r="62" ht="14.25" customHeight="1" s="52">
      <c r="A62" s="102" t="inlineStr">
        <is>
          <t>Valgavoth, Harrower of Souls</t>
        </is>
      </c>
      <c r="B62" s="102">
        <f>IFERROR(LOOKUP(2,1/(('Game Log Season 3'!$C$3:$C$1000="Joseph")*('Game Log Season 3'!$D$3:$D$1000=A62)*('Game Log Season 3'!$X$3:$X$1000&lt;&gt;"")),'Game Log Season 3'!$X$3:$X$1000), D62)</f>
        <v/>
      </c>
      <c r="C62" s="99" t="n"/>
      <c r="D62" s="102" t="n">
        <v>3.6</v>
      </c>
    </row>
    <row r="63" ht="14.25" customHeight="1" s="52">
      <c r="A63" s="102" t="inlineStr">
        <is>
          <t>Zimone, Infinite Analyst</t>
        </is>
      </c>
      <c r="B63" s="102">
        <f>IFERROR(LOOKUP(2,1/(('Game Log Season 3'!$C$3:$C$1000="Joseph")*('Game Log Season 3'!$D$3:$D$1000=A63)*('Game Log Season 3'!$X$3:$X$1000&lt;&gt;"")),'Game Log Season 3'!$X$3:$X$1000), D63)</f>
        <v/>
      </c>
      <c r="C63" s="99" t="n"/>
      <c r="D63" s="102" t="n">
        <v>3.8</v>
      </c>
    </row>
    <row r="64" ht="14.25" customHeight="1" s="52">
      <c r="A64" s="102" t="inlineStr">
        <is>
          <t>Super Shredder</t>
        </is>
      </c>
      <c r="B64" s="102">
        <f>IFERROR(LOOKUP(2,1/(('Game Log Season 3'!$C$3:$C$1000="Joseph")*('Game Log Season 3'!$D$3:$D$1000=A64)*('Game Log Season 3'!$X$3:$X$1000&lt;&gt;"")),'Game Log Season 3'!$X$3:$X$1000), D64)</f>
        <v/>
      </c>
      <c r="C64" s="99" t="n"/>
      <c r="D64" s="102" t="n">
        <v>2.7</v>
      </c>
    </row>
    <row r="65" ht="14.25" customHeight="1" s="52">
      <c r="A65" s="102" t="inlineStr">
        <is>
          <t>Hei Bai, Forest Guardian</t>
        </is>
      </c>
      <c r="B65" s="102">
        <f>IFERROR(LOOKUP(2,1/(('Game Log Season 3'!$C$3:$C$1000="Joseph")*('Game Log Season 3'!$D$3:$D$1000=A65)*('Game Log Season 3'!$X$3:$X$1000&lt;&gt;"")),'Game Log Season 3'!$X$3:$X$1000), D65)</f>
        <v/>
      </c>
      <c r="C65" s="99" t="n"/>
      <c r="D65" s="102" t="n">
        <v>3.3</v>
      </c>
    </row>
    <row r="66" ht="14.25" customHeight="1" s="52">
      <c r="A66" s="102" t="inlineStr">
        <is>
          <t>Ultima, Origin of Oblivion</t>
        </is>
      </c>
      <c r="B66" s="102">
        <f>IFERROR(LOOKUP(2,1/(('Game Log Season 3'!$C$3:$C$1000="Joseph")*('Game Log Season 3'!$D$3:$D$1000=A66)*('Game Log Season 3'!$X$3:$X$1000&lt;&gt;"")),'Game Log Season 3'!$X$3:$X$1000), D66)</f>
        <v/>
      </c>
      <c r="C66" s="99" t="n"/>
      <c r="D66" s="102" t="n">
        <v>3.7</v>
      </c>
    </row>
    <row r="67" ht="14.25" customHeight="1" s="52">
      <c r="A67" s="100" t="inlineStr">
        <is>
          <t>Red</t>
        </is>
      </c>
      <c r="B67" s="101">
        <f>AVERAGE(B68:B69)</f>
        <v/>
      </c>
      <c r="C67" s="99" t="n"/>
    </row>
    <row r="68" ht="14.25" customHeight="1" s="52">
      <c r="A68" s="102" t="inlineStr">
        <is>
          <t>Cloud, Ex-SOLDIER</t>
        </is>
      </c>
      <c r="B68" s="102">
        <f>IFERROR(LOOKUP(2,1/(('Game Log Season 3'!$C$3:$C$1000="Red")*('Game Log Season 3'!$D$3:$D$1000=A68)*('Game Log Season 3'!$X$3:$X$1000&lt;&gt;"")),'Game Log Season 3'!$X$3:$X$1000), D68)</f>
        <v/>
      </c>
      <c r="C68" s="99" t="n"/>
      <c r="D68" s="102" t="n">
        <v>2.7</v>
      </c>
      <c r="E68" s="100" t="inlineStr">
        <is>
          <t>595027</t>
        </is>
      </c>
    </row>
    <row r="69" ht="14.25" customHeight="1" s="52">
      <c r="A69" s="102" t="inlineStr">
        <is>
          <t>Squall, SeeD Mercenary</t>
        </is>
      </c>
      <c r="B69" s="102">
        <f>IFERROR(LOOKUP(2,1/(('Game Log Season 3'!$C$3:$C$1000="Red")*('Game Log Season 3'!$D$3:$D$1000=A69)*('Game Log Season 3'!$X$3:$X$1000&lt;&gt;"")),'Game Log Season 3'!$X$3:$X$1000), D69)</f>
        <v/>
      </c>
      <c r="C69" s="99" t="n"/>
      <c r="D69" s="102" t="n">
        <v>3.4</v>
      </c>
      <c r="E69" s="100" t="inlineStr">
        <is>
          <t>629604</t>
        </is>
      </c>
    </row>
    <row r="70" ht="14.25" customHeight="1" s="52">
      <c r="A70" s="102" t="inlineStr">
        <is>
          <t>Sanar, Innovative First-Year</t>
        </is>
      </c>
      <c r="B70" s="103">
        <f>IFERROR(LOOKUP(2,1/(('Game Log Season 3'!$C$3:$C$1000="Red")*('Game Log Season 3'!$D$3:$D$1000=A70)*('Game Log Season 3'!$X$3:$X$1000&lt;&gt;"")),'Game Log Season 3'!$X$3:$X$1000), D70)</f>
        <v/>
      </c>
      <c r="C70" s="99" t="n"/>
      <c r="D70" s="103" t="n">
        <v>1</v>
      </c>
      <c r="E70" s="100" t="inlineStr">
        <is>
          <t>682763</t>
        </is>
      </c>
    </row>
    <row r="71" ht="14.25" customHeight="1" s="52">
      <c r="A71" s="100" t="inlineStr">
        <is>
          <t>Michelle</t>
        </is>
      </c>
      <c r="B71" s="101">
        <f>AVERAGE(B72:B73)</f>
        <v/>
      </c>
      <c r="C71" s="99" t="n"/>
    </row>
    <row r="72" ht="14.25" customHeight="1" s="52">
      <c r="A72" s="102" t="inlineStr">
        <is>
          <t>The Wise Mothman</t>
        </is>
      </c>
      <c r="B72" s="102">
        <f>IFERROR(LOOKUP(2,1/(('Game Log Season 3'!$C$3:$C$1000="Michelle")*('Game Log Season 3'!$D$3:$D$1000=A72)*('Game Log Season 3'!$X$3:$X$1000&lt;&gt;"")),'Game Log Season 3'!$X$3:$X$1000), D72)</f>
        <v/>
      </c>
      <c r="C72" s="99" t="n"/>
      <c r="D72" s="102" t="n">
        <v>2.5</v>
      </c>
    </row>
    <row r="73" ht="14.25" customHeight="1" s="52">
      <c r="A73" s="102" t="inlineStr">
        <is>
          <t>Szarel, Genesis Shepard</t>
        </is>
      </c>
      <c r="B73" s="102">
        <f>IFERROR(LOOKUP(2,1/(('Game Log Season 3'!$C$3:$C$1000="Michelle")*('Game Log Season 3'!$D$3:$D$1000=A73)*('Game Log Season 3'!$X$3:$X$1000&lt;&gt;"")),'Game Log Season 3'!$X$3:$X$1000), D73)</f>
        <v/>
      </c>
      <c r="C73" s="99" t="n"/>
      <c r="D73" s="102" t="n">
        <v>2.2</v>
      </c>
      <c r="E73" s="100" t="inlineStr">
        <is>
          <t>576574</t>
        </is>
      </c>
    </row>
    <row r="74" ht="14.25" customHeight="1" s="52">
      <c r="A74" s="102" t="inlineStr">
        <is>
          <t>Lucy MacLean, Positively Armed</t>
        </is>
      </c>
      <c r="B74" s="102">
        <f>IFERROR(LOOKUP(2,1/(('Game Log Season 3'!$C$3:$C$1000="Michelle")*('Game Log Season 3'!$D$3:$D$1000=A74)*('Game Log Season 3'!$X$3:$X$1000&lt;&gt;"")),'Game Log Season 3'!$X$3:$X$1000), D74)</f>
        <v/>
      </c>
      <c r="D74" s="102" t="n">
        <v>2.4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4.25" zeroHeight="0" outlineLevelRow="0"/>
  <cols>
    <col width="29.89" customWidth="1" style="51" min="1" max="1"/>
    <col width="18.89" customWidth="1" style="51" min="2" max="2"/>
    <col width="17.78" customWidth="1" style="51" min="3" max="3"/>
    <col width="23.78" customWidth="1" style="51" min="4" max="4"/>
  </cols>
  <sheetData>
    <row r="1" ht="14.25" customHeight="1" s="52">
      <c r="A1" s="98" t="inlineStr">
        <is>
          <t>Player / Deck</t>
        </is>
      </c>
      <c r="B1" s="98" t="inlineStr">
        <is>
          <t>Games Played</t>
        </is>
      </c>
      <c r="C1" s="98" t="inlineStr">
        <is>
          <t>Wins</t>
        </is>
      </c>
      <c r="D1" s="98" t="inlineStr">
        <is>
          <t>Win Rate</t>
        </is>
      </c>
    </row>
    <row r="2" ht="14.25" customHeight="1" s="52">
      <c r="A2" s="100" t="inlineStr">
        <is>
          <t>Becca</t>
        </is>
      </c>
      <c r="B2" s="101">
        <f>COUNTIFS('Game Log Season 3'!$C$3:$C$1000,A2)</f>
        <v/>
      </c>
      <c r="C2" s="101">
        <f>COUNTIFS('Game Log Season 3'!$C$3:$C$1000,A2,'Game Log Season 3'!$F$3:$F$1000,1)</f>
        <v/>
      </c>
      <c r="D2" s="101">
        <f>IFERROR(C2/B2,0)</f>
        <v/>
      </c>
    </row>
    <row r="3" ht="14.25" customHeight="1" s="52">
      <c r="A3" s="102" t="inlineStr">
        <is>
          <t>Ms. Bumbleflower</t>
        </is>
      </c>
      <c r="B3" s="102">
        <f>COUNTIFS('Game Log Season 3'!$C$3:$C$1000,"Becca",'Game Log Season 3'!$D$3:$D$1000,A3)</f>
        <v/>
      </c>
      <c r="C3" s="102">
        <f>COUNTIFS('Game Log Season 3'!$C$3:$C$1000,"Becca",'Game Log Season 3'!$D$3:$D$1000,A3,'Game Log Season 3'!$F$3:$F$1000,1)</f>
        <v/>
      </c>
      <c r="D3" s="102">
        <f>IFERROR(C3/B3,0)</f>
        <v/>
      </c>
    </row>
    <row r="4" ht="14.25" customHeight="1" s="52">
      <c r="A4" s="102" t="inlineStr">
        <is>
          <t>Aminatou, Veil Piercer</t>
        </is>
      </c>
      <c r="B4" s="102">
        <f>COUNTIFS('Game Log Season 3'!$C$3:$C$1000,"Becca",'Game Log Season 3'!$D$3:$D$1000,A4)</f>
        <v/>
      </c>
      <c r="C4" s="102">
        <f>COUNTIFS('Game Log Season 3'!$C$3:$C$1000,"Becca",'Game Log Season 3'!$D$3:$D$1000,A4,'Game Log Season 3'!$F$3:$F$1000,1)</f>
        <v/>
      </c>
      <c r="D4" s="102">
        <f>IFERROR(C4/B4,0)</f>
        <v/>
      </c>
    </row>
    <row r="5" ht="14.25" customHeight="1" s="52">
      <c r="A5" s="102" t="inlineStr">
        <is>
          <t>Killian, Decisive Mentor</t>
        </is>
      </c>
      <c r="B5" s="102">
        <f>COUNTIFS('Game Log Season 3'!$C$3:$C$1000,"Becca",'Game Log Season 3'!$D$3:$D$1000,A5)</f>
        <v/>
      </c>
      <c r="C5" s="102">
        <f>COUNTIFS('Game Log Season 3'!$C$3:$C$1000,"Becca",'Game Log Season 3'!$D$3:$D$1000,A5,'Game Log Season 3'!$F$3:$F$1000,1)</f>
        <v/>
      </c>
      <c r="D5" s="102">
        <f>IFERROR(C5/B5,0)</f>
        <v/>
      </c>
    </row>
    <row r="6" ht="14.25" customHeight="1" s="52">
      <c r="A6" s="102" t="inlineStr">
        <is>
          <t>Eshki, Temur's Roar (Manny's)</t>
        </is>
      </c>
      <c r="B6" s="102">
        <f>COUNTIFS('Game Log Season 3'!$C$3:$C$1000,"Becca",'Game Log Season 3'!$D$3:$D$1000,A6)</f>
        <v/>
      </c>
      <c r="C6" s="102">
        <f>COUNTIFS('Game Log Season 3'!$C$3:$C$1000,"Becca",'Game Log Season 3'!$D$3:$D$1000,A6,'Game Log Season 3'!$F$3:$F$1000,1)</f>
        <v/>
      </c>
      <c r="D6" s="102">
        <f>IFERROR(C6/B6,0)</f>
        <v/>
      </c>
    </row>
    <row r="7" ht="14.25" customHeight="1" s="52">
      <c r="A7" s="102" t="inlineStr">
        <is>
          <t>Katara, the Fearless</t>
        </is>
      </c>
      <c r="B7" s="102">
        <f>COUNTIFS('Game Log Season 3'!$C$3:$C$1000,"Becca",'Game Log Season 3'!$D$3:$D$1000,A7)</f>
        <v/>
      </c>
      <c r="C7" s="102">
        <f>COUNTIFS('Game Log Season 3'!$C$3:$C$1000,"Becca",'Game Log Season 3'!$D$3:$D$1000,A7,'Game Log Season 3'!$F$3:$F$1000,1)</f>
        <v/>
      </c>
      <c r="D7" s="102">
        <f>IFERROR(C7/B7,0)</f>
        <v/>
      </c>
    </row>
    <row r="8" ht="14.25" customHeight="1" s="52">
      <c r="A8" s="100" t="inlineStr">
        <is>
          <t>Manny</t>
        </is>
      </c>
      <c r="B8" s="101">
        <f>COUNTIFS('Game Log Season 3'!$C$3:$C$1000,A8)</f>
        <v/>
      </c>
      <c r="C8" s="101">
        <f>COUNTIFS('Game Log Season 3'!$C$3:$C$1000,A8,'Game Log Season 3'!$F$3:$F$1000,1)</f>
        <v/>
      </c>
      <c r="D8" s="101">
        <f>IFERROR(C8/B8,0)</f>
        <v/>
      </c>
    </row>
    <row r="9" ht="14.25" customHeight="1" s="52">
      <c r="A9" s="102" t="inlineStr">
        <is>
          <t>Galadriel, Light of Valinor</t>
        </is>
      </c>
      <c r="B9" s="102">
        <f>COUNTIFS('Game Log Season 3'!$C$3:$C$1000,"Manny",'Game Log Season 3'!$D$3:$D$1000,A9)</f>
        <v/>
      </c>
      <c r="C9" s="102">
        <f>COUNTIFS('Game Log Season 3'!$C$3:$C$1000,"Manny",'Game Log Season 3'!$D$3:$D$1000,A9,'Game Log Season 3'!$F$3:$F$1000,1)</f>
        <v/>
      </c>
      <c r="D9" s="102">
        <f>IFERROR(C9/B9,0)</f>
        <v/>
      </c>
    </row>
    <row r="10" ht="14.25" customHeight="1" s="52">
      <c r="A10" s="102" t="inlineStr">
        <is>
          <t>Atraxa, Praetor's Voice</t>
        </is>
      </c>
      <c r="B10" s="102">
        <f>COUNTIFS('Game Log Season 3'!$C$3:$C$1000,"Manny",'Game Log Season 3'!$D$3:$D$1000,A10)</f>
        <v/>
      </c>
      <c r="C10" s="102">
        <f>COUNTIFS('Game Log Season 3'!$C$3:$C$1000,"Manny",'Game Log Season 3'!$D$3:$D$1000,A10,'Game Log Season 3'!$F$3:$F$1000,1)</f>
        <v/>
      </c>
      <c r="D10" s="102">
        <f>IFERROR(C10/B10,0)</f>
        <v/>
      </c>
    </row>
    <row r="11" ht="14.25" customHeight="1" s="52">
      <c r="A11" s="102" t="inlineStr">
        <is>
          <t>Athreos, God of Passage</t>
        </is>
      </c>
      <c r="B11" s="102">
        <f>COUNTIFS('Game Log Season 3'!$C$3:$C$1000,"Manny",'Game Log Season 3'!$D$3:$D$1000,A11)</f>
        <v/>
      </c>
      <c r="C11" s="102">
        <f>COUNTIFS('Game Log Season 3'!$C$3:$C$1000,"Manny",'Game Log Season 3'!$D$3:$D$1000,A11,'Game Log Season 3'!$F$3:$F$1000,1)</f>
        <v/>
      </c>
      <c r="D11" s="102">
        <f>IFERROR(C11/B11,0)</f>
        <v/>
      </c>
    </row>
    <row r="12" ht="14.25" customHeight="1" s="52">
      <c r="A12" s="102" t="inlineStr">
        <is>
          <t>Fynn, the Fangbearer</t>
        </is>
      </c>
      <c r="B12" s="102">
        <f>COUNTIFS('Game Log Season 3'!$C$3:$C$1000,"Manny",'Game Log Season 3'!$D$3:$D$1000,A12)</f>
        <v/>
      </c>
      <c r="C12" s="102">
        <f>COUNTIFS('Game Log Season 3'!$C$3:$C$1000,"Manny",'Game Log Season 3'!$D$3:$D$1000,A12,'Game Log Season 3'!$F$3:$F$1000,1)</f>
        <v/>
      </c>
      <c r="D12" s="102">
        <f>IFERROR(C12/B12,0)</f>
        <v/>
      </c>
    </row>
    <row r="13" ht="14.25" customHeight="1" s="52">
      <c r="A13" s="102" t="inlineStr">
        <is>
          <t>Frodo, Adventurous Hobbit/Sam, Loyal Attendant</t>
        </is>
      </c>
      <c r="B13" s="102">
        <f>COUNTIFS('Game Log Season 3'!$C$3:$C$1000,"Manny",'Game Log Season 3'!$D$3:$D$1000,A13)</f>
        <v/>
      </c>
      <c r="C13" s="102">
        <f>COUNTIFS('Game Log Season 3'!$C$3:$C$1000,"Manny",'Game Log Season 3'!$D$3:$D$1000,A13,'Game Log Season 3'!$F$3:$F$1000,1)</f>
        <v/>
      </c>
      <c r="D13" s="102">
        <f>IFERROR(C13/B13,0)</f>
        <v/>
      </c>
    </row>
    <row r="14" ht="14.25" customHeight="1" s="52">
      <c r="A14" s="102" t="inlineStr">
        <is>
          <t>Zada, Hedron Grinder</t>
        </is>
      </c>
      <c r="B14" s="102">
        <f>COUNTIFS('Game Log Season 3'!$C$3:$C$1000,"Manny",'Game Log Season 3'!$D$3:$D$1000,A14)</f>
        <v/>
      </c>
      <c r="C14" s="102">
        <f>COUNTIFS('Game Log Season 3'!$C$3:$C$1000,"Manny",'Game Log Season 3'!$D$3:$D$1000,A14,'Game Log Season 3'!$F$3:$F$1000,1)</f>
        <v/>
      </c>
      <c r="D14" s="102">
        <f>IFERROR(C14/B14,0)</f>
        <v/>
      </c>
    </row>
    <row r="15" ht="14.25" customHeight="1" s="52">
      <c r="A15" s="102" t="inlineStr">
        <is>
          <t>Ureni of the Unwritten</t>
        </is>
      </c>
      <c r="B15" s="102">
        <f>COUNTIFS('Game Log Season 3'!$C$3:$C$1000,"Manny",'Game Log Season 3'!$D$3:$D$1000,A15)</f>
        <v/>
      </c>
      <c r="C15" s="102">
        <f>COUNTIFS('Game Log Season 3'!$C$3:$C$1000,"Manny",'Game Log Season 3'!$D$3:$D$1000,A15,'Game Log Season 3'!$F$3:$F$1000,1)</f>
        <v/>
      </c>
      <c r="D15" s="102">
        <f>IFERROR(C15/B15,0)</f>
        <v/>
      </c>
    </row>
    <row r="16" ht="14.25" customHeight="1" s="52">
      <c r="A16" s="102" t="inlineStr">
        <is>
          <t>Aragorn, the Uniter</t>
        </is>
      </c>
      <c r="B16" s="102">
        <f>COUNTIFS('Game Log Season 3'!$C$3:$C$1000,"Manny",'Game Log Season 3'!$D$3:$D$1000,A16)</f>
        <v/>
      </c>
      <c r="C16" s="102">
        <f>COUNTIFS('Game Log Season 3'!$C$3:$C$1000,"Manny",'Game Log Season 3'!$D$3:$D$1000,A16,'Game Log Season 3'!$F$3:$F$1000,1)</f>
        <v/>
      </c>
      <c r="D16" s="102">
        <f>IFERROR(C16/B16,0)</f>
        <v/>
      </c>
    </row>
    <row r="17" ht="14.25" customHeight="1" s="52">
      <c r="A17" s="102" t="inlineStr">
        <is>
          <t>Kruphix, God of Horizons</t>
        </is>
      </c>
      <c r="B17" s="102">
        <f>COUNTIFS('Game Log Season 3'!$C$3:$C$1000,"Manny",'Game Log Season 3'!$D$3:$D$1000,A17)</f>
        <v/>
      </c>
      <c r="C17" s="102">
        <f>COUNTIFS('Game Log Season 3'!$C$3:$C$1000,"Manny",'Game Log Season 3'!$D$3:$D$1000,A17,'Game Log Season 3'!$F$3:$F$1000,1)</f>
        <v/>
      </c>
      <c r="D17" s="102">
        <f>IFERROR(C17/B17,0)</f>
        <v/>
      </c>
    </row>
    <row r="18" ht="14.25" customHeight="1" s="52">
      <c r="A18" s="102" t="inlineStr">
        <is>
          <t>Avatar Aang</t>
        </is>
      </c>
      <c r="B18" s="102">
        <f>COUNTIFS('Game Log Season 3'!$C$3:$C$1000,"Manny",'Game Log Season 3'!$D$3:$D$1000,A18)</f>
        <v/>
      </c>
      <c r="C18" s="102">
        <f>COUNTIFS('Game Log Season 3'!$C$3:$C$1000,"Manny",'Game Log Season 3'!$D$3:$D$1000,A18,'Game Log Season 3'!$F$3:$F$1000,1)</f>
        <v/>
      </c>
      <c r="D18" s="102">
        <f>IFERROR(C18/B18,0)</f>
        <v/>
      </c>
    </row>
    <row r="19" ht="14.25" customHeight="1" s="52">
      <c r="A19" s="102" t="inlineStr">
        <is>
          <t>Toph, Hardheaded Teacher</t>
        </is>
      </c>
      <c r="B19" s="102">
        <f>COUNTIFS('Game Log Season 3'!$C$3:$C$1000,"Manny",'Game Log Season 3'!$D$3:$D$1000,A19)</f>
        <v/>
      </c>
      <c r="C19" s="102">
        <f>COUNTIFS('Game Log Season 3'!$C$3:$C$1000,"Manny",'Game Log Season 3'!$D$3:$D$1000,A19,'Game Log Season 3'!$F$3:$F$1000,1)</f>
        <v/>
      </c>
      <c r="D19" s="102">
        <f>IFERROR(C19/B19,0)</f>
        <v/>
      </c>
    </row>
    <row r="20" ht="14.25" customHeight="1" s="52">
      <c r="A20" s="102" t="inlineStr">
        <is>
          <t>Eshki, Temur's Roar</t>
        </is>
      </c>
      <c r="B20" s="102">
        <f>COUNTIFS('Game Log Season 3'!$C$3:$C$1000,"Manny",'Game Log Season 3'!$D$3:$D$1000,A20)</f>
        <v/>
      </c>
      <c r="C20" s="102">
        <f>COUNTIFS('Game Log Season 3'!$C$3:$C$1000,"Manny",'Game Log Season 3'!$D$3:$D$1000,A20,'Game Log Season 3'!$F$3:$F$1000,1)</f>
        <v/>
      </c>
      <c r="D20" s="102">
        <f>IFERROR(C20/B20,0)</f>
        <v/>
      </c>
    </row>
    <row r="21" ht="14.25" customHeight="1" s="52">
      <c r="A21" s="102" t="inlineStr">
        <is>
          <t>Sokka, Tenacious Tactician</t>
        </is>
      </c>
      <c r="B21" s="102">
        <f>COUNTIFS('Game Log Season 3'!$C$3:$C$1000,"Manny",'Game Log Season 3'!$D$3:$D$1000,A21)</f>
        <v/>
      </c>
      <c r="C21" s="102">
        <f>COUNTIFS('Game Log Season 3'!$C$3:$C$1000,"Manny",'Game Log Season 3'!$D$3:$D$1000,A21,'Game Log Season 3'!$F$3:$F$1000,1)</f>
        <v/>
      </c>
      <c r="D21" s="102">
        <f>IFERROR(C21/B21,0)</f>
        <v/>
      </c>
    </row>
    <row r="22" ht="14.25" customHeight="1" s="52">
      <c r="A22" s="100" t="inlineStr">
        <is>
          <t>Mateo</t>
        </is>
      </c>
      <c r="B22" s="101">
        <f>COUNTIFS('Game Log Season 3'!$C$3:$C$1000,A22)</f>
        <v/>
      </c>
      <c r="C22" s="101">
        <f>COUNTIFS('Game Log Season 3'!$C$3:$C$1000,A22,'Game Log Season 3'!$F$3:$F$1000,1)</f>
        <v/>
      </c>
      <c r="D22" s="101">
        <f>IFERROR(C22/B22,0)</f>
        <v/>
      </c>
    </row>
    <row r="23" ht="14.25" customHeight="1" s="52">
      <c r="A23" s="102" t="inlineStr">
        <is>
          <t>High Perfect Morcant</t>
        </is>
      </c>
      <c r="B23" s="102">
        <f>COUNTIFS('Game Log Season 3'!$C$3:$C$1000,"Mateo",'Game Log Season 3'!$D$3:$D$1000,A23)</f>
        <v/>
      </c>
      <c r="C23" s="102">
        <f>COUNTIFS('Game Log Season 3'!$C$3:$C$1000,"Mateo",'Game Log Season 3'!$D$3:$D$1000,A23,'Game Log Season 3'!$F$3:$F$1000,1)</f>
        <v/>
      </c>
      <c r="D23" s="102">
        <f>IFERROR(C23/B23,0)</f>
        <v/>
      </c>
    </row>
    <row r="24" ht="14.25" customHeight="1" s="52">
      <c r="A24" s="102" t="inlineStr">
        <is>
          <t>Zurgo Stormrender</t>
        </is>
      </c>
      <c r="B24" s="102">
        <f>COUNTIFS('Game Log Season 3'!$C$3:$C$1000,"Mateo",'Game Log Season 3'!$D$3:$D$1000,A24)</f>
        <v/>
      </c>
      <c r="C24" s="102">
        <f>COUNTIFS('Game Log Season 3'!$C$3:$C$1000,"Mateo",'Game Log Season 3'!$D$3:$D$1000,A24,'Game Log Season 3'!$F$3:$F$1000,1)</f>
        <v/>
      </c>
      <c r="D24" s="102">
        <f>IFERROR(C24/B24,0)</f>
        <v/>
      </c>
    </row>
    <row r="25" ht="14.25" customHeight="1" s="52">
      <c r="A25" s="102" t="inlineStr">
        <is>
          <t>Fire Lord Azula</t>
        </is>
      </c>
      <c r="B25" s="102">
        <f>COUNTIFS('Game Log Season 3'!$C$3:$C$1000,"Mateo",'Game Log Season 3'!$D$3:$D$1000,A25)</f>
        <v/>
      </c>
      <c r="C25" s="102">
        <f>COUNTIFS('Game Log Season 3'!$C$3:$C$1000,"Mateo",'Game Log Season 3'!$D$3:$D$1000,A25,'Game Log Season 3'!$F$3:$F$1000,1)</f>
        <v/>
      </c>
      <c r="D25" s="102">
        <f>IFERROR(C25/B25,0)</f>
        <v/>
      </c>
    </row>
    <row r="26" ht="14.25" customHeight="1" s="52">
      <c r="A26" s="102" t="inlineStr">
        <is>
          <t>Quintorius, History Chaser</t>
        </is>
      </c>
      <c r="B26" s="102">
        <f>COUNTIFS('Game Log Season 3'!$C$3:$C$1000,"Mateo",'Game Log Season 3'!$D$3:$D$1000,A26)</f>
        <v/>
      </c>
      <c r="C26" s="102">
        <f>COUNTIFS('Game Log Season 3'!$C$3:$C$1000,"Mateo",'Game Log Season 3'!$D$3:$D$1000,A26,'Game Log Season 3'!$F$3:$F$1000,1)</f>
        <v/>
      </c>
      <c r="D26" s="102">
        <f>IFERROR(C26/B26,0)</f>
        <v/>
      </c>
    </row>
    <row r="27" ht="14.25" customHeight="1" s="52">
      <c r="A27" s="102" t="inlineStr">
        <is>
          <t>Auntie Ool, Cursewretch</t>
        </is>
      </c>
      <c r="B27" s="102">
        <f>COUNTIFS('Game Log Season 3'!$C$3:$C$1000,"Mateo",'Game Log Season 3'!$D$3:$D$1000,A27)</f>
        <v/>
      </c>
      <c r="C27" s="102">
        <f>COUNTIFS('Game Log Season 3'!$C$3:$C$1000,"Mateo",'Game Log Season 3'!$D$3:$D$1000,A27,'Game Log Season 3'!$F$3:$F$1000,1)</f>
        <v/>
      </c>
      <c r="D27" s="102">
        <f>IFERROR(C27/B27,0)</f>
        <v/>
      </c>
    </row>
    <row r="28" ht="14.25" customHeight="1" s="52">
      <c r="A28" s="102" t="inlineStr">
        <is>
          <t>Killian, Decisive Mentor (Becca's)</t>
        </is>
      </c>
      <c r="B28" s="102">
        <f>COUNTIFS('Game Log Season 3'!$C$3:$C$1000,"Mateo",'Game Log Season 3'!$D$3:$D$1000,A28)</f>
        <v/>
      </c>
      <c r="C28" s="102">
        <f>COUNTIFS('Game Log Season 3'!$C$3:$C$1000,"Mateo",'Game Log Season 3'!$D$3:$D$1000,A28,'Game Log Season 3'!$F$3:$F$1000,1)</f>
        <v/>
      </c>
      <c r="D28" s="102">
        <f>IFERROR(C28/B28,0)</f>
        <v/>
      </c>
    </row>
    <row r="29" ht="14.25" customHeight="1" s="52">
      <c r="A29" s="102" t="inlineStr">
        <is>
          <t>Noctis, Heir Apparent</t>
        </is>
      </c>
      <c r="B29" s="102">
        <f>COUNTIFS('Game Log Season 3'!$C$3:$C$1000,"Mateo",'Game Log Season 3'!$D$3:$D$1000,A29)</f>
        <v/>
      </c>
      <c r="C29" s="102">
        <f>COUNTIFS('Game Log Season 3'!$C$3:$C$1000,"Mateo",'Game Log Season 3'!$D$3:$D$1000,A29,'Game Log Season 3'!$F$3:$F$1000,1)</f>
        <v/>
      </c>
      <c r="D29" s="102">
        <f>IFERROR(C29/B29,0)</f>
        <v/>
      </c>
    </row>
    <row r="30" ht="14.25" customHeight="1" s="52">
      <c r="A30" s="102" t="inlineStr">
        <is>
          <t>Yuna, Grand Summoner</t>
        </is>
      </c>
      <c r="B30" s="102">
        <f>COUNTIFS('Game Log Season 3'!$C$3:$C$1000,"Mateo",'Game Log Season 3'!$D$3:$D$1000,A30)</f>
        <v/>
      </c>
      <c r="C30" s="102">
        <f>COUNTIFS('Game Log Season 3'!$C$3:$C$1000,"Mateo",'Game Log Season 3'!$D$3:$D$1000,A30,'Game Log Season 3'!$F$3:$F$1000,1)</f>
        <v/>
      </c>
      <c r="D30" s="102">
        <f>IFERROR(C30/B30,0)</f>
        <v/>
      </c>
    </row>
    <row r="31" ht="14.25" customHeight="1" s="52">
      <c r="A31" s="102" t="inlineStr">
        <is>
          <t>Ureni of the Unwritten</t>
        </is>
      </c>
      <c r="B31" s="102">
        <f>COUNTIFS('Game Log Season 3'!$C$3:$C$1000,"Mateo",'Game Log Season 3'!$D$3:$D$1000,A31)</f>
        <v/>
      </c>
      <c r="C31" s="102">
        <f>COUNTIFS('Game Log Season 3'!$C$3:$C$1000,"Mateo",'Game Log Season 3'!$D$3:$D$1000,A31,'Game Log Season 3'!$F$3:$F$1000,1)</f>
        <v/>
      </c>
      <c r="D31" s="102">
        <f>IFERROR(C31/B31,0)</f>
        <v/>
      </c>
    </row>
    <row r="32" ht="14.25" customHeight="1" s="52">
      <c r="A32" s="102" t="inlineStr">
        <is>
          <t>Captain America, Team Leader</t>
        </is>
      </c>
      <c r="B32" s="102">
        <f>COUNTIFS('Game Log Season 3'!$C$3:$C$1000,"Mateo",'Game Log Season 3'!$D$3:$D$1000,A32)</f>
        <v/>
      </c>
      <c r="C32" s="102">
        <f>COUNTIFS('Game Log Season 3'!$C$3:$C$1000,"Mateo",'Game Log Season 3'!$D$3:$D$1000,A32,'Game Log Season 3'!$F$3:$F$1000,1)</f>
        <v/>
      </c>
      <c r="D32" s="102">
        <f>IFERROR(C32/B32,0)</f>
        <v/>
      </c>
    </row>
    <row r="33" ht="14.25" customHeight="1" s="52">
      <c r="A33" s="102" t="inlineStr">
        <is>
          <t>Teval, the Balanced Scale</t>
        </is>
      </c>
      <c r="B33" s="102">
        <f>COUNTIFS('Game Log Season 3'!$C$3:$C$1000,"Mateo",'Game Log Season 3'!$D$3:$D$1000,A33)</f>
        <v/>
      </c>
      <c r="C33" s="102">
        <f>COUNTIFS('Game Log Season 3'!$C$3:$C$1000,"Mateo",'Game Log Season 3'!$D$3:$D$1000,A33,'Game Log Season 3'!$F$3:$F$1000,1)</f>
        <v/>
      </c>
      <c r="D33" s="102">
        <f>IFERROR(C33/B33,0)</f>
        <v/>
      </c>
    </row>
    <row r="34" ht="14.25" customHeight="1" s="52">
      <c r="A34" s="102" t="inlineStr">
        <is>
          <t>Kratos, God of War</t>
        </is>
      </c>
      <c r="B34" s="102">
        <f>COUNTIFS('Game Log Season 3'!$C$3:$C$1000,"Mateo",'Game Log Season 3'!$D$3:$D$1000,A34)</f>
        <v/>
      </c>
      <c r="C34" s="102">
        <f>COUNTIFS('Game Log Season 3'!$C$3:$C$1000,"Mateo",'Game Log Season 3'!$D$3:$D$1000,A34,'Game Log Season 3'!$F$3:$F$1000,1)</f>
        <v/>
      </c>
      <c r="D34" s="102">
        <f>IFERROR(C34/B34,0)</f>
        <v/>
      </c>
    </row>
    <row r="35" ht="14.25" customHeight="1" s="52">
      <c r="A35" s="102" t="inlineStr">
        <is>
          <t>Chatterfang, Squirrel General</t>
        </is>
      </c>
      <c r="B35" s="102">
        <f>COUNTIFS('Game Log Season 3'!$C$3:$C$1000,"Mateo",'Game Log Season 3'!$D$3:$D$1000,A35)</f>
        <v/>
      </c>
      <c r="C35" s="102">
        <f>COUNTIFS('Game Log Season 3'!$C$3:$C$1000,"Mateo",'Game Log Season 3'!$D$3:$D$1000,A35,'Game Log Season 3'!$F$3:$F$1000,1)</f>
        <v/>
      </c>
      <c r="D35" s="102">
        <f>IFERROR(C35/B35,0)</f>
        <v/>
      </c>
    </row>
    <row r="36" ht="14.25" customHeight="1" s="52">
      <c r="A36" s="102" t="inlineStr">
        <is>
          <t>Toph, the First Metalbender</t>
        </is>
      </c>
      <c r="B36" s="102">
        <f>COUNTIFS('Game Log Season 3'!$C$3:$C$1000,"Mateo",'Game Log Season 3'!$D$3:$D$1000,A36)</f>
        <v/>
      </c>
      <c r="C36" s="102">
        <f>COUNTIFS('Game Log Season 3'!$C$3:$C$1000,"Mateo",'Game Log Season 3'!$D$3:$D$1000,A36,'Game Log Season 3'!$F$3:$F$1000,1)</f>
        <v/>
      </c>
      <c r="D36" s="102">
        <f>IFERROR(C36/B36,0)</f>
        <v/>
      </c>
    </row>
    <row r="37" ht="14.25" customHeight="1" s="52">
      <c r="A37" s="102" t="inlineStr">
        <is>
          <t>Doctor Doom, King of Latveria</t>
        </is>
      </c>
      <c r="B37" s="102">
        <f>COUNTIFS('Game Log Season 3'!$C$3:$C$1000,"Mateo",'Game Log Season 3'!$D$3:$D$1000,A37)</f>
        <v/>
      </c>
      <c r="C37" s="102">
        <f>COUNTIFS('Game Log Season 3'!$C$3:$C$1000,"Mateo",'Game Log Season 3'!$D$3:$D$1000,A37,'Game Log Season 3'!$F$3:$F$1000,1)</f>
        <v/>
      </c>
      <c r="D37" s="102">
        <f>IFERROR(C37/B37,0)</f>
        <v/>
      </c>
    </row>
    <row r="38" ht="14.25" customHeight="1" s="52">
      <c r="A38" s="102" t="inlineStr">
        <is>
          <t>Tidus, Yuna's Guardian</t>
        </is>
      </c>
      <c r="B38" s="102">
        <f>COUNTIFS('Game Log Season 3'!$C$3:$C$1000,"Mateo",'Game Log Season 3'!$D$3:$D$1000,A38)</f>
        <v/>
      </c>
      <c r="C38" s="102">
        <f>COUNTIFS('Game Log Season 3'!$C$3:$C$1000,"Mateo",'Game Log Season 3'!$D$3:$D$1000,A38,'Game Log Season 3'!$F$3:$F$1000,1)</f>
        <v/>
      </c>
      <c r="D38" s="102">
        <f>IFERROR(C38/B38,0)</f>
        <v/>
      </c>
    </row>
    <row r="39" ht="14.25" customHeight="1" s="52">
      <c r="A39" s="102" t="inlineStr">
        <is>
          <t>Leonardo, the Balance/Michelangelo, the Heart</t>
        </is>
      </c>
      <c r="B39" s="102">
        <f>COUNTIFS('Game Log Season 3'!$C$3:$C$1000,"Mateo",'Game Log Season 3'!$D$3:$D$1000,A39)</f>
        <v/>
      </c>
      <c r="C39" s="102">
        <f>COUNTIFS('Game Log Season 3'!$C$3:$C$1000,"Mateo",'Game Log Season 3'!$D$3:$D$1000,A39,'Game Log Season 3'!$F$3:$F$1000,1)</f>
        <v/>
      </c>
      <c r="D39" s="102">
        <f>IFERROR(C39/B39,0)</f>
        <v/>
      </c>
    </row>
    <row r="40" ht="14.25" customHeight="1" s="52">
      <c r="A40" s="100" t="inlineStr">
        <is>
          <t>Ryan</t>
        </is>
      </c>
      <c r="B40" s="101">
        <f>COUNTIFS('Game Log Season 3'!$C$3:$C$1000,A40)</f>
        <v/>
      </c>
      <c r="C40" s="101">
        <f>COUNTIFS('Game Log Season 3'!$C$3:$C$1000,A40,'Game Log Season 3'!$F$3:$F$1000,1)</f>
        <v/>
      </c>
      <c r="D40" s="101">
        <f>IFERROR(C40/B40,0)</f>
        <v/>
      </c>
    </row>
    <row r="41" ht="14.25" customHeight="1" s="52">
      <c r="A41" s="102" t="inlineStr">
        <is>
          <t>Eowyn, Shieldmaiden</t>
        </is>
      </c>
      <c r="B41" s="102">
        <f>COUNTIFS('Game Log Season 3'!$C$3:$C$1000,"Ryan",'Game Log Season 3'!$D$3:$D$1000,A41)</f>
        <v/>
      </c>
      <c r="C41" s="102">
        <f>COUNTIFS('Game Log Season 3'!$C$3:$C$1000,"Ryan",'Game Log Season 3'!$D$3:$D$1000,A41,'Game Log Season 3'!$F$3:$F$1000,1)</f>
        <v/>
      </c>
      <c r="D41" s="102">
        <f>IFERROR(C41/B41,0)</f>
        <v/>
      </c>
    </row>
    <row r="42" ht="14.25" customHeight="1" s="52">
      <c r="A42" s="102" t="inlineStr">
        <is>
          <t>Ashling, The Limitless</t>
        </is>
      </c>
      <c r="B42" s="102">
        <f>COUNTIFS('Game Log Season 3'!$C$3:$C$1000,"Ryan",'Game Log Season 3'!$D$3:$D$1000,A42)</f>
        <v/>
      </c>
      <c r="C42" s="102">
        <f>COUNTIFS('Game Log Season 3'!$C$3:$C$1000,"Ryan",'Game Log Season 3'!$D$3:$D$1000,A42,'Game Log Season 3'!$F$3:$F$1000,1)</f>
        <v/>
      </c>
      <c r="D42" s="102">
        <f>IFERROR(C42/B42,0)</f>
        <v/>
      </c>
    </row>
    <row r="43" ht="14.25" customHeight="1" s="52">
      <c r="A43" s="102" t="inlineStr">
        <is>
          <t>Cloud, Ex-SOLDIER</t>
        </is>
      </c>
      <c r="B43" s="102">
        <f>COUNTIFS('Game Log Season 3'!$C$3:$C$1000,"Ryan",'Game Log Season 3'!$D$3:$D$1000,A43)</f>
        <v/>
      </c>
      <c r="C43" s="102">
        <f>COUNTIFS('Game Log Season 3'!$C$3:$C$1000,"Ryan",'Game Log Season 3'!$D$3:$D$1000,A43,'Game Log Season 3'!$F$3:$F$1000,1)</f>
        <v/>
      </c>
      <c r="D43" s="102">
        <f>IFERROR(C43/B43,0)</f>
        <v/>
      </c>
    </row>
    <row r="44" ht="14.25" customHeight="1" s="52">
      <c r="A44" s="102" t="inlineStr">
        <is>
          <t>Kratos, Stoic Father/Atreus, Impulsive Son</t>
        </is>
      </c>
      <c r="B44" s="102">
        <f>COUNTIFS('Game Log Season 3'!$C$3:$C$1000,"Ryan",'Game Log Season 3'!$D$3:$D$1000,A44)</f>
        <v/>
      </c>
      <c r="C44" s="102">
        <f>COUNTIFS('Game Log Season 3'!$C$3:$C$1000,"Ryan",'Game Log Season 3'!$D$3:$D$1000,A44,'Game Log Season 3'!$F$3:$F$1000,1)</f>
        <v/>
      </c>
      <c r="D44" s="102">
        <f>IFERROR(C44/B44,0)</f>
        <v/>
      </c>
    </row>
    <row r="45" ht="14.25" customHeight="1" s="52">
      <c r="A45" s="102" t="inlineStr">
        <is>
          <t>Fire Lord Zuko</t>
        </is>
      </c>
      <c r="B45" s="102">
        <f>COUNTIFS('Game Log Season 3'!$C$3:$C$1000,"Ryan",'Game Log Season 3'!$D$3:$D$1000,A45)</f>
        <v/>
      </c>
      <c r="C45" s="102">
        <f>COUNTIFS('Game Log Season 3'!$C$3:$C$1000,"Ryan",'Game Log Season 3'!$D$3:$D$1000,A45,'Game Log Season 3'!$F$3:$F$1000,1)</f>
        <v/>
      </c>
      <c r="D45" s="102">
        <f>IFERROR(C45/B45,0)</f>
        <v/>
      </c>
    </row>
    <row r="46" ht="14.25" customHeight="1" s="52">
      <c r="A46" s="102" t="inlineStr">
        <is>
          <t>Witherbloom, The Balancer</t>
        </is>
      </c>
      <c r="B46" s="102">
        <f>COUNTIFS('Game Log Season 3'!$C$3:$C$1000,"Ryan",'Game Log Season 3'!$D$3:$D$1000,A46)</f>
        <v/>
      </c>
      <c r="C46" s="102">
        <f>COUNTIFS('Game Log Season 3'!$C$3:$C$1000,"Ryan",'Game Log Season 3'!$D$3:$D$1000,A46,'Game Log Season 3'!$F$3:$F$1000,1)</f>
        <v/>
      </c>
      <c r="D46" s="102">
        <f>IFERROR(C46/B46,0)</f>
        <v/>
      </c>
    </row>
    <row r="47" ht="14.25" customHeight="1" s="52">
      <c r="A47" s="102" t="inlineStr">
        <is>
          <t>Preston Garvey, Minuteman</t>
        </is>
      </c>
      <c r="B47" s="102">
        <f>COUNTIFS('Game Log Season 3'!$C$3:$C$1000,"Ryan",'Game Log Season 3'!$D$3:$D$1000,A47)</f>
        <v/>
      </c>
      <c r="C47" s="102">
        <f>COUNTIFS('Game Log Season 3'!$C$3:$C$1000,"Ryan",'Game Log Season 3'!$D$3:$D$1000,A47,'Game Log Season 3'!$F$3:$F$1000,1)</f>
        <v/>
      </c>
      <c r="D47" s="102">
        <f>IFERROR(C47/B47,0)</f>
        <v/>
      </c>
    </row>
    <row r="48" ht="14.25" customHeight="1" s="52">
      <c r="A48" s="102" t="inlineStr">
        <is>
          <t>Giada, Font of Hope</t>
        </is>
      </c>
      <c r="B48" s="102">
        <f>COUNTIFS('Game Log Season 3'!$C$3:$C$1000,"Ryan",'Game Log Season 3'!$D$3:$D$1000,A48)</f>
        <v/>
      </c>
      <c r="C48" s="102">
        <f>COUNTIFS('Game Log Season 3'!$C$3:$C$1000,"Ryan",'Game Log Season 3'!$D$3:$D$1000,A48,'Game Log Season 3'!$F$3:$F$1000,1)</f>
        <v/>
      </c>
      <c r="D48" s="102">
        <f>IFERROR(C48/B48,0)</f>
        <v/>
      </c>
    </row>
    <row r="49" ht="14.25" customHeight="1" s="52">
      <c r="A49" s="102" t="inlineStr">
        <is>
          <t>Rootha, Mastering the Moment</t>
        </is>
      </c>
      <c r="B49" s="102">
        <f>COUNTIFS('Game Log Season 3'!$C$3:$C$1000,"Ryan",'Game Log Season 3'!$D$3:$D$1000,A49)</f>
        <v/>
      </c>
      <c r="C49" s="102">
        <f>COUNTIFS('Game Log Season 3'!$C$3:$C$1000,"Ryan",'Game Log Season 3'!$D$3:$D$1000,A49,'Game Log Season 3'!$F$3:$F$1000,1)</f>
        <v/>
      </c>
      <c r="D49" s="102">
        <f>IFERROR(C49/B49,0)</f>
        <v/>
      </c>
    </row>
    <row r="50" ht="14.25" customHeight="1" s="52">
      <c r="A50" s="102" t="inlineStr">
        <is>
          <t>Arna Kennerud, Skycaptain</t>
        </is>
      </c>
      <c r="B50" s="102">
        <f>COUNTIFS('Game Log Season 3'!$C$3:$C$1000,"Ryan",'Game Log Season 3'!$D$3:$D$1000,A50)</f>
        <v/>
      </c>
      <c r="C50" s="102">
        <f>COUNTIFS('Game Log Season 3'!$C$3:$C$1000,"Ryan",'Game Log Season 3'!$D$3:$D$1000,A50,'Game Log Season 3'!$F$3:$F$1000,1)</f>
        <v/>
      </c>
      <c r="D50" s="102">
        <f>IFERROR(C50/B50,0)</f>
        <v/>
      </c>
    </row>
    <row r="51" ht="14.25" customHeight="1" s="52">
      <c r="A51" s="102" t="inlineStr">
        <is>
          <t>Namor the Sub-Mariner</t>
        </is>
      </c>
      <c r="B51" s="102">
        <f>COUNTIFS('Game Log Season 3'!$C$3:$C$1000,"Ryan",'Game Log Season 3'!$D$3:$D$1000,A51)</f>
        <v/>
      </c>
      <c r="C51" s="102">
        <f>COUNTIFS('Game Log Season 3'!$C$3:$C$1000,"Ryan",'Game Log Season 3'!$D$3:$D$1000,A51,'Game Log Season 3'!$F$3:$F$1000,1)</f>
        <v/>
      </c>
      <c r="D51" s="102">
        <f>IFERROR(C51/B51,0)</f>
        <v/>
      </c>
    </row>
    <row r="52" ht="14.25" customHeight="1" s="52">
      <c r="A52" s="102" t="inlineStr">
        <is>
          <t>Atraxa, Praetors' Voice</t>
        </is>
      </c>
      <c r="B52" s="102">
        <f>COUNTIFS('Game Log Season 3'!$C$3:$C$1000,"Ryan",'Game Log Season 3'!$D$3:$D$1000,A52)</f>
        <v/>
      </c>
      <c r="C52" s="102">
        <f>COUNTIFS('Game Log Season 3'!$C$3:$C$1000,"Ryan",'Game Log Season 3'!$D$3:$D$1000,A52,'Game Log Season 3'!$F$3:$F$1000,1)</f>
        <v/>
      </c>
      <c r="D52" s="102">
        <f>IFERROR(C52/B52,0)</f>
        <v/>
      </c>
    </row>
    <row r="53" ht="14.25" customHeight="1" s="52">
      <c r="A53" s="102" t="inlineStr">
        <is>
          <t>Davros, Dalek Creator</t>
        </is>
      </c>
      <c r="B53" s="102">
        <f>COUNTIFS('Game Log Season 3'!$C$3:$C$1000,"Ryan",'Game Log Season 3'!$D$3:$D$1000,A53)</f>
        <v/>
      </c>
      <c r="C53" s="102">
        <f>COUNTIFS('Game Log Season 3'!$C$3:$C$1000,"Ryan",'Game Log Season 3'!$D$3:$D$1000,A53,'Game Log Season 3'!$F$3:$F$1000,1)</f>
        <v/>
      </c>
      <c r="D53" s="102">
        <f>IFERROR(C53/B53,0)</f>
        <v/>
      </c>
    </row>
    <row r="54" ht="14.25" customHeight="1" s="52">
      <c r="A54" s="102" t="inlineStr">
        <is>
          <t>Krenko, Mob Boss</t>
        </is>
      </c>
      <c r="B54" s="102">
        <f>COUNTIFS('Game Log Season 3'!$C$3:$C$1000,"Ryan",'Game Log Season 3'!$D$3:$D$1000,A54)</f>
        <v/>
      </c>
      <c r="C54" s="102">
        <f>COUNTIFS('Game Log Season 3'!$C$3:$C$1000,"Ryan",'Game Log Season 3'!$D$3:$D$1000,A54,'Game Log Season 3'!$F$3:$F$1000,1)</f>
        <v/>
      </c>
      <c r="D54" s="102">
        <f>IFERROR(C54/B54,0)</f>
        <v/>
      </c>
    </row>
    <row r="55" ht="14.25" customHeight="1" s="52">
      <c r="A55" s="100" t="inlineStr">
        <is>
          <t>Kristy</t>
        </is>
      </c>
      <c r="B55" s="101">
        <f>COUNTIFS('Game Log Season 3'!$C$3:$C$1000,A55)</f>
        <v/>
      </c>
      <c r="C55" s="101">
        <f>COUNTIFS('Game Log Season 3'!$C$3:$C$1000,A55,'Game Log Season 3'!$F$3:$F$1000,1)</f>
        <v/>
      </c>
      <c r="D55" s="101">
        <f>IFERROR(C55/B55,0)</f>
        <v/>
      </c>
    </row>
    <row r="56" ht="14.25" customHeight="1" s="52">
      <c r="A56" s="102" t="inlineStr">
        <is>
          <t>Edgar Markov</t>
        </is>
      </c>
      <c r="B56" s="102">
        <f>COUNTIFS('Game Log Season 3'!$C$3:$C$1000,"Kristy",'Game Log Season 3'!$D$3:$D$1000,A56)</f>
        <v/>
      </c>
      <c r="C56" s="102">
        <f>COUNTIFS('Game Log Season 3'!$C$3:$C$1000,"Kristy",'Game Log Season 3'!$D$3:$D$1000,A56,'Game Log Season 3'!$F$3:$F$1000,1)</f>
        <v/>
      </c>
      <c r="D56" s="102">
        <f>IFERROR(C56/B56,0)</f>
        <v/>
      </c>
    </row>
    <row r="57" ht="14.25" customHeight="1" s="52">
      <c r="A57" s="102" t="inlineStr">
        <is>
          <t>Auntie Ool, Cursewretch</t>
        </is>
      </c>
      <c r="B57" s="102">
        <f>COUNTIFS('Game Log Season 3'!$C$3:$C$1000,"Kristy",'Game Log Season 3'!$D$3:$D$1000,A57)</f>
        <v/>
      </c>
      <c r="C57" s="102">
        <f>COUNTIFS('Game Log Season 3'!$C$3:$C$1000,"Kristy",'Game Log Season 3'!$D$3:$D$1000,A57,'Game Log Season 3'!$F$3:$F$1000,1)</f>
        <v/>
      </c>
      <c r="D57" s="102">
        <f>IFERROR(C57/B57,0)</f>
        <v/>
      </c>
    </row>
    <row r="58" ht="14.25" customHeight="1" s="52">
      <c r="A58" s="102" t="inlineStr">
        <is>
          <t>Dina, Essence Brewer</t>
        </is>
      </c>
      <c r="B58" s="102">
        <f>COUNTIFS('Game Log Season 3'!$C$3:$C$1000,"Kristy",'Game Log Season 3'!$D$3:$D$1000,A58)</f>
        <v/>
      </c>
      <c r="C58" s="102">
        <f>COUNTIFS('Game Log Season 3'!$C$3:$C$1000,"Kristy",'Game Log Season 3'!$D$3:$D$1000,A58,'Game Log Season 3'!$F$3:$F$1000,1)</f>
        <v/>
      </c>
      <c r="D58" s="102">
        <f>IFERROR(C58/B58,0)</f>
        <v/>
      </c>
    </row>
    <row r="59" ht="14.25" customHeight="1" s="52">
      <c r="A59" s="102" t="inlineStr">
        <is>
          <t>Niv-Mizzet, Parun</t>
        </is>
      </c>
      <c r="B59" s="102">
        <f>COUNTIFS('Game Log Season 3'!$C$3:$C$1000,"Kristy",'Game Log Season 3'!$D$3:$D$1000,A59)</f>
        <v/>
      </c>
      <c r="C59" s="102">
        <f>COUNTIFS('Game Log Season 3'!$C$3:$C$1000,"Kristy",'Game Log Season 3'!$D$3:$D$1000,A59,'Game Log Season 3'!$F$3:$F$1000,1)</f>
        <v/>
      </c>
      <c r="D59" s="102">
        <f>IFERROR(C59/B59,0)</f>
        <v/>
      </c>
    </row>
    <row r="60" ht="14.25" customHeight="1" s="52">
      <c r="A60" s="102" t="inlineStr">
        <is>
          <t>Doctor Doom, King of Latveria</t>
        </is>
      </c>
      <c r="B60" s="102">
        <f>COUNTIFS('Game Log Season 3'!$C$3:$C$1000,"Kristy",'Game Log Season 3'!$D$3:$D$1000,A60)</f>
        <v/>
      </c>
      <c r="C60" s="102">
        <f>COUNTIFS('Game Log Season 3'!$C$3:$C$1000,"Kristy",'Game Log Season 3'!$D$3:$D$1000,A60,'Game Log Season 3'!$F$3:$F$1000,1)</f>
        <v/>
      </c>
      <c r="D60" s="102">
        <f>IFERROR(C60/B60,0)</f>
        <v/>
      </c>
    </row>
    <row r="61" ht="14.25" customHeight="1" s="52">
      <c r="A61" s="100" t="inlineStr">
        <is>
          <t>Joseph</t>
        </is>
      </c>
      <c r="B61" s="101">
        <f>COUNTIFS('Game Log Season 3'!$C$3:$C$1000,A61)</f>
        <v/>
      </c>
      <c r="C61" s="101">
        <f>COUNTIFS('Game Log Season 3'!$C$3:$C$1000,A61,'Game Log Season 3'!$F$3:$F$1000,1)</f>
        <v/>
      </c>
      <c r="D61" s="101">
        <f>IFERROR(C61/B61,0)</f>
        <v/>
      </c>
    </row>
    <row r="62" ht="14.25" customHeight="1" s="52">
      <c r="A62" s="102" t="inlineStr">
        <is>
          <t>Valgavoth, Harrower of Souls</t>
        </is>
      </c>
      <c r="B62" s="102">
        <f>COUNTIFS('Game Log Season 3'!$C$3:$C$1000,"Joseph",'Game Log Season 3'!$D$3:$D$1000,A62)</f>
        <v/>
      </c>
      <c r="C62" s="102">
        <f>COUNTIFS('Game Log Season 3'!$C$3:$C$1000,"Joseph",'Game Log Season 3'!$D$3:$D$1000,A62,'Game Log Season 3'!$F$3:$F$1000,1)</f>
        <v/>
      </c>
      <c r="D62" s="102">
        <f>IFERROR(C62/B62,0)</f>
        <v/>
      </c>
    </row>
    <row r="63" ht="14.25" customHeight="1" s="52">
      <c r="A63" s="102" t="inlineStr">
        <is>
          <t>Zimone, Infinite Analyst</t>
        </is>
      </c>
      <c r="B63" s="102">
        <f>COUNTIFS('Game Log Season 3'!$C$3:$C$1000,"Joseph",'Game Log Season 3'!$D$3:$D$1000,A63)</f>
        <v/>
      </c>
      <c r="C63" s="102">
        <f>COUNTIFS('Game Log Season 3'!$C$3:$C$1000,"Joseph",'Game Log Season 3'!$D$3:$D$1000,A63,'Game Log Season 3'!$F$3:$F$1000,1)</f>
        <v/>
      </c>
      <c r="D63" s="102">
        <f>IFERROR(C63/B63,0)</f>
        <v/>
      </c>
    </row>
    <row r="64" ht="14.25" customHeight="1" s="52">
      <c r="A64" s="102" t="inlineStr">
        <is>
          <t>Super Shredder</t>
        </is>
      </c>
      <c r="B64" s="102">
        <f>COUNTIFS('Game Log Season 3'!$C$3:$C$1000,"Joseph",'Game Log Season 3'!$D$3:$D$1000,A64)</f>
        <v/>
      </c>
      <c r="C64" s="102">
        <f>COUNTIFS('Game Log Season 3'!$C$3:$C$1000,"Joseph",'Game Log Season 3'!$D$3:$D$1000,A64,'Game Log Season 3'!$F$3:$F$1000,1)</f>
        <v/>
      </c>
      <c r="D64" s="102">
        <f>IFERROR(C64/B64,0)</f>
        <v/>
      </c>
    </row>
    <row r="65" ht="14.25" customHeight="1" s="52">
      <c r="A65" s="102" t="inlineStr">
        <is>
          <t>Hei Bai, Forest Guardian</t>
        </is>
      </c>
      <c r="B65" s="102">
        <f>COUNTIFS('Game Log Season 3'!$C$3:$C$1000,"Joseph",'Game Log Season 3'!$D$3:$D$1000,A65)</f>
        <v/>
      </c>
      <c r="C65" s="102">
        <f>COUNTIFS('Game Log Season 3'!$C$3:$C$1000,"Joseph",'Game Log Season 3'!$D$3:$D$1000,A65,'Game Log Season 3'!$F$3:$F$1000,1)</f>
        <v/>
      </c>
      <c r="D65" s="102">
        <f>IFERROR(C65/B65,0)</f>
        <v/>
      </c>
    </row>
    <row r="66" ht="14.25" customHeight="1" s="52">
      <c r="A66" s="102" t="inlineStr">
        <is>
          <t>Ultima, Origin of Oblivion</t>
        </is>
      </c>
      <c r="B66" s="102">
        <f>COUNTIFS('Game Log Season 3'!$C$3:$C$1000,"Joseph",'Game Log Season 3'!$D$3:$D$1000,A66)</f>
        <v/>
      </c>
      <c r="C66" s="102">
        <f>COUNTIFS('Game Log Season 3'!$C$3:$C$1000,"Joseph",'Game Log Season 3'!$D$3:$D$1000,A66,'Game Log Season 3'!$F$3:$F$1000,1)</f>
        <v/>
      </c>
      <c r="D66" s="102">
        <f>IFERROR(C66/B66,0)</f>
        <v/>
      </c>
    </row>
    <row r="67" ht="14.25" customHeight="1" s="52">
      <c r="A67" s="100" t="inlineStr">
        <is>
          <t>Red</t>
        </is>
      </c>
      <c r="B67" s="101">
        <f>COUNTIFS('Game Log Season 3'!$C$3:$C$1000,A67)</f>
        <v/>
      </c>
      <c r="C67" s="101">
        <f>COUNTIFS('Game Log Season 3'!$C$3:$C$1000,A67,'Game Log Season 3'!$F$3:$F$1000,1)</f>
        <v/>
      </c>
      <c r="D67" s="101">
        <f>IFERROR(C67/B67,0)</f>
        <v/>
      </c>
    </row>
    <row r="68" ht="14.25" customHeight="1" s="52">
      <c r="A68" s="102" t="inlineStr">
        <is>
          <t>Cloud, Ex-SOLDIER</t>
        </is>
      </c>
      <c r="B68" s="102">
        <f>COUNTIFS('Game Log Season 3'!$C$3:$C$1000,"Red",'Game Log Season 3'!$D$3:$D$1000,A68)</f>
        <v/>
      </c>
      <c r="C68" s="102">
        <f>COUNTIFS('Game Log Season 3'!$C$3:$C$1000,"Red",'Game Log Season 3'!$D$3:$D$1000,A68,'Game Log Season 3'!$F$3:$F$1000,1)</f>
        <v/>
      </c>
      <c r="D68" s="102">
        <f>IFERROR(C68/B68,0)</f>
        <v/>
      </c>
    </row>
    <row r="69" ht="14.25" customHeight="1" s="52">
      <c r="A69" s="102" t="inlineStr">
        <is>
          <t>Squall, SeeD Mercenary</t>
        </is>
      </c>
      <c r="B69" s="102">
        <f>COUNTIFS('Game Log Season 3'!$C$3:$C$1000,"Red",'Game Log Season 3'!$D$3:$D$1000,A69)</f>
        <v/>
      </c>
      <c r="C69" s="102">
        <f>COUNTIFS('Game Log Season 3'!$C$3:$C$1000,"Red",'Game Log Season 3'!$D$3:$D$1000,A69,'Game Log Season 3'!$F$3:$F$1000,1)</f>
        <v/>
      </c>
      <c r="D69" s="102">
        <f>IFERROR(C69/B69,0)</f>
        <v/>
      </c>
    </row>
    <row r="70" ht="14.25" customHeight="1" s="52">
      <c r="A70" s="102" t="inlineStr">
        <is>
          <t>Sanar, Innovative First-Year</t>
        </is>
      </c>
      <c r="B70" s="102">
        <f>COUNTIFS('Game Log Season 3'!$C$3:$C$1000,"Red",'Game Log Season 3'!$D$3:$D$1000,A70)</f>
        <v/>
      </c>
      <c r="C70" s="102">
        <f>COUNTIFS('Game Log Season 3'!$C$3:$C$1000,"Red",'Game Log Season 3'!$D$3:$D$1000,A70,'Game Log Season 3'!$F$3:$F$1000,1)</f>
        <v/>
      </c>
      <c r="D70" s="102">
        <f>IFERROR(C70/B70,0)</f>
        <v/>
      </c>
    </row>
    <row r="71" ht="14.25" customHeight="1" s="52">
      <c r="A71" s="100" t="inlineStr">
        <is>
          <t>Michelle</t>
        </is>
      </c>
      <c r="B71" s="101">
        <f>COUNTIFS('Game Log Season 3'!$C$3:$C$1000,A71)</f>
        <v/>
      </c>
      <c r="C71" s="101">
        <f>COUNTIFS('Game Log Season 3'!$C$3:$C$1000,A71,'Game Log Season 3'!$F$3:$F$1000,1)</f>
        <v/>
      </c>
      <c r="D71" s="101">
        <f>IFERROR(C71/B71,0)</f>
        <v/>
      </c>
    </row>
    <row r="72" ht="14.25" customHeight="1" s="52">
      <c r="A72" s="102" t="inlineStr">
        <is>
          <t>The Wise Mothman</t>
        </is>
      </c>
      <c r="B72" s="102">
        <f>COUNTIFS('Game Log Season 3'!$C$3:$C$1000,"Michelle",'Game Log Season 3'!$D$3:$D$1000,A72)</f>
        <v/>
      </c>
      <c r="C72" s="102">
        <f>COUNTIFS('Game Log Season 3'!$C$3:$C$1000,"Michelle",'Game Log Season 3'!$D$3:$D$1000,A72,'Game Log Season 3'!$F$3:$F$1000,1)</f>
        <v/>
      </c>
      <c r="D72" s="102">
        <f>IFERROR(C72/B72,0)</f>
        <v/>
      </c>
    </row>
    <row r="73" ht="14.25" customHeight="1" s="52">
      <c r="A73" s="102" t="inlineStr">
        <is>
          <t>Szarel, Genesis Shepard</t>
        </is>
      </c>
      <c r="B73" s="102">
        <f>COUNTIFS('Game Log Season 3'!$C$3:$C$1000,"Michelle",'Game Log Season 3'!$D$3:$D$1000,A73)</f>
        <v/>
      </c>
      <c r="C73" s="102">
        <f>COUNTIFS('Game Log Season 3'!$C$3:$C$1000,"Michelle",'Game Log Season 3'!$D$3:$D$1000,A73,'Game Log Season 3'!$F$3:$F$1000,1)</f>
        <v/>
      </c>
      <c r="D73" s="102">
        <f>IFERROR(C73/B73,0)</f>
        <v/>
      </c>
    </row>
    <row r="74" ht="14.25" customHeight="1" s="52">
      <c r="A74" s="102" t="inlineStr">
        <is>
          <t>Lucy MacLean, Positively Armed</t>
        </is>
      </c>
      <c r="B74" s="102">
        <f>COUNTIFS('Game Log Season 3'!$C$3:$C$1000,"Michelle",'Game Log Season 3'!$D$3:$D$1000,A74)</f>
        <v/>
      </c>
      <c r="C74" s="102">
        <f>COUNTIFS('Game Log Season 3'!$C$3:$C$1000,"Michelle",'Game Log Season 3'!$D$3:$D$1000,A74,'Game Log Season 3'!$F$3:$F$1000,1)</f>
        <v/>
      </c>
      <c r="D74" s="102">
        <f>IFERROR(C74/B74,0)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F19" activeCellId="0" sqref="F19"/>
    </sheetView>
  </sheetViews>
  <sheetFormatPr baseColWidth="8" defaultColWidth="8.5390625" defaultRowHeight="14.25" zeroHeight="0" outlineLevelRow="0"/>
  <cols>
    <col width="14.89" customWidth="1" style="51" min="1" max="1"/>
    <col width="22" customWidth="1" style="51" min="2" max="2"/>
    <col width="9.56" customWidth="1" style="51" min="3" max="3"/>
    <col width="10.11" customWidth="1" style="51" min="4" max="4"/>
    <col width="8.33" customWidth="1" style="51" min="5" max="5"/>
    <col width="27.78" customWidth="1" style="51" min="6" max="6"/>
    <col width="28.11" customWidth="1" style="51" min="7" max="7"/>
    <col width="26.56" customWidth="1" style="51" min="8" max="8"/>
    <col width="28.11" customWidth="1" style="51" min="9" max="9"/>
    <col width="29.33" customWidth="1" style="51" min="10" max="10"/>
    <col width="29.89" customWidth="1" style="51" min="11" max="11"/>
    <col width="41.33" customWidth="1" style="51" min="12" max="12"/>
  </cols>
  <sheetData>
    <row r="1" ht="14.25" customHeight="1" s="52">
      <c r="A1" s="104" t="inlineStr">
        <is>
          <t>Player</t>
        </is>
      </c>
      <c r="B1" s="104" t="inlineStr">
        <is>
          <t>Player Adjusted Win Rate</t>
        </is>
      </c>
      <c r="C1" s="104" t="inlineStr">
        <is>
          <t>Win Count</t>
        </is>
      </c>
      <c r="D1" s="104" t="inlineStr">
        <is>
          <t>Loss Count</t>
        </is>
      </c>
      <c r="E1" s="104" t="inlineStr">
        <is>
          <t>Win Rate</t>
        </is>
      </c>
      <c r="F1" s="104" t="inlineStr">
        <is>
          <t xml:space="preserve">Win Count Adjusted for Pod size </t>
        </is>
      </c>
      <c r="G1" s="104" t="inlineStr">
        <is>
          <t>Loss Count Adjusted for Pod Size</t>
        </is>
      </c>
      <c r="H1" s="104" t="inlineStr">
        <is>
          <t>Win Rate Adjusted for Pod Size</t>
        </is>
      </c>
      <c r="I1" s="104" t="inlineStr">
        <is>
          <t>Win Rate Adjusted for Knockouts</t>
        </is>
      </c>
      <c r="J1" s="104" t="inlineStr">
        <is>
          <t>Deck Strength Win Adjusted Value</t>
        </is>
      </c>
      <c r="K1" s="104" t="inlineStr">
        <is>
          <t>Deck Strength Loss Adjusted Value</t>
        </is>
      </c>
      <c r="L1" s="104" t="inlineStr">
        <is>
          <t>Win Rate Adjusted for Compared Deck Strengths</t>
        </is>
      </c>
    </row>
    <row r="2" ht="14.25" customHeight="1" s="52">
      <c r="A2" s="51" t="inlineStr">
        <is>
          <t>Mateo</t>
        </is>
      </c>
      <c r="B2" s="70">
        <f>(H2*0.3)+(I2*0.2)+(L2*0.5)</f>
        <v/>
      </c>
      <c r="C2" s="51">
        <f>COUNTIFS('Game Log Season 3'!$C$3:$C$126, "Mateo", 'Game Log Season 3'!$F$3:$F$126, 1)</f>
        <v/>
      </c>
      <c r="D2" s="51">
        <f>COUNTIFS('Game Log Season 3'!$C$3:$C$126, "Mateo", 'Game Log Season 3'!$F$3:$F$126, 0)</f>
        <v/>
      </c>
      <c r="E2" s="70">
        <f>IFERROR(C2/(C2+D2),0)</f>
        <v/>
      </c>
      <c r="F2" s="51">
        <f>SUMIFS('Game Log Season 3'!$J$3:$J$126, 'Game Log Season 3'!$C$3:$C$126, "Mateo", 'Game Log Season 3'!$F$3:$F$126, 1)</f>
        <v/>
      </c>
      <c r="G2" s="51">
        <f>IFERROR((1-(AVERAGEIFS('Game Log Season 3'!$J$3:$J$126, 'Game Log Season 3'!$C$3:$C$126, "Mateo", 'Game Log Season 3'!$F$3:$F$126, 0)*-1))*D2,0)</f>
        <v/>
      </c>
      <c r="H2" s="70">
        <f>IFERROR(F2/(F2+G2),0)</f>
        <v/>
      </c>
      <c r="I2" s="70">
        <f>IF(C2&lt;&gt;0,AVERAGEIF('Game Log Season 3'!$C$3:$C$126, "Mateo", 'Game Log Season 3'!$K$3:$K$126),0)</f>
        <v/>
      </c>
      <c r="J2" s="51">
        <f>IFERROR((1-(AVERAGEIFS('Game Log Season 3'!$M$3:$M$126, 'Game Log Season 3'!$C$3:$C$126, "Mateo", 'Game Log Season 3'!$F$3:$F$126, 1)-0.5))*C2, 0)</f>
        <v/>
      </c>
      <c r="K2" s="51">
        <f>IFERROR((1+(AVERAGEIFS('Game Log Season 3'!$M$3:$M$126, 'Game Log Season 3'!$C$3:$C$126, "Mateo", 'Game Log Season 3'!$F$3:$F$126, 0)-0.5))*D2, 0)</f>
        <v/>
      </c>
      <c r="L2" s="70">
        <f>IFERROR(J2/(J2+K2),0)</f>
        <v/>
      </c>
    </row>
    <row r="3" ht="14.25" customHeight="1" s="52">
      <c r="A3" s="51" t="inlineStr">
        <is>
          <t>Ryan</t>
        </is>
      </c>
      <c r="B3" s="70">
        <f>(H3*0.3)+(I3*0.2)+(L3*0.5)</f>
        <v/>
      </c>
      <c r="C3" s="51">
        <f>COUNTIFS('Game Log Season 3'!$C$3:$C$126, "Ryan", 'Game Log Season 3'!$F$3:$F$126, 1)</f>
        <v/>
      </c>
      <c r="D3" s="51">
        <f>COUNTIFS('Game Log Season 3'!$C$3:$C$126, "Ryan", 'Game Log Season 3'!$F$3:$F$126, 0)</f>
        <v/>
      </c>
      <c r="E3" s="70">
        <f>IFERROR(C3/(C3+D3),0)</f>
        <v/>
      </c>
      <c r="F3" s="51">
        <f>SUMIFS('Game Log Season 3'!$J$3:$J$126, 'Game Log Season 3'!$C$3:$C$126, "Ryan", 'Game Log Season 3'!$F$3:$F$126, 1)</f>
        <v/>
      </c>
      <c r="G3" s="51">
        <f>IFERROR((1-(AVERAGEIFS('Game Log Season 3'!$J$3:$J$126, 'Game Log Season 3'!$C$3:$C$126, "Ryan", 'Game Log Season 3'!$F$3:$F$126, 0)*-1))*D3,0)</f>
        <v/>
      </c>
      <c r="H3" s="70">
        <f>IFERROR(F3/(F3+G3),0)</f>
        <v/>
      </c>
      <c r="I3" s="70">
        <f>IF(C3&lt;&gt;0,AVERAGEIF('Game Log Season 3'!$C$3:$C$126, "Ryan", 'Game Log Season 3'!$K$3:$K$126),0)</f>
        <v/>
      </c>
      <c r="J3" s="51">
        <f>IFERROR((1-(AVERAGEIFS('Game Log Season 3'!$M$3:$M$126, 'Game Log Season 3'!$C$3:$C$126, "Ryan", 'Game Log Season 3'!$F$3:$F$126, 1)-0.5))*C3, 0)</f>
        <v/>
      </c>
      <c r="K3" s="51">
        <f>IFERROR((1+(AVERAGEIFS('Game Log Season 3'!$M$3:$M$126, 'Game Log Season 3'!$C$3:$C$126, "Ryan", 'Game Log Season 3'!$F$3:$F$126, 0)-0.5))*D3, 0)</f>
        <v/>
      </c>
      <c r="L3" s="70">
        <f>IFERROR(J3/(J3+K3),0)</f>
        <v/>
      </c>
    </row>
    <row r="4" ht="14.25" customHeight="1" s="52">
      <c r="A4" s="51" t="inlineStr">
        <is>
          <t>Becca</t>
        </is>
      </c>
      <c r="B4" s="70">
        <f>(H4*0.3)+(I4*0.2)+(L4*0.5)</f>
        <v/>
      </c>
      <c r="C4" s="51">
        <f>COUNTIFS('Game Log Season 3'!$C$3:$C$126, "Becca", 'Game Log Season 3'!$F$3:$F$126, 1)</f>
        <v/>
      </c>
      <c r="D4" s="51">
        <f>COUNTIFS('Game Log Season 3'!$C$3:$C$126, "Becca", 'Game Log Season 3'!$F$3:$F$126, 0)</f>
        <v/>
      </c>
      <c r="E4" s="70">
        <f>IFERROR(C4/(C4+D4),0)</f>
        <v/>
      </c>
      <c r="F4" s="51">
        <f>SUMIFS('Game Log Season 3'!$J$3:$J$126, 'Game Log Season 3'!$C$3:$C$126, "Becca", 'Game Log Season 3'!$F$3:$F$126, 1)</f>
        <v/>
      </c>
      <c r="G4" s="51">
        <f>IFERROR((1-(AVERAGEIFS('Game Log Season 3'!$J$3:$J$126, 'Game Log Season 3'!$C$3:$C$126, "Becca", 'Game Log Season 3'!$F$3:$F$126, 0)*-1))*D4,0)</f>
        <v/>
      </c>
      <c r="H4" s="70">
        <f>IFERROR(F4/(F4+G4),0)</f>
        <v/>
      </c>
      <c r="I4" s="70">
        <f>IF(C4&lt;&gt;0,AVERAGEIF('Game Log Season 3'!$C$3:$C$126, "Becca", 'Game Log Season 3'!$K$3:$K$126),0)</f>
        <v/>
      </c>
      <c r="J4" s="51">
        <f>IFERROR((1-(AVERAGEIFS('Game Log Season 3'!$M$3:$M$126, 'Game Log Season 3'!$C$3:$C$126, "Becca", 'Game Log Season 3'!$F$3:$F$126, 1)-0.5))*C4, 0)</f>
        <v/>
      </c>
      <c r="K4" s="51">
        <f>IFERROR((1+(AVERAGEIFS('Game Log Season 3'!$M$3:$M$126, 'Game Log Season 3'!$C$3:$C$126, "Becca", 'Game Log Season 3'!$F$3:$F$126, 0)-0.5))*D4, 0)</f>
        <v/>
      </c>
      <c r="L4" s="70">
        <f>IFERROR(J4/(J4+K4),0)</f>
        <v/>
      </c>
    </row>
    <row r="5" ht="14.25" customHeight="1" s="52">
      <c r="A5" s="51" t="inlineStr">
        <is>
          <t>Manny</t>
        </is>
      </c>
      <c r="B5" s="70">
        <f>(H5*0.3)+(I5*0.2)+(L5*0.5)</f>
        <v/>
      </c>
      <c r="C5" s="51">
        <f>COUNTIFS('Game Log Season 3'!$C$3:$C$126, "Manny", 'Game Log Season 3'!$F$3:$F$126, 1)</f>
        <v/>
      </c>
      <c r="D5" s="51">
        <f>COUNTIFS('Game Log Season 3'!$C$3:$C$126, "Manny", 'Game Log Season 3'!$F$3:$F$126, 0)</f>
        <v/>
      </c>
      <c r="E5" s="70">
        <f>IFERROR(C5/(C5+D5),0)</f>
        <v/>
      </c>
      <c r="F5" s="51">
        <f>SUMIFS('Game Log Season 3'!$J$3:$J$126, 'Game Log Season 3'!$C$3:$C$126, "Manny", 'Game Log Season 3'!$F$3:$F$126, 1)</f>
        <v/>
      </c>
      <c r="G5" s="51">
        <f>IFERROR((1-(AVERAGEIFS('Game Log Season 3'!$J$3:$J$126, 'Game Log Season 3'!$C$3:$C$126, "Manny", 'Game Log Season 3'!$F$3:$F$126, 0)*-1))*D5,0)</f>
        <v/>
      </c>
      <c r="H5" s="70">
        <f>IFERROR(F5/(F5+G5),0)</f>
        <v/>
      </c>
      <c r="I5" s="70">
        <f>IF(C5&lt;&gt;0,AVERAGEIF('Game Log Season 3'!$C$3:$C$126, "Manny", 'Game Log Season 3'!$K$3:$K$126),0)</f>
        <v/>
      </c>
      <c r="J5" s="51">
        <f>IFERROR((1-(AVERAGEIFS('Game Log Season 3'!$M$3:$M$126, 'Game Log Season 3'!$C$3:$C$126, "Manny", 'Game Log Season 3'!$F$3:$F$126, 1)-0.5))*C5, 0)</f>
        <v/>
      </c>
      <c r="K5" s="51">
        <f>IFERROR((1+(AVERAGEIFS('Game Log Season 3'!$M$3:$M$126, 'Game Log Season 3'!$C$3:$C$126, "Manny", 'Game Log Season 3'!$F$3:$F$126, 0)-0.5))*D5, 0)</f>
        <v/>
      </c>
      <c r="L5" s="70">
        <f>IFERROR(J5/(J5+K5),0)</f>
        <v/>
      </c>
    </row>
    <row r="6" ht="14.25" customHeight="1" s="52">
      <c r="A6" s="51" t="inlineStr">
        <is>
          <t>Kristy</t>
        </is>
      </c>
      <c r="B6" s="70">
        <f>(H6*0.3)+(I6*0.2)+(L6*0.5)</f>
        <v/>
      </c>
      <c r="C6" s="51">
        <f>COUNTIFS('Game Log Season 3'!$C$3:$C$126, "Kristy", 'Game Log Season 3'!$F$3:$F$126, 1)</f>
        <v/>
      </c>
      <c r="D6" s="51">
        <f>COUNTIFS('Game Log Season 3'!$C$3:$C$126, "Kristy", 'Game Log Season 3'!$F$3:$F$126, 0)</f>
        <v/>
      </c>
      <c r="E6" s="70">
        <f>IFERROR(C6/(C6+D6),0)</f>
        <v/>
      </c>
      <c r="F6" s="51">
        <f>SUMIFS('Game Log Season 3'!$J$3:$J$126, 'Game Log Season 3'!$C$3:$C$126, "Kristy", 'Game Log Season 3'!$F$3:$F$126, 1)</f>
        <v/>
      </c>
      <c r="G6" s="51">
        <f>IFERROR((1-(AVERAGEIFS('Game Log Season 3'!$J$3:$J$126, 'Game Log Season 3'!$C$3:$C$126, "Kristy", 'Game Log Season 3'!$F$3:$F$126, 0)*-1))*D6,0)</f>
        <v/>
      </c>
      <c r="H6" s="70">
        <f>IFERROR(F6/(F6+G6),0)</f>
        <v/>
      </c>
      <c r="I6" s="70">
        <f>IF(C6&lt;&gt;0,AVERAGEIF('Game Log Season 3'!$C$3:$C$126, "Kristy", 'Game Log Season 3'!$K$3:$K$126),0)</f>
        <v/>
      </c>
      <c r="J6" s="51">
        <f>IFERROR((1-(AVERAGEIFS('Game Log Season 3'!$M$3:$M$126, 'Game Log Season 3'!$C$3:$C$126, "Kristy", 'Game Log Season 3'!$F$3:$F$126, 1)-0.5))*C6, 0)</f>
        <v/>
      </c>
      <c r="K6" s="51">
        <f>IFERROR((1+(AVERAGEIFS('Game Log Season 3'!$M$3:$M$126, 'Game Log Season 3'!$C$3:$C$126, "Kristy", 'Game Log Season 3'!$F$3:$F$126, 0)-0.5))*D6, 0)</f>
        <v/>
      </c>
      <c r="L6" s="70">
        <f>IFERROR(J6/(J6+K6),0)</f>
        <v/>
      </c>
    </row>
    <row r="7" ht="14.25" customHeight="1" s="52">
      <c r="A7" s="51" t="inlineStr">
        <is>
          <t>Joseph</t>
        </is>
      </c>
      <c r="B7" s="70">
        <f>(H7*0.3)+(I7*0.2)+(L7*0.5)</f>
        <v/>
      </c>
      <c r="C7" s="51">
        <f>COUNTIFS('Game Log Season 3'!$C$3:$C$126, "Joseph", 'Game Log Season 3'!$F$3:$F$126, 1)</f>
        <v/>
      </c>
      <c r="D7" s="51">
        <f>COUNTIFS('Game Log Season 3'!$C$3:$C$126, "Joseph", 'Game Log Season 3'!$F$3:$F$126, 0)</f>
        <v/>
      </c>
      <c r="E7" s="70">
        <f>IFERROR(C7/(C7+D7),0)</f>
        <v/>
      </c>
      <c r="F7" s="51">
        <f>SUMIFS('Game Log Season 3'!$J$3:$J$126, 'Game Log Season 3'!$C$3:$C$126, "Joseph", 'Game Log Season 3'!$F$3:$F$126, 1)</f>
        <v/>
      </c>
      <c r="G7" s="51">
        <f>IFERROR((1-(AVERAGEIFS('Game Log Season 3'!$J$3:$J$126, 'Game Log Season 3'!$C$3:$C$126, "Joseph", 'Game Log Season 3'!$F$3:$F$126, 0)*-1))*D7,0)</f>
        <v/>
      </c>
      <c r="H7" s="70">
        <f>IFERROR(F7/(F7+G7),0)</f>
        <v/>
      </c>
      <c r="I7" s="70">
        <f>IF(C7&lt;&gt;0,AVERAGEIF('Game Log Season 3'!$C$3:$C$126, "Joseph", 'Game Log Season 3'!$K$3:$K$126),0)</f>
        <v/>
      </c>
      <c r="J7" s="51">
        <f>IFERROR((1-(AVERAGEIFS('Game Log Season 3'!$M$3:$M$126, 'Game Log Season 3'!$C$3:$C$126, "Joseph", 'Game Log Season 3'!$F$3:$F$126, 1)-0.5))*C7, 0)</f>
        <v/>
      </c>
      <c r="K7" s="51">
        <f>IFERROR((1+(AVERAGEIFS('Game Log Season 3'!$M$3:$M$126, 'Game Log Season 3'!$C$3:$C$126, "Joseph", 'Game Log Season 3'!$F$3:$F$126, 0)-0.5))*D7, 0)</f>
        <v/>
      </c>
      <c r="L7" s="70">
        <f>IFERROR(J7/(J7+K7),0)</f>
        <v/>
      </c>
    </row>
    <row r="8" ht="14.25" customHeight="1" s="52">
      <c r="A8" s="51" t="inlineStr">
        <is>
          <t>Michelle</t>
        </is>
      </c>
      <c r="B8" s="70">
        <f>(H8*0.3)+(I8*0.2)+(L8*0.5)</f>
        <v/>
      </c>
      <c r="C8" s="51">
        <f>COUNTIFS('Game Log Season 3'!$C$3:$C$126, "Michelle", 'Game Log Season 3'!$F$3:$F$126, 1)</f>
        <v/>
      </c>
      <c r="D8" s="51">
        <f>COUNTIFS('Game Log Season 3'!$C$3:$C$126, "Michelle", 'Game Log Season 3'!$F$3:$F$126, 0)</f>
        <v/>
      </c>
      <c r="E8" s="70">
        <f>IFERROR(C8/(C8+D8),0)</f>
        <v/>
      </c>
      <c r="F8" s="51">
        <f>SUMIFS('Game Log Season 3'!$J$3:$J$126, 'Game Log Season 3'!$C$3:$C$126, "Michelle", 'Game Log Season 3'!$F$3:$F$126, 1)</f>
        <v/>
      </c>
      <c r="G8" s="51">
        <f>IFERROR((1-(AVERAGEIFS('Game Log Season 3'!$J$3:$J$126, 'Game Log Season 3'!$C$3:$C$126, "Michelle", 'Game Log Season 3'!$F$3:$F$126, 0)*-1))*D8,0)</f>
        <v/>
      </c>
      <c r="H8" s="70">
        <f>IFERROR(F8/(F8+G8),0)</f>
        <v/>
      </c>
      <c r="I8" s="70">
        <f>IF(C8&lt;&gt;0,AVERAGEIF('Game Log Season 3'!$C$3:$C$126, "Michelle", 'Game Log Season 3'!$K$3:$K$126),0)</f>
        <v/>
      </c>
      <c r="J8" s="51">
        <f>IFERROR((1-(AVERAGEIFS('Game Log Season 3'!$M$3:$M$126, 'Game Log Season 3'!$C$3:$C$126, "Michelle", 'Game Log Season 3'!$F$3:$F$126, 1)-0.5))*C8, 0)</f>
        <v/>
      </c>
      <c r="K8" s="51">
        <f>IFERROR((1+(AVERAGEIFS('Game Log Season 3'!$M$3:$M$126, 'Game Log Season 3'!$C$3:$C$126, "Michelle", 'Game Log Season 3'!$F$3:$F$126, 0)-0.5))*D8, 0)</f>
        <v/>
      </c>
      <c r="L8" s="70">
        <f>IFERROR(J8/(J8+K8),0)</f>
        <v/>
      </c>
    </row>
    <row r="9" ht="14.25" customHeight="1" s="52">
      <c r="A9" s="51" t="inlineStr">
        <is>
          <t>Red</t>
        </is>
      </c>
      <c r="B9" s="70">
        <f>(H9*0.3)+(I9*0.2)+(L9*0.5)</f>
        <v/>
      </c>
      <c r="C9" s="51">
        <f>COUNTIFS('Game Log Season 3'!$C$3:$C$126, "Red", 'Game Log Season 3'!$F$3:$F$126, 1)</f>
        <v/>
      </c>
      <c r="D9" s="51">
        <f>COUNTIFS('Game Log Season 3'!$C$3:$C$126, "Red", 'Game Log Season 3'!$F$3:$F$126, 0)</f>
        <v/>
      </c>
      <c r="E9" s="70">
        <f>IFERROR(C9/(C9+D9),0)</f>
        <v/>
      </c>
      <c r="F9" s="51">
        <f>SUMIFS('Game Log Season 3'!$J$3:$J$126, 'Game Log Season 3'!$C$3:$C$126, "Red", 'Game Log Season 3'!$F$3:$F$126, 1)</f>
        <v/>
      </c>
      <c r="G9" s="51">
        <f>IFERROR((1-(AVERAGEIFS('Game Log Season 3'!$J$3:$J$126, 'Game Log Season 3'!$C$3:$C$126, "Red", 'Game Log Season 3'!$F$3:$F$126, 0)*-1))*D9,0)</f>
        <v/>
      </c>
      <c r="H9" s="70">
        <f>IFERROR(F9/(F9+G9),0)</f>
        <v/>
      </c>
      <c r="I9" s="70">
        <f>IF(C9&lt;&gt;0,AVERAGEIF('Game Log Season 3'!$C$3:$C$126, "Red", 'Game Log Season 3'!$K$3:$K$126),0)</f>
        <v/>
      </c>
      <c r="J9" s="51">
        <f>IFERROR((1-(AVERAGEIFS('Game Log Season 3'!$M$3:$M$126, 'Game Log Season 3'!$C$3:$C$126, "Red", 'Game Log Season 3'!$F$3:$F$126, 1)-0.5))*C9, 0)</f>
        <v/>
      </c>
      <c r="K9" s="51">
        <f>IFERROR((1+(AVERAGEIFS('Game Log Season 3'!$M$3:$M$126, 'Game Log Season 3'!$C$3:$C$126, "Red", 'Game Log Season 3'!$F$3:$F$126, 0)-0.5))*D9, 0)</f>
        <v/>
      </c>
      <c r="L9" s="70">
        <f>IFERROR(J9/(J9+K9),0)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Ryan Munden</dc:creator>
  <dc:language>en-US</dc:language>
  <dcterms:created xsi:type="dcterms:W3CDTF">2025-12-30T00:21:53Z</dcterms:created>
  <dcterms:modified xsi:type="dcterms:W3CDTF">2026-08-08T20:45:22Z</dcterms:modified>
  <cp:lastModifiedBy>Ryan Munden</cp:lastModifiedBy>
  <cp:revision>0</cp:revision>
</cp:coreProperties>
</file>