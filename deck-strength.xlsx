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<sst xmlns="http://schemas.openxmlformats.org/spreadsheetml/2006/main" count="906" uniqueCount="181">
  <si>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</si>
  <si>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</si>
  <si>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</si>
  <si>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</si>
  <si>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</si>
  <si>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</si>
  <si>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</si>
  <si>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</si>
  <si>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</si>
  <si>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</si>
  <si>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</si>
  <si>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</si>
  <si>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</si>
  <si>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</si>
  <si>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</si>
  <si>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</si>
  <si>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</si>
  <si>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</si>
  <si>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</si>
  <si>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</si>
  <si>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</si>
  <si>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</si>
  <si>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</si>
  <si>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</si>
  <si>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</si>
  <si>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</si>
  <si>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</si>
  <si>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</si>
  <si>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</si>
  <si>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</si>
  <si>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</si>
  <si>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</si>
  <si>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</si>
  <si>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</si>
  <si>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</si>
  <si>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</si>
  <si>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</si>
  <si>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</si>
  <si>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</si>
  <si>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</si>
  <si>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</si>
  <si>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</si>
  <si>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</si>
  <si>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</si>
  <si>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</si>
  <si>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</si>
  <si>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</si>
  <si>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</si>
  <si>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</si>
  <si>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</si>
  <si>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</si>
  <si>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</si>
  <si>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</si>
  <si>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</si>
  <si>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</si>
  <si>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</si>
  <si>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</si>
  <si>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</si>
  <si>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</si>
  <si>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</si>
  <si>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</si>
  <si>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</si>
  <si>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</si>
  <si>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</si>
  <si>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</si>
  <si>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</si>
  <si>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</si>
  <si>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</si>
  <si>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</si>
  <si>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</si>
  <si>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</si>
  <si>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</si>
  <si>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</si>
  <si>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</si>
  <si>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</si>
  <si>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</si>
  <si>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</si>
  <si>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</si>
  <si>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</si>
  <si>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</si>
  <si>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</si>
  <si>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</si>
  <si>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</si>
  <si>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</si>
  <si>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</si>
  <si>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</si>
  <si>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</si>
  <si>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</si>
  <si>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</si>
  <si>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</si>
  <si>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</si>
  <si>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</si>
  <si>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</si>
  <si>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</si>
  <si>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</si>
  <si>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</si>
  <si>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</si>
  <si>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</si>
  <si>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</si>
  <si>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</si>
  <si>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</si>
  <si>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</si>
  <si>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</si>
  <si>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</si>
  <si>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</si>
  <si>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</si>
  <si>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Katara, the Fearless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</si>
  <si>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</si>
  <si>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</si>
  <si>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</si>
  <si>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</si>
  <si>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</si>
  <si>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</si>
  <si>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</si>
  <si>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</si>
  <si>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</si>
  <si>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</si>
  <si>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</si>
  <si>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</si>
  <si>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</si>
  <si>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</si>
  <si>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</si>
  <si>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</si>
  <si>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</si>
  <si>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Sokka, Tenacious Tactician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</si>
  <si>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</si>
  <si>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</si>
  <si>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</si>
  <si>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</si>
  <si>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</si>
  <si>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</si>
  <si>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</si>
  <si>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</si>
  <si>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</si>
  <si>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</si>
  <si>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</si>
  <si>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</si>
  <si>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</si>
  <si>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</si>
  <si>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</si>
  <si>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</si>
  <si>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</si>
  <si>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</si>
  <si>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</si>
  <si>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</si>
  <si>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</si>
  <si>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</si>
  <si>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</si>
  <si>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</si>
  <si>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</si>
  <si>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*Bracket 4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</si>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</sst>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2.57830555555556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2</v>
      </c>
      <c r="C7" s="46" t="s">
        <v>107</v>
      </c>
      <c r="D7" s="49" t="n">
        <v>2</v>
      </c>
      <c r="E7" s="47" t="s">
        <v>108</v>
      </c>
    </row>
    <row r="8" customFormat="false" ht="14.25" hidden="false" customHeight="false" outlineLevel="0" collapsed="false">
      <c r="A8" s="47" t="s">
        <v>28</v>
      </c>
      <c r="B8" s="48" t="n">
        <f aca="false">AVERAGE(B9:B21)</f>
        <v>3.34139957264957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109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110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111</v>
      </c>
      <c r="D11" s="49" t="n">
        <v>3.4</v>
      </c>
      <c r="E11" s="47" t="s">
        <v>112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113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114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115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116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117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118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119</v>
      </c>
    </row>
    <row r="19" customFormat="false" ht="14.25" hidden="false" customHeight="false" outlineLevel="0" collapsed="false">
      <c r="A19" s="49" t="s">
        <v>120</v>
      </c>
      <c r="B19" s="49" t="n">
        <f aca="false">IFERROR(LOOKUP(2,1/(('Game Log Season 3'!$C$3:$C$1000="Manny")*('Game Log Season 3'!$D$3:$D$1000=A19)*('Game Log Season 3'!$X$3:$X$1000&lt;&gt;"")),'Game Log Season 3'!$X$3:$X$1000), D19)</f>
        <v>3.9</v>
      </c>
      <c r="C19" s="46"/>
      <c r="D19" s="49" t="n">
        <v>3.9</v>
      </c>
      <c r="E19" s="47" t="s">
        <v>121</v>
      </c>
    </row>
    <row r="20" customFormat="false" ht="14.25" hidden="false" customHeight="false" outlineLevel="0" collapsed="false">
      <c r="A20" s="49" t="s">
        <v>122</v>
      </c>
      <c r="B20" s="49" t="n">
        <f aca="false">IFERROR(LOOKUP(2,1/(('Game Log Season 3'!$C$3:$C$1000="Manny")*('Game Log Season 3'!$D$3:$D$1000=A20)*('Game Log Season 3'!$X$3:$X$1000&lt;&gt;"")),'Game Log Season 3'!$X$3:$X$1000), D20)</f>
        <v>3.7</v>
      </c>
      <c r="C20" s="46"/>
      <c r="D20" s="49" t="n">
        <v>3.7</v>
      </c>
      <c r="E20" s="47" t="s">
        <v>123</v>
      </c>
    </row>
    <row r="21" customFormat="false" ht="14.25" hidden="false" customHeight="false" outlineLevel="0" collapsed="false">
      <c r="A21" s="49" t="s">
        <v>124</v>
      </c>
      <c r="B21" s="49" t="n">
        <f aca="false">IFERROR(LOOKUP(2,1/(('Game Log Season 3'!$C$3:$C$1000="Manny")*('Game Log Season 3'!$D$3:$D$1000=A21)*('Game Log Season 3'!$X$3:$X$1000&lt;&gt;"")),'Game Log Season 3'!$X$3:$X$1000), D21)</f>
        <v>3</v>
      </c>
      <c r="C21" s="46" t="s">
        <v>125</v>
      </c>
      <c r="D21" s="49" t="n">
        <v>3</v>
      </c>
      <c r="E21" s="47" t="s">
        <v>126</v>
      </c>
    </row>
    <row r="22" customFormat="false" ht="14.25" hidden="false" customHeight="false" outlineLevel="0" collapsed="false">
      <c r="A22" s="47" t="s">
        <v>30</v>
      </c>
      <c r="B22" s="48" t="n">
        <f aca="false">AVERAGE(B23:B39)</f>
        <v>3.25323529411765</v>
      </c>
      <c r="C22" s="46"/>
    </row>
    <row r="23" customFormat="false" ht="14.25" hidden="false" customHeight="false" outlineLevel="0" collapsed="false">
      <c r="A23" s="49" t="s">
        <v>73</v>
      </c>
      <c r="B23" s="49" t="n">
        <f aca="false">IFERROR(LOOKUP(2,1/(('Game Log Season 3'!$C$3:$C$1000="Mateo")*('Game Log Season 3'!$D$3:$D$1000=A23)*('Game Log Season 3'!$X$3:$X$1000&lt;&gt;"")),'Game Log Season 3'!$X$3:$X$1000), D23)</f>
        <v>2.4</v>
      </c>
      <c r="C23" s="46"/>
      <c r="D23" s="49" t="n">
        <v>2.4</v>
      </c>
      <c r="E23" s="47" t="s">
        <v>127</v>
      </c>
    </row>
    <row r="24" customFormat="false" ht="14.25" hidden="false" customHeight="false" outlineLevel="0" collapsed="false">
      <c r="A24" s="49" t="s">
        <v>31</v>
      </c>
      <c r="B24" s="49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6"/>
      <c r="D24" s="49" t="n">
        <v>3.6</v>
      </c>
      <c r="E24" s="47" t="s">
        <v>128</v>
      </c>
    </row>
    <row r="25" customFormat="false" ht="14.25" hidden="false" customHeight="false" outlineLevel="0" collapsed="false">
      <c r="A25" s="49" t="s">
        <v>34</v>
      </c>
      <c r="B25" s="49" t="n">
        <f aca="false">IFERROR(LOOKUP(2,1/(('Game Log Season 3'!$C$3:$C$1000="Mateo")*('Game Log Season 3'!$D$3:$D$1000=A25)*('Game Log Season 3'!$X$3:$X$1000&lt;&gt;"")),'Game Log Season 3'!$X$3:$X$1000), D25)</f>
        <v>3.6</v>
      </c>
      <c r="C25" s="46"/>
      <c r="D25" s="49" t="n">
        <v>3.6</v>
      </c>
      <c r="E25" s="47" t="s">
        <v>129</v>
      </c>
    </row>
    <row r="26" customFormat="false" ht="14.25" hidden="false" customHeight="false" outlineLevel="0" collapsed="false">
      <c r="A26" s="49" t="s">
        <v>74</v>
      </c>
      <c r="B26" s="49" t="n">
        <f aca="false">IFERROR(LOOKUP(2,1/(('Game Log Season 3'!$C$3:$C$1000="Mateo")*('Game Log Season 3'!$D$3:$D$1000=A26)*('Game Log Season 3'!$X$3:$X$1000&lt;&gt;"")),'Game Log Season 3'!$X$3:$X$1000), D26)</f>
        <v>2.9</v>
      </c>
      <c r="C26" s="46"/>
      <c r="D26" s="49" t="n">
        <v>2.9</v>
      </c>
      <c r="E26" s="47" t="s">
        <v>130</v>
      </c>
    </row>
    <row r="27" customFormat="false" ht="28.35" hidden="false" customHeight="false" outlineLevel="0" collapsed="false">
      <c r="A27" s="49" t="s">
        <v>57</v>
      </c>
      <c r="B27" s="49" t="n">
        <f aca="false">IFERROR(LOOKUP(2,1/(('Game Log Season 3'!$C$3:$C$1000="Mateo")*('Game Log Season 3'!$D$3:$D$1000=A27)*('Game Log Season 3'!$X$3:$X$1000&lt;&gt;"")),'Game Log Season 3'!$X$3:$X$1000), D27)</f>
        <v>3.9</v>
      </c>
      <c r="C27" s="46" t="s">
        <v>103</v>
      </c>
      <c r="D27" s="49" t="n">
        <v>3.9</v>
      </c>
      <c r="E27" s="47" t="s">
        <v>131</v>
      </c>
    </row>
    <row r="28" customFormat="false" ht="14.25" hidden="false" customHeight="false" outlineLevel="0" collapsed="false">
      <c r="A28" s="49" t="s">
        <v>80</v>
      </c>
      <c r="B28" s="49" t="n">
        <f aca="false">IFERROR(LOOKUP(2,1/(('Game Log Season 3'!$C$3:$C$1000="Mateo")*('Game Log Season 3'!$D$3:$D$1000=A28)*('Game Log Season 3'!$X$3:$X$1000&lt;&gt;"")),'Game Log Season 3'!$X$3:$X$1000), D28)</f>
        <v>2.8</v>
      </c>
      <c r="C28" s="46"/>
      <c r="D28" s="49" t="n">
        <v>2.8</v>
      </c>
    </row>
    <row r="29" customFormat="false" ht="14.25" hidden="false" customHeight="false" outlineLevel="0" collapsed="false">
      <c r="A29" s="49" t="s">
        <v>81</v>
      </c>
      <c r="B29" s="49" t="n">
        <f aca="false">IFERROR(LOOKUP(2,1/(('Game Log Season 3'!$C$3:$C$1000="Mateo")*('Game Log Season 3'!$D$3:$D$1000=A29)*('Game Log Season 3'!$X$3:$X$1000&lt;&gt;"")),'Game Log Season 3'!$X$3:$X$1000), D29)</f>
        <v>2.6</v>
      </c>
      <c r="C29" s="46"/>
      <c r="D29" s="49" t="n">
        <v>2.6</v>
      </c>
      <c r="E29" s="47" t="s">
        <v>132</v>
      </c>
    </row>
    <row r="30" customFormat="false" ht="14.25" hidden="false" customHeight="false" outlineLevel="0" collapsed="false">
      <c r="A30" s="49" t="s">
        <v>83</v>
      </c>
      <c r="B30" s="49" t="n">
        <f aca="false">IFERROR(LOOKUP(2,1/(('Game Log Season 3'!$C$3:$C$1000="Mateo")*('Game Log Season 3'!$D$3:$D$1000=A30)*('Game Log Season 3'!$X$3:$X$1000&lt;&gt;"")),'Game Log Season 3'!$X$3:$X$1000), D30)</f>
        <v>3.59875</v>
      </c>
      <c r="C30" s="46" t="s">
        <v>125</v>
      </c>
      <c r="D30" s="49" t="n">
        <v>3.6</v>
      </c>
      <c r="E30" s="47" t="s">
        <v>133</v>
      </c>
    </row>
    <row r="31" customFormat="false" ht="14.25" hidden="false" customHeight="false" outlineLevel="0" collapsed="false">
      <c r="A31" s="49" t="s">
        <v>48</v>
      </c>
      <c r="B31" s="49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6"/>
      <c r="D31" s="49" t="n">
        <v>3.9</v>
      </c>
      <c r="E31" s="47" t="s">
        <v>134</v>
      </c>
    </row>
    <row r="32" customFormat="false" ht="14.25" hidden="false" customHeight="false" outlineLevel="0" collapsed="false">
      <c r="A32" s="49" t="s">
        <v>90</v>
      </c>
      <c r="B32" s="49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6"/>
      <c r="D32" s="49" t="n">
        <v>3.7</v>
      </c>
      <c r="E32" s="47" t="s">
        <v>135</v>
      </c>
    </row>
    <row r="33" customFormat="false" ht="14.25" hidden="false" customHeight="false" outlineLevel="0" collapsed="false">
      <c r="A33" s="49" t="s">
        <v>46</v>
      </c>
      <c r="B33" s="50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6"/>
      <c r="D33" s="50" t="n">
        <v>4</v>
      </c>
      <c r="E33" s="47" t="s">
        <v>136</v>
      </c>
    </row>
    <row r="34" customFormat="false" ht="14.25" hidden="false" customHeight="false" outlineLevel="0" collapsed="false">
      <c r="A34" s="49" t="s">
        <v>92</v>
      </c>
      <c r="B34" s="50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6"/>
      <c r="D34" s="50" t="n">
        <v>2.9</v>
      </c>
      <c r="E34" s="47" t="s">
        <v>137</v>
      </c>
    </row>
    <row r="35" customFormat="false" ht="28.35" hidden="false" customHeight="false" outlineLevel="0" collapsed="false">
      <c r="A35" s="49" t="s">
        <v>40</v>
      </c>
      <c r="B35" s="50" t="n">
        <f aca="false">IFERROR(LOOKUP(2,1/(('Game Log Season 3'!$C$3:$C$1000="Mateo")*('Game Log Season 3'!$D$3:$D$1000=A35)*('Game Log Season 3'!$X$3:$X$1000&lt;&gt;"")),'Game Log Season 3'!$X$3:$X$1000), D35)</f>
        <v>3.935</v>
      </c>
      <c r="C35" s="46" t="s">
        <v>138</v>
      </c>
      <c r="D35" s="50" t="n">
        <v>3.9</v>
      </c>
      <c r="E35" s="47" t="s">
        <v>139</v>
      </c>
    </row>
    <row r="36" customFormat="false" ht="14.25" hidden="false" customHeight="false" outlineLevel="0" collapsed="false">
      <c r="A36" s="49" t="s">
        <v>140</v>
      </c>
      <c r="B36" s="49" t="n">
        <f aca="false">IFERROR(LOOKUP(2,1/(('Game Log Season 3'!$C$3:$C$1000="Mateo")*('Game Log Season 3'!$D$3:$D$1000=A36)*('Game Log Season 3'!$X$3:$X$1000&lt;&gt;"")),'Game Log Season 3'!$X$3:$X$1000), D36)</f>
        <v>3</v>
      </c>
      <c r="C36" s="46"/>
      <c r="D36" s="49" t="n">
        <v>3</v>
      </c>
      <c r="E36" s="47" t="s">
        <v>141</v>
      </c>
    </row>
    <row r="37" customFormat="false" ht="14.25" hidden="false" customHeight="false" outlineLevel="0" collapsed="false">
      <c r="A37" s="49" t="s">
        <v>93</v>
      </c>
      <c r="B37" s="49" t="n">
        <f aca="false">IFERROR(LOOKUP(2,1/(('Game Log Season 3'!$C$3:$C$1000="Mateo")*('Game Log Season 3'!$D$3:$D$1000=A37)*('Game Log Season 3'!$X$3:$X$1000&lt;&gt;"")),'Game Log Season 3'!$X$3:$X$1000), D37)</f>
        <v>2</v>
      </c>
      <c r="C37" s="46"/>
      <c r="D37" s="49" t="n">
        <v>2</v>
      </c>
      <c r="E37" s="47" t="s">
        <v>142</v>
      </c>
    </row>
    <row r="38" customFormat="false" ht="14.25" hidden="false" customHeight="false" outlineLevel="0" collapsed="false">
      <c r="A38" s="49" t="s">
        <v>143</v>
      </c>
      <c r="B38" s="49" t="n">
        <f aca="false">IFERROR(LOOKUP(2,1/(('Game Log Season 3'!$C$3:$C$1000="Mateo")*('Game Log Season 3'!$D$3:$D$1000=A38)*('Game Log Season 3'!$X$3:$X$1000&lt;&gt;"")),'Game Log Season 3'!$X$3:$X$1000), D38)</f>
        <v>3.9</v>
      </c>
      <c r="C38" s="46"/>
      <c r="D38" s="49" t="n">
        <v>3.9</v>
      </c>
      <c r="E38" s="47" t="s">
        <v>144</v>
      </c>
    </row>
    <row r="39" customFormat="false" ht="14.25" hidden="false" customHeight="false" outlineLevel="0" collapsed="false">
      <c r="A39" s="49" t="s">
        <v>66</v>
      </c>
      <c r="B39" s="49" t="n">
        <f aca="false">IFERROR(LOOKUP(2,1/(('Game Log Season 3'!$C$3:$C$1000="Mateo")*('Game Log Season 3'!$D$3:$D$1000=A39)*('Game Log Season 3'!$X$3:$X$1000&lt;&gt;"")),'Game Log Season 3'!$X$3:$X$1000), D39)</f>
        <v>2.6</v>
      </c>
      <c r="C39" s="46"/>
      <c r="D39" s="49" t="n">
        <v>2.6</v>
      </c>
      <c r="E39" s="47" t="s">
        <v>145</v>
      </c>
    </row>
    <row r="40" customFormat="false" ht="14.25" hidden="false" customHeight="false" outlineLevel="0" collapsed="false">
      <c r="A40" s="47" t="s">
        <v>32</v>
      </c>
      <c r="B40" s="48" t="n">
        <f aca="false">AVERAGE(B41:B54)</f>
        <v>3.33502182539683</v>
      </c>
      <c r="C40" s="46"/>
    </row>
    <row r="41" customFormat="false" ht="14.25" hidden="false" customHeight="false" outlineLevel="0" collapsed="false">
      <c r="A41" s="49" t="s">
        <v>36</v>
      </c>
      <c r="B41" s="49" t="n">
        <f aca="false">IFERROR(LOOKUP(2,1/(('Game Log Season 3'!$C$3:$C$1000="Ryan")*('Game Log Season 3'!$D$3:$D$1000=A41)*('Game Log Season 3'!$X$3:$X$1000&lt;&gt;"")),'Game Log Season 3'!$X$3:$X$1000), D41)</f>
        <v>3.5</v>
      </c>
      <c r="C41" s="46"/>
      <c r="D41" s="49" t="n">
        <v>3.5</v>
      </c>
      <c r="E41" s="47" t="s">
        <v>146</v>
      </c>
    </row>
    <row r="42" customFormat="false" ht="14.25" hidden="false" customHeight="false" outlineLevel="0" collapsed="false">
      <c r="A42" s="49" t="s">
        <v>62</v>
      </c>
      <c r="B42" s="49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6"/>
      <c r="D42" s="49" t="n">
        <v>3.4</v>
      </c>
      <c r="E42" s="47" t="s">
        <v>147</v>
      </c>
    </row>
    <row r="43" customFormat="false" ht="14.25" hidden="false" customHeight="false" outlineLevel="0" collapsed="false">
      <c r="A43" s="49" t="s">
        <v>33</v>
      </c>
      <c r="B43" s="49" t="n">
        <f aca="false">IFERROR(LOOKUP(2,1/(('Game Log Season 3'!$C$3:$C$1000="Ryan")*('Game Log Season 3'!$D$3:$D$1000=A43)*('Game Log Season 3'!$X$3:$X$1000&lt;&gt;"")),'Game Log Season 3'!$X$3:$X$1000), D43)</f>
        <v>3.7</v>
      </c>
      <c r="C43" s="46"/>
      <c r="D43" s="49" t="n">
        <v>3.7</v>
      </c>
      <c r="E43" s="47" t="s">
        <v>148</v>
      </c>
    </row>
    <row r="44" customFormat="false" ht="14.25" hidden="false" customHeight="false" outlineLevel="0" collapsed="false">
      <c r="A44" s="49" t="s">
        <v>61</v>
      </c>
      <c r="B44" s="49" t="n">
        <f aca="false">IFERROR(LOOKUP(2,1/(('Game Log Season 3'!$C$3:$C$1000="Ryan")*('Game Log Season 3'!$D$3:$D$1000=A44)*('Game Log Season 3'!$X$3:$X$1000&lt;&gt;"")),'Game Log Season 3'!$X$3:$X$1000), D44)</f>
        <v>2.6</v>
      </c>
      <c r="C44" s="46"/>
      <c r="D44" s="49" t="n">
        <v>2.6</v>
      </c>
      <c r="E44" s="47" t="s">
        <v>149</v>
      </c>
    </row>
    <row r="45" customFormat="false" ht="14.25" hidden="false" customHeight="false" outlineLevel="0" collapsed="false">
      <c r="A45" s="49" t="s">
        <v>41</v>
      </c>
      <c r="B45" s="49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6"/>
      <c r="D45" s="49" t="n">
        <v>3.8</v>
      </c>
      <c r="E45" s="47" t="s">
        <v>151</v>
      </c>
    </row>
    <row r="46" customFormat="false" ht="14.25" hidden="false" customHeight="false" outlineLevel="0" collapsed="false">
      <c r="A46" s="49" t="s">
        <v>79</v>
      </c>
      <c r="B46" s="49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6"/>
      <c r="D46" s="49" t="n">
        <v>2.6</v>
      </c>
      <c r="E46" s="47" t="s">
        <v>152</v>
      </c>
    </row>
    <row r="47" customFormat="false" ht="14.25" hidden="false" customHeight="false" outlineLevel="0" collapsed="false">
      <c r="A47" s="49" t="s">
        <v>54</v>
      </c>
      <c r="B47" s="49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6"/>
      <c r="D47" s="49" t="n">
        <v>3.6</v>
      </c>
      <c r="E47" s="47" t="s">
        <v>153</v>
      </c>
    </row>
    <row r="48" customFormat="false" ht="14.25" hidden="false" customHeight="false" outlineLevel="0" collapsed="false">
      <c r="A48" s="49" t="s">
        <v>87</v>
      </c>
      <c r="B48" s="49" t="n">
        <f aca="false">IFERROR(LOOKUP(2,1/(('Game Log Season 3'!$C$3:$C$1000="Ryan")*('Game Log Season 3'!$D$3:$D$1000=A48)*('Game Log Season 3'!$X$3:$X$1000&lt;&gt;"")),'Game Log Season 3'!$X$3:$X$1000), D48)</f>
        <v>2.6</v>
      </c>
      <c r="C48" s="46"/>
      <c r="D48" s="49" t="n">
        <v>2.6</v>
      </c>
      <c r="E48" s="47" t="s">
        <v>154</v>
      </c>
    </row>
    <row r="49" customFormat="false" ht="14.25" hidden="false" customHeight="false" outlineLevel="0" collapsed="false">
      <c r="A49" s="49" t="s">
        <v>89</v>
      </c>
      <c r="B49" s="49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6"/>
      <c r="D49" s="49" t="n">
        <v>3.6</v>
      </c>
    </row>
    <row r="50" customFormat="false" ht="14.25" hidden="false" customHeight="false" outlineLevel="0" collapsed="false">
      <c r="A50" s="49" t="s">
        <v>94</v>
      </c>
      <c r="B50" s="49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6"/>
      <c r="D50" s="49" t="n">
        <v>2.9</v>
      </c>
      <c r="E50" s="47" t="s">
        <v>155</v>
      </c>
    </row>
    <row r="51" customFormat="false" ht="14.25" hidden="false" customHeight="false" outlineLevel="0" collapsed="false">
      <c r="A51" s="49" t="s">
        <v>97</v>
      </c>
      <c r="B51" s="49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6"/>
      <c r="D51" s="49" t="n">
        <v>3.9</v>
      </c>
      <c r="E51" s="47" t="s">
        <v>156</v>
      </c>
    </row>
    <row r="52" customFormat="false" ht="14.25" hidden="false" customHeight="false" outlineLevel="0" collapsed="false">
      <c r="A52" s="49" t="s">
        <v>157</v>
      </c>
      <c r="B52" s="49" t="n">
        <f aca="false">IFERROR(LOOKUP(2,1/(('Game Log Season 3'!$C$3:$C$1000="Ryan")*('Game Log Season 3'!$D$3:$D$1000=A52)*('Game Log Season 3'!$X$3:$X$1000&lt;&gt;"")),'Game Log Season 3'!$X$3:$X$1000), D52)</f>
        <v>3.7</v>
      </c>
      <c r="C52" s="46"/>
      <c r="D52" s="49" t="n">
        <v>3.7</v>
      </c>
      <c r="E52" s="47" t="s">
        <v>158</v>
      </c>
    </row>
    <row r="53" customFormat="false" ht="14.25" hidden="false" customHeight="false" outlineLevel="0" collapsed="false">
      <c r="A53" s="49" t="s">
        <v>43</v>
      </c>
      <c r="B53" s="49" t="n">
        <f aca="false">IFERROR(LOOKUP(2,1/(('Game Log Season 3'!$C$3:$C$1000="Ryan")*('Game Log Season 3'!$D$3:$D$1000=A53)*('Game Log Season 3'!$X$3:$X$1000&lt;&gt;"")),'Game Log Season 3'!$X$3:$X$1000), D53)</f>
        <v>3.2</v>
      </c>
      <c r="C53" s="46"/>
      <c r="D53" s="49" t="n">
        <v>3.2</v>
      </c>
      <c r="E53" s="47" t="s">
        <v>159</v>
      </c>
    </row>
    <row r="54" customFormat="false" ht="14.25" hidden="false" customHeight="false" outlineLevel="0" collapsed="false">
      <c r="A54" s="49" t="s">
        <v>160</v>
      </c>
      <c r="B54" s="49" t="n">
        <f aca="false">IFERROR(LOOKUP(2,1/(('Game Log Season 3'!$C$3:$C$1000="Ryan")*('Game Log Season 3'!$D$3:$D$1000=A54)*('Game Log Season 3'!$X$3:$X$1000&lt;&gt;"")),'Game Log Season 3'!$X$3:$X$1000), D54)</f>
        <v>3.9</v>
      </c>
      <c r="C54" s="46"/>
      <c r="D54" s="49" t="n">
        <v>3.9</v>
      </c>
      <c r="E54" s="47" t="s">
        <v>161</v>
      </c>
    </row>
    <row r="55" customFormat="false" ht="14.25" hidden="false" customHeight="false" outlineLevel="0" collapsed="false">
      <c r="A55" s="47" t="s">
        <v>70</v>
      </c>
      <c r="B55" s="48" t="n">
        <f aca="false">AVERAGE(B56:B60)</f>
        <v>3.2865</v>
      </c>
      <c r="C55" s="46"/>
    </row>
    <row r="56" customFormat="false" ht="14.25" hidden="false" customHeight="false" outlineLevel="0" collapsed="false">
      <c r="A56" s="49" t="s">
        <v>71</v>
      </c>
      <c r="B56" s="49" t="n">
        <f aca="false">IFERROR(LOOKUP(2,1/(('Game Log Season 3'!$C$3:$C$1000="Kristy")*('Game Log Season 3'!$D$3:$D$1000=A56)*('Game Log Season 3'!$X$3:$X$1000&lt;&gt;"")),'Game Log Season 3'!$X$3:$X$1000), D56)</f>
        <v>3.6</v>
      </c>
      <c r="C56" s="46" t="s">
        <v>125</v>
      </c>
      <c r="D56" s="49" t="n">
        <v>3.6</v>
      </c>
    </row>
    <row r="57" customFormat="false" ht="14.25" hidden="false" customHeight="false" outlineLevel="0" collapsed="false">
      <c r="A57" s="49" t="s">
        <v>57</v>
      </c>
      <c r="B57" s="49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6" t="s">
        <v>125</v>
      </c>
      <c r="D57" s="49" t="n">
        <v>3.3</v>
      </c>
    </row>
    <row r="58" customFormat="false" ht="14.25" hidden="false" customHeight="false" outlineLevel="0" collapsed="false">
      <c r="A58" s="49" t="s">
        <v>78</v>
      </c>
      <c r="B58" s="49" t="n">
        <f aca="false">IFERROR(LOOKUP(2,1/(('Game Log Season 3'!$C$3:$C$1000="Kristy")*('Game Log Season 3'!$D$3:$D$1000=A58)*('Game Log Season 3'!$X$3:$X$1000&lt;&gt;"")),'Game Log Season 3'!$X$3:$X$1000), D58)</f>
        <v>3.2</v>
      </c>
      <c r="C58" s="46"/>
      <c r="D58" s="49" t="n">
        <v>3.2</v>
      </c>
    </row>
    <row r="59" customFormat="false" ht="28.35" hidden="false" customHeight="false" outlineLevel="0" collapsed="false">
      <c r="A59" s="49" t="s">
        <v>85</v>
      </c>
      <c r="B59" s="49" t="n">
        <f aca="false">IFERROR(LOOKUP(2,1/(('Game Log Season 3'!$C$3:$C$1000="Kristy")*('Game Log Season 3'!$D$3:$D$1000=A59)*('Game Log Season 3'!$X$3:$X$1000&lt;&gt;"")),'Game Log Season 3'!$X$3:$X$1000), D59)</f>
        <v>3.9</v>
      </c>
      <c r="C59" s="46" t="s">
        <v>138</v>
      </c>
      <c r="D59" s="49" t="n">
        <v>3.9</v>
      </c>
    </row>
    <row r="60" customFormat="false" ht="14.25" hidden="false" customHeight="false" outlineLevel="0" collapsed="false">
      <c r="A60" s="49" t="s">
        <v>93</v>
      </c>
      <c r="B60" s="49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6"/>
      <c r="D60" s="49" t="n">
        <v>2.4</v>
      </c>
    </row>
    <row r="61" customFormat="false" ht="14.25" hidden="false" customHeight="false" outlineLevel="0" collapsed="false">
      <c r="A61" s="47" t="s">
        <v>38</v>
      </c>
      <c r="B61" s="48" t="n">
        <f aca="false">AVERAGE(B62:B66)</f>
        <v>3.42807</v>
      </c>
      <c r="C61" s="46"/>
    </row>
    <row r="62" customFormat="false" ht="14.25" hidden="false" customHeight="false" outlineLevel="0" collapsed="false">
      <c r="A62" s="49" t="s">
        <v>49</v>
      </c>
      <c r="B62" s="49" t="n">
        <f aca="false">IFERROR(LOOKUP(2,1/(('Game Log Season 3'!$C$3:$C$1000="Joseph")*('Game Log Season 3'!$D$3:$D$1000=A62)*('Game Log Season 3'!$X$3:$X$1000&lt;&gt;"")),'Game Log Season 3'!$X$3:$X$1000), D62)</f>
        <v>3.6</v>
      </c>
      <c r="C62" s="46"/>
      <c r="D62" s="49" t="n">
        <v>3.6</v>
      </c>
    </row>
    <row r="63" customFormat="false" ht="14.25" hidden="false" customHeight="false" outlineLevel="0" collapsed="false">
      <c r="A63" s="49" t="s">
        <v>76</v>
      </c>
      <c r="B63" s="49" t="n">
        <f aca="false">IFERROR(LOOKUP(2,1/(('Game Log Season 3'!$C$3:$C$1000="Joseph")*('Game Log Season 3'!$D$3:$D$1000=A63)*('Game Log Season 3'!$X$3:$X$1000&lt;&gt;"")),'Game Log Season 3'!$X$3:$X$1000), D63)</f>
        <v>3.8</v>
      </c>
      <c r="C63" s="46"/>
      <c r="D63" s="49" t="n">
        <v>3.8</v>
      </c>
    </row>
    <row r="64" customFormat="false" ht="14.25" hidden="false" customHeight="false" outlineLevel="0" collapsed="false">
      <c r="A64" s="49" t="s">
        <v>77</v>
      </c>
      <c r="B64" s="49" t="n">
        <f aca="false">IFERROR(LOOKUP(2,1/(('Game Log Season 3'!$C$3:$C$1000="Joseph")*('Game Log Season 3'!$D$3:$D$1000=A64)*('Game Log Season 3'!$X$3:$X$1000&lt;&gt;"")),'Game Log Season 3'!$X$3:$X$1000), D64)</f>
        <v>2.7</v>
      </c>
      <c r="C64" s="46"/>
      <c r="D64" s="49" t="n">
        <v>2.7</v>
      </c>
    </row>
    <row r="65" customFormat="false" ht="14.25" hidden="false" customHeight="false" outlineLevel="0" collapsed="false">
      <c r="A65" s="49" t="s">
        <v>64</v>
      </c>
      <c r="B65" s="49" t="n">
        <f aca="false">IFERROR(LOOKUP(2,1/(('Game Log Season 3'!$C$3:$C$1000="Joseph")*('Game Log Season 3'!$D$3:$D$1000=A65)*('Game Log Season 3'!$X$3:$X$1000&lt;&gt;"")),'Game Log Season 3'!$X$3:$X$1000), D65)</f>
        <v>3.3</v>
      </c>
      <c r="C65" s="46"/>
      <c r="D65" s="49" t="n">
        <v>3.3</v>
      </c>
    </row>
    <row r="66" customFormat="false" ht="14.25" hidden="false" customHeight="false" outlineLevel="0" collapsed="false">
      <c r="A66" s="49" t="s">
        <v>63</v>
      </c>
      <c r="B66" s="49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6"/>
      <c r="D66" s="49" t="n">
        <v>3.7</v>
      </c>
    </row>
    <row r="67" customFormat="false" ht="14.25" hidden="false" customHeight="false" outlineLevel="0" collapsed="false">
      <c r="A67" s="47" t="s">
        <v>59</v>
      </c>
      <c r="B67" s="48" t="n">
        <f aca="false">AVERAGE(B68:B69)</f>
        <v>3.05</v>
      </c>
      <c r="C67" s="46"/>
    </row>
    <row r="68" customFormat="false" ht="14.25" hidden="false" customHeight="false" outlineLevel="0" collapsed="false">
      <c r="A68" s="49" t="s">
        <v>33</v>
      </c>
      <c r="B68" s="49" t="n">
        <f aca="false">IFERROR(LOOKUP(2,1/(('Game Log Season 3'!$C$3:$C$1000="Red")*('Game Log Season 3'!$D$3:$D$1000=A68)*('Game Log Season 3'!$X$3:$X$1000&lt;&gt;"")),'Game Log Season 3'!$X$3:$X$1000), D68)</f>
        <v>2.7</v>
      </c>
      <c r="C68" s="46"/>
      <c r="D68" s="49" t="n">
        <v>2.7</v>
      </c>
      <c r="E68" s="47" t="s">
        <v>162</v>
      </c>
    </row>
    <row r="69" customFormat="false" ht="14.25" hidden="false" customHeight="false" outlineLevel="0" collapsed="false">
      <c r="A69" s="49" t="s">
        <v>69</v>
      </c>
      <c r="B69" s="49" t="n">
        <f aca="false">IFERROR(LOOKUP(2,1/(('Game Log Season 3'!$C$3:$C$1000="Red")*('Game Log Season 3'!$D$3:$D$1000=A69)*('Game Log Season 3'!$X$3:$X$1000&lt;&gt;"")),'Game Log Season 3'!$X$3:$X$1000), D69)</f>
        <v>3.4</v>
      </c>
      <c r="C69" s="46"/>
      <c r="D69" s="49" t="n">
        <v>3.4</v>
      </c>
      <c r="E69" s="47" t="s">
        <v>163</v>
      </c>
    </row>
    <row r="70" customFormat="false" ht="14.25" hidden="false" customHeight="false" outlineLevel="0" collapsed="false">
      <c r="A70" s="49" t="s">
        <v>84</v>
      </c>
      <c r="B70" s="50" t="n">
        <f aca="false">IFERROR(LOOKUP(2,1/(('Game Log Season 3'!$C$3:$C$1000="Red")*('Game Log Season 3'!$D$3:$D$1000=A70)*('Game Log Season 3'!$X$3:$X$1000&lt;&gt;"")),'Game Log Season 3'!$X$3:$X$1000), D70)</f>
        <v>1</v>
      </c>
      <c r="C70" s="46"/>
      <c r="D70" s="50" t="n">
        <v>1</v>
      </c>
      <c r="E70" s="47" t="s">
        <v>164</v>
      </c>
    </row>
    <row r="71" customFormat="false" ht="14.25" hidden="false" customHeight="false" outlineLevel="0" collapsed="false">
      <c r="A71" s="47" t="s">
        <v>51</v>
      </c>
      <c r="B71" s="48" t="n">
        <f aca="false">AVERAGE(B72:B73)</f>
        <v>2.25194444444444</v>
      </c>
      <c r="C71" s="46"/>
    </row>
    <row r="72" customFormat="false" ht="14.25" hidden="false" customHeight="false" outlineLevel="0" collapsed="false">
      <c r="A72" s="49" t="s">
        <v>52</v>
      </c>
      <c r="B72" s="49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6"/>
      <c r="D72" s="49" t="n">
        <v>2.5</v>
      </c>
    </row>
    <row r="73" customFormat="false" ht="14.25" hidden="false" customHeight="false" outlineLevel="0" collapsed="false">
      <c r="A73" s="49" t="s">
        <v>86</v>
      </c>
      <c r="B73" s="49" t="n">
        <f aca="false">IFERROR(LOOKUP(2,1/(('Game Log Season 3'!$C$3:$C$1000="Michelle")*('Game Log Season 3'!$D$3:$D$1000=A73)*('Game Log Season 3'!$X$3:$X$1000&lt;&gt;"")),'Game Log Season 3'!$X$3:$X$1000), D73)</f>
        <v>2.2</v>
      </c>
      <c r="C73" s="46"/>
      <c r="D73" s="49" t="n">
        <v>2.2</v>
      </c>
      <c r="E73" s="47" t="s">
        <v>165</v>
      </c>
    </row>
    <row r="74" customFormat="false" ht="14.25" hidden="false" customHeight="false" outlineLevel="0" collapsed="false">
      <c r="A74" s="49" t="s">
        <v>96</v>
      </c>
      <c r="B74" s="49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166</v>
      </c>
      <c r="B1" s="45" t="s">
        <v>167</v>
      </c>
      <c r="C1" s="45" t="s">
        <v>168</v>
      </c>
      <c r="D1" s="45" t="s">
        <v>169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9" t="s">
        <v>120</v>
      </c>
      <c r="B19" s="49" t="n">
        <f aca="false">COUNTIFS('Game Log Season 3'!$C$3:$C$1000,"Manny",'Game Log Season 3'!$D$3:$D$1000,A19)</f>
        <v>0</v>
      </c>
      <c r="C19" s="49" t="n">
        <f aca="false">COUNTIFS('Game Log Season 3'!$C$3:$C$1000,"Manny",'Game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122</v>
      </c>
      <c r="B20" s="49" t="n">
        <f aca="false">COUNTIFS('Game Log Season 3'!$C$3:$C$1000,"Manny",'Game Log Season 3'!$D$3:$D$1000,A20)</f>
        <v>0</v>
      </c>
      <c r="C20" s="49" t="n">
        <f aca="false">COUNTIFS('Game Log Season 3'!$C$3:$C$1000,"Manny",'Game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124</v>
      </c>
      <c r="B21" s="49" t="n">
        <f aca="false">COUNTIFS('Game Log Season 3'!$C$3:$C$1000,"Manny",'Game Log Season 3'!$D$3:$D$1000,A21)</f>
        <v>0</v>
      </c>
      <c r="C21" s="49" t="n">
        <f aca="false">COUNTIFS('Game Log Season 3'!$C$3:$C$1000,"Manny",'Game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7" t="s">
        <v>30</v>
      </c>
      <c r="B22" s="48" t="n">
        <f aca="false">COUNTIFS('Game Log Season 3'!$C$3:$C$1000,A22)</f>
        <v>12</v>
      </c>
      <c r="C22" s="48" t="n">
        <f aca="false">COUNTIFS('Game Log Season 3'!$C$3:$C$1000,A22,'Game Log Season 3'!$F$3:$F$1000,1)</f>
        <v>5</v>
      </c>
      <c r="D22" s="48" t="n">
        <f aca="false">IFERROR(C22/B22,0)</f>
        <v>0.416666666666667</v>
      </c>
    </row>
    <row r="23" customFormat="false" ht="14.25" hidden="false" customHeight="false" outlineLevel="0" collapsed="false">
      <c r="A23" s="49" t="s">
        <v>73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31</v>
      </c>
      <c r="B24" s="49" t="n">
        <f aca="false">COUNTIFS('Game Log Season 3'!$C$3:$C$1000,"Mateo",'Game Log Season 3'!$D$3:$D$1000,A24)</f>
        <v>1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34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74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57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80</v>
      </c>
      <c r="B28" s="49" t="n">
        <f aca="false">COUNTIFS('Game Log Season 3'!$C$3:$C$1000,"Mateo",'Game Log Season 3'!$D$3:$D$1000,A28)</f>
        <v>0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81</v>
      </c>
      <c r="B29" s="49" t="n">
        <f aca="false">COUNTIFS('Game Log Season 3'!$C$3:$C$1000,"Mateo",'Game Log Season 3'!$D$3:$D$1000,A29)</f>
        <v>0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83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48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90</v>
      </c>
      <c r="B32" s="49" t="n">
        <f aca="false">COUNTIFS('Game Log Season 3'!$C$3:$C$1000,"Mateo",'Game Log Season 3'!$D$3:$D$1000,A32)</f>
        <v>4</v>
      </c>
      <c r="C32" s="49" t="n">
        <f aca="false">COUNTIFS('Game Log Season 3'!$C$3:$C$1000,"Mateo",'Game Log Season 3'!$D$3:$D$1000,A32,'Game Log Season 3'!$F$3:$F$1000,1)</f>
        <v>0</v>
      </c>
      <c r="D32" s="49" t="n">
        <f aca="false">IFERROR(C32/B32,0)</f>
        <v>0</v>
      </c>
    </row>
    <row r="33" customFormat="false" ht="14.25" hidden="false" customHeight="false" outlineLevel="0" collapsed="false">
      <c r="A33" s="49" t="s">
        <v>46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9" t="s">
        <v>92</v>
      </c>
      <c r="B34" s="49" t="n">
        <f aca="false">COUNTIFS('Game Log Season 3'!$C$3:$C$1000,"Mateo",'Game Log Season 3'!$D$3:$D$1000,A34)</f>
        <v>3</v>
      </c>
      <c r="C34" s="49" t="n">
        <f aca="false">COUNTIFS('Game Log Season 3'!$C$3:$C$1000,"Mateo",'Game Log Season 3'!$D$3:$D$1000,A34,'Game Log Season 3'!$F$3:$F$1000,1)</f>
        <v>2</v>
      </c>
      <c r="D34" s="49" t="n">
        <f aca="false">IFERROR(C34/B34,0)</f>
        <v>0.666666666666667</v>
      </c>
    </row>
    <row r="35" customFormat="false" ht="14.25" hidden="false" customHeight="false" outlineLevel="0" collapsed="false">
      <c r="A35" s="49" t="s">
        <v>40</v>
      </c>
      <c r="B35" s="49" t="n">
        <f aca="false">COUNTIFS('Game Log Season 3'!$C$3:$C$1000,"Mateo",'Game Log Season 3'!$D$3:$D$1000,A35)</f>
        <v>1</v>
      </c>
      <c r="C35" s="49" t="n">
        <f aca="false">COUNTIFS('Game Log Season 3'!$C$3:$C$1000,"Mateo",'Game Log Season 3'!$D$3:$D$1000,A35,'Game Log Season 3'!$F$3:$F$1000,1)</f>
        <v>1</v>
      </c>
      <c r="D35" s="49" t="n">
        <f aca="false">IFERROR(C35/B35,0)</f>
        <v>1</v>
      </c>
    </row>
    <row r="36" customFormat="false" ht="14.25" hidden="false" customHeight="false" outlineLevel="0" collapsed="false">
      <c r="A36" s="49" t="s">
        <v>140</v>
      </c>
      <c r="B36" s="49" t="n">
        <f aca="false">COUNTIFS('Game Log Season 3'!$C$3:$C$1000,"Mateo",'Game Log Season 3'!$D$3:$D$1000,A36)</f>
        <v>0</v>
      </c>
      <c r="C36" s="49" t="n">
        <f aca="false">COUNTIFS('Game Log Season 3'!$C$3:$C$1000,"Mateo",'Game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93</v>
      </c>
      <c r="B37" s="49" t="n">
        <f aca="false">COUNTIFS('Game Log Season 3'!$C$3:$C$1000,"Mateo",'Game Log Season 3'!$D$3:$D$1000,A37)</f>
        <v>0</v>
      </c>
      <c r="C37" s="49" t="n">
        <f aca="false">COUNTIFS('Game Log Season 3'!$C$3:$C$1000,"Mateo",'Game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143</v>
      </c>
      <c r="B38" s="49" t="n">
        <f aca="false">COUNTIFS('Game Log Season 3'!$C$3:$C$1000,"Mateo",'Game Log Season 3'!$D$3:$D$1000,A38)</f>
        <v>0</v>
      </c>
      <c r="C38" s="49" t="n">
        <f aca="false">COUNTIFS('Game Log Season 3'!$C$3:$C$1000,"Mateo",'Game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66</v>
      </c>
      <c r="B39" s="49" t="n">
        <f aca="false">COUNTIFS('Game Log Season 3'!$C$3:$C$1000,"Mateo",'Game Log Season 3'!$D$3:$D$1000,A39)</f>
        <v>0</v>
      </c>
      <c r="C39" s="49" t="n">
        <f aca="false">COUNTIFS('Game Log Season 3'!$C$3:$C$1000,"Mateo",'Game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7" t="s">
        <v>32</v>
      </c>
      <c r="B40" s="48" t="n">
        <f aca="false">COUNTIFS('Game Log Season 3'!$C$3:$C$1000,A40)</f>
        <v>11</v>
      </c>
      <c r="C40" s="48" t="n">
        <f aca="false">COUNTIFS('Game Log Season 3'!$C$3:$C$1000,A40,'Game Log Season 3'!$F$3:$F$1000,1)</f>
        <v>3</v>
      </c>
      <c r="D40" s="48" t="n">
        <f aca="false">IFERROR(C40/B40,0)</f>
        <v>0.272727272727273</v>
      </c>
    </row>
    <row r="41" customFormat="false" ht="14.25" hidden="false" customHeight="false" outlineLevel="0" collapsed="false">
      <c r="A41" s="49" t="s">
        <v>36</v>
      </c>
      <c r="B41" s="49" t="n">
        <f aca="false">COUNTIFS('Game Log Season 3'!$C$3:$C$1000,"Ryan",'Game Log Season 3'!$D$3:$D$1000,A41)</f>
        <v>0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62</v>
      </c>
      <c r="B42" s="49" t="n">
        <f aca="false">COUNTIFS('Game Log Season 3'!$C$3:$C$1000,"Ryan",'Game Log Season 3'!$D$3:$D$1000,A42)</f>
        <v>1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33</v>
      </c>
      <c r="B43" s="49" t="n">
        <f aca="false">COUNTIFS('Game Log Season 3'!$C$3:$C$1000,"Ryan",'Game Log Season 3'!$D$3:$D$1000,A43)</f>
        <v>0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61</v>
      </c>
      <c r="B44" s="49" t="n">
        <f aca="false">COUNTIFS('Game Log Season 3'!$C$3:$C$1000,"Ryan",'Game Log Season 3'!$D$3:$D$1000,A44)</f>
        <v>0</v>
      </c>
      <c r="C44" s="49" t="n">
        <f aca="false">COUNTIFS('Game Log Season 3'!$C$3:$C$1000,"Ryan",'Game Log Season 3'!$D$3:$D$1000,A44,'Game Log Season 3'!$F$3:$F$1000,1)</f>
        <v>0</v>
      </c>
      <c r="D44" s="49" t="n">
        <f aca="false">IFERROR(C44/B44,0)</f>
        <v>0</v>
      </c>
    </row>
    <row r="45" customFormat="false" ht="14.25" hidden="false" customHeight="false" outlineLevel="0" collapsed="false">
      <c r="A45" s="49" t="s">
        <v>41</v>
      </c>
      <c r="B45" s="49" t="n">
        <f aca="false">COUNTIFS('Game Log Season 3'!$C$3:$C$1000,"Ryan",'Game Log Season 3'!$D$3:$D$1000,A45)</f>
        <v>1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1</v>
      </c>
    </row>
    <row r="46" customFormat="false" ht="14.25" hidden="false" customHeight="false" outlineLevel="0" collapsed="false">
      <c r="A46" s="49" t="s">
        <v>79</v>
      </c>
      <c r="B46" s="49" t="n">
        <f aca="false">COUNTIFS('Game Log Season 3'!$C$3:$C$1000,"Ryan",'Game Log Season 3'!$D$3:$D$1000,A46)</f>
        <v>1</v>
      </c>
      <c r="C46" s="49" t="n">
        <f aca="false">COUNTIFS('Game Log Season 3'!$C$3:$C$1000,"Ryan",'Game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54</v>
      </c>
      <c r="B47" s="49" t="n">
        <f aca="false">COUNTIFS('Game Log Season 3'!$C$3:$C$1000,"Ryan",'Game Log Season 3'!$D$3:$D$1000,A47)</f>
        <v>2</v>
      </c>
      <c r="C47" s="49" t="n">
        <f aca="false">COUNTIFS('Game Log Season 3'!$C$3:$C$1000,"Ryan",'Game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87</v>
      </c>
      <c r="B48" s="49" t="n">
        <f aca="false">COUNTIFS('Game Log Season 3'!$C$3:$C$1000,"Ryan",'Game Log Season 3'!$D$3:$D$1000,A48)</f>
        <v>0</v>
      </c>
      <c r="C48" s="49" t="n">
        <f aca="false">COUNTIFS('Game Log Season 3'!$C$3:$C$1000,"Ryan",'Game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89</v>
      </c>
      <c r="B49" s="49" t="n">
        <f aca="false">COUNTIFS('Game Log Season 3'!$C$3:$C$1000,"Ryan",'Game Log Season 3'!$D$3:$D$1000,A49)</f>
        <v>2</v>
      </c>
      <c r="C49" s="49" t="n">
        <f aca="false">COUNTIFS('Game Log Season 3'!$C$3:$C$1000,"Ryan",'Game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94</v>
      </c>
      <c r="B50" s="49" t="n">
        <f aca="false">COUNTIFS('Game Log Season 3'!$C$3:$C$1000,"Ryan",'Game Log Season 3'!$D$3:$D$1000,A50)</f>
        <v>2</v>
      </c>
      <c r="C50" s="49" t="n">
        <f aca="false">COUNTIFS('Game Log Season 3'!$C$3:$C$1000,"Ryan",'Game Log Season 3'!$D$3:$D$1000,A50,'Game Log Season 3'!$F$3:$F$1000,1)</f>
        <v>1</v>
      </c>
      <c r="D50" s="49" t="n">
        <f aca="false">IFERROR(C50/B50,0)</f>
        <v>0.5</v>
      </c>
    </row>
    <row r="51" customFormat="false" ht="14.25" hidden="false" customHeight="false" outlineLevel="0" collapsed="false">
      <c r="A51" s="49" t="s">
        <v>97</v>
      </c>
      <c r="B51" s="49" t="n">
        <f aca="false">COUNTIFS('Game Log Season 3'!$C$3:$C$1000,"Ryan",'Game Log Season 3'!$D$3:$D$1000,A51)</f>
        <v>2</v>
      </c>
      <c r="C51" s="49" t="n">
        <f aca="false">COUNTIFS('Game Log Season 3'!$C$3:$C$1000,"Ryan",'Game Log Season 3'!$D$3:$D$1000,A51,'Game Log Season 3'!$F$3:$F$1000,1)</f>
        <v>1</v>
      </c>
      <c r="D51" s="49" t="n">
        <f aca="false">IFERROR(C51/B51,0)</f>
        <v>0.5</v>
      </c>
    </row>
    <row r="52" customFormat="false" ht="14.25" hidden="false" customHeight="false" outlineLevel="0" collapsed="false">
      <c r="A52" s="49" t="s">
        <v>157</v>
      </c>
      <c r="B52" s="49" t="n">
        <f aca="false">COUNTIFS('Game Log Season 3'!$C$3:$C$1000,"Ryan",'Game Log Season 3'!$D$3:$D$1000,A52)</f>
        <v>0</v>
      </c>
      <c r="C52" s="49" t="n">
        <f aca="false">COUNTIFS('Game Log Season 3'!$C$3:$C$1000,"Ryan",'Game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43</v>
      </c>
      <c r="B53" s="49" t="n">
        <f aca="false">COUNTIFS('Game Log Season 3'!$C$3:$C$1000,"Ryan",'Game Log Season 3'!$D$3:$D$1000,A53)</f>
        <v>0</v>
      </c>
      <c r="C53" s="49" t="n">
        <f aca="false">COUNTIFS('Game Log Season 3'!$C$3:$C$1000,"Ryan",'Game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160</v>
      </c>
      <c r="B54" s="49" t="n">
        <f aca="false">COUNTIFS('Game Log Season 3'!$C$3:$C$1000,"Ryan",'Game Log Season 3'!$D$3:$D$1000,A54)</f>
        <v>0</v>
      </c>
      <c r="C54" s="49" t="n">
        <f aca="false">COUNTIFS('Game Log Season 3'!$C$3:$C$1000,"Ryan",'Game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7" t="s">
        <v>70</v>
      </c>
      <c r="B55" s="48" t="n">
        <f aca="false">COUNTIFS('Game Log Season 3'!$C$3:$C$1000,A55)</f>
        <v>2</v>
      </c>
      <c r="C55" s="48" t="n">
        <f aca="false">COUNTIFS('Game Log Season 3'!$C$3:$C$1000,A55,'Game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9" t="s">
        <v>71</v>
      </c>
      <c r="B56" s="49" t="n">
        <f aca="false">COUNTIFS('Game Log Season 3'!$C$3:$C$1000,"Kristy",'Game Log Season 3'!$D$3:$D$1000,A56)</f>
        <v>0</v>
      </c>
      <c r="C56" s="49" t="n">
        <f aca="false">COUNTIFS('Game Log Season 3'!$C$3:$C$1000,"Kristy",'Game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57</v>
      </c>
      <c r="B57" s="49" t="n">
        <f aca="false">COUNTIFS('Game Log Season 3'!$C$3:$C$1000,"Kristy",'Game Log Season 3'!$D$3:$D$1000,A57)</f>
        <v>1</v>
      </c>
      <c r="C57" s="49" t="n">
        <f aca="false">COUNTIFS('Game Log Season 3'!$C$3:$C$1000,"Kristy",'Game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78</v>
      </c>
      <c r="B58" s="49" t="n">
        <f aca="false">COUNTIFS('Game Log Season 3'!$C$3:$C$1000,"Kristy",'Game Log Season 3'!$D$3:$D$1000,A58)</f>
        <v>0</v>
      </c>
      <c r="C58" s="49" t="n">
        <f aca="false">COUNTIFS('Game Log Season 3'!$C$3:$C$1000,"Kristy",'Game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85</v>
      </c>
      <c r="B59" s="49" t="n">
        <f aca="false">COUNTIFS('Game Log Season 3'!$C$3:$C$1000,"Kristy",'Game Log Season 3'!$D$3:$D$1000,A59)</f>
        <v>0</v>
      </c>
      <c r="C59" s="49" t="n">
        <f aca="false">COUNTIFS('Game Log Season 3'!$C$3:$C$1000,"Kristy",'Game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93</v>
      </c>
      <c r="B60" s="49" t="n">
        <f aca="false">COUNTIFS('Game Log Season 3'!$C$3:$C$1000,"Kristy",'Game Log Season 3'!$D$3:$D$1000,A60)</f>
        <v>1</v>
      </c>
      <c r="C60" s="49" t="n">
        <f aca="false">COUNTIFS('Game Log Season 3'!$C$3:$C$1000,"Kristy",'Game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38</v>
      </c>
      <c r="B61" s="48" t="n">
        <f aca="false">COUNTIFS('Game Log Season 3'!$C$3:$C$1000,A61)</f>
        <v>1</v>
      </c>
      <c r="C61" s="48" t="n">
        <f aca="false">COUNTIFS('Game Log Season 3'!$C$3:$C$1000,A61,'Game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49</v>
      </c>
      <c r="B62" s="49" t="n">
        <f aca="false">COUNTIFS('Game Log Season 3'!$C$3:$C$1000,"Joseph",'Game Log Season 3'!$D$3:$D$1000,A62)</f>
        <v>0</v>
      </c>
      <c r="C62" s="49" t="n">
        <f aca="false">COUNTIFS('Game Log Season 3'!$C$3:$C$1000,"Joseph",'Game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76</v>
      </c>
      <c r="B63" s="49" t="n">
        <f aca="false">COUNTIFS('Game Log Season 3'!$C$3:$C$1000,"Joseph",'Game Log Season 3'!$D$3:$D$1000,A63)</f>
        <v>0</v>
      </c>
      <c r="C63" s="49" t="n">
        <f aca="false">COUNTIFS('Game Log Season 3'!$C$3:$C$1000,"Joseph",'Game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77</v>
      </c>
      <c r="B64" s="49" t="n">
        <f aca="false">COUNTIFS('Game Log Season 3'!$C$3:$C$1000,"Joseph",'Game Log Season 3'!$D$3:$D$1000,A64)</f>
        <v>0</v>
      </c>
      <c r="C64" s="49" t="n">
        <f aca="false">COUNTIFS('Game Log Season 3'!$C$3:$C$1000,"Joseph",'Game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64</v>
      </c>
      <c r="B65" s="49" t="n">
        <f aca="false">COUNTIFS('Game Log Season 3'!$C$3:$C$1000,"Joseph",'Game Log Season 3'!$D$3:$D$1000,A65)</f>
        <v>0</v>
      </c>
      <c r="C65" s="49" t="n">
        <f aca="false">COUNTIFS('Game Log Season 3'!$C$3:$C$1000,"Joseph",'Game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9" t="s">
        <v>63</v>
      </c>
      <c r="B66" s="49" t="n">
        <f aca="false">COUNTIFS('Game Log Season 3'!$C$3:$C$1000,"Joseph",'Game Log Season 3'!$D$3:$D$1000,A66)</f>
        <v>1</v>
      </c>
      <c r="C66" s="49" t="n">
        <f aca="false">COUNTIFS('Game Log Season 3'!$C$3:$C$1000,"Joseph",'Game Log Season 3'!$D$3:$D$1000,A66,'Game Log Season 3'!$F$3:$F$1000,1)</f>
        <v>0</v>
      </c>
      <c r="D66" s="49" t="n">
        <f aca="false">IFERROR(C66/B66,0)</f>
        <v>0</v>
      </c>
    </row>
    <row r="67" customFormat="false" ht="14.25" hidden="false" customHeight="false" outlineLevel="0" collapsed="false">
      <c r="A67" s="47" t="s">
        <v>59</v>
      </c>
      <c r="B67" s="48" t="n">
        <f aca="false">COUNTIFS('Game Log Season 3'!$C$3:$C$1000,A67)</f>
        <v>0</v>
      </c>
      <c r="C67" s="48" t="n">
        <f aca="false">COUNTIFS('Game Log Season 3'!$C$3:$C$1000,A67,'Game Log Season 3'!$F$3:$F$1000,1)</f>
        <v>0</v>
      </c>
      <c r="D67" s="48" t="n">
        <f aca="false">IFERROR(C67/B67,0)</f>
        <v>0</v>
      </c>
    </row>
    <row r="68" customFormat="false" ht="14.25" hidden="false" customHeight="false" outlineLevel="0" collapsed="false">
      <c r="A68" s="49" t="s">
        <v>33</v>
      </c>
      <c r="B68" s="49" t="n">
        <f aca="false">COUNTIFS('Game Log Season 3'!$C$3:$C$1000,"Red",'Game Log Season 3'!$D$3:$D$1000,A68)</f>
        <v>0</v>
      </c>
      <c r="C68" s="49" t="n">
        <f aca="false">COUNTIFS('Game Log Season 3'!$C$3:$C$1000,"Red",'Game Log Season 3'!$D$3:$D$1000,A68,'Game Log Season 3'!$F$3:$F$1000,1)</f>
        <v>0</v>
      </c>
      <c r="D68" s="49" t="n">
        <f aca="false">IFERROR(C68/B68,0)</f>
        <v>0</v>
      </c>
    </row>
    <row r="69" customFormat="false" ht="14.25" hidden="false" customHeight="false" outlineLevel="0" collapsed="false">
      <c r="A69" s="49" t="s">
        <v>69</v>
      </c>
      <c r="B69" s="49" t="n">
        <f aca="false">COUNTIFS('Game Log Season 3'!$C$3:$C$1000,"Red",'Game Log Season 3'!$D$3:$D$1000,A69)</f>
        <v>0</v>
      </c>
      <c r="C69" s="49" t="n">
        <f aca="false">COUNTIFS('Game Log Season 3'!$C$3:$C$1000,"Red",'Game Log Season 3'!$D$3:$D$1000,A69,'Game Log Season 3'!$F$3:$F$1000,1)</f>
        <v>0</v>
      </c>
      <c r="D69" s="49" t="n">
        <f aca="false">IFERROR(C69/B69,0)</f>
        <v>0</v>
      </c>
    </row>
    <row r="70" customFormat="false" ht="14.25" hidden="false" customHeight="false" outlineLevel="0" collapsed="false">
      <c r="A70" s="49" t="s">
        <v>84</v>
      </c>
      <c r="B70" s="49" t="n">
        <f aca="false">COUNTIFS('Game Log Season 3'!$C$3:$C$1000,"Red",'Game Log Season 3'!$D$3:$D$1000,A70)</f>
        <v>0</v>
      </c>
      <c r="C70" s="49" t="n">
        <f aca="false">COUNTIFS('Game Log Season 3'!$C$3:$C$1000,"Red",'Game Log Season 3'!$D$3:$D$1000,A70,'Game Log Season 3'!$F$3:$F$1000,1)</f>
        <v>0</v>
      </c>
      <c r="D70" s="49" t="n">
        <f aca="false">IFERROR(C70/B70,0)</f>
        <v>0</v>
      </c>
    </row>
    <row r="71" customFormat="false" ht="14.25" hidden="false" customHeight="false" outlineLevel="0" collapsed="false">
      <c r="A71" s="47" t="s">
        <v>51</v>
      </c>
      <c r="B71" s="48" t="n">
        <f aca="false">COUNTIFS('Game Log Season 3'!$C$3:$C$1000,A71)</f>
        <v>4</v>
      </c>
      <c r="C71" s="48" t="n">
        <f aca="false">COUNTIFS('Game Log Season 3'!$C$3:$C$1000,A71,'Game Log Season 3'!$F$3:$F$1000,1)</f>
        <v>0</v>
      </c>
      <c r="D71" s="48" t="n">
        <f aca="false">IFERROR(C71/B71,0)</f>
        <v>0</v>
      </c>
    </row>
    <row r="72" customFormat="false" ht="14.25" hidden="false" customHeight="false" outlineLevel="0" collapsed="false">
      <c r="A72" s="49" t="s">
        <v>52</v>
      </c>
      <c r="B72" s="49" t="n">
        <f aca="false">COUNTIFS('Game Log Season 3'!$C$3:$C$1000,"Michelle",'Game Log Season 3'!$D$3:$D$1000,A72)</f>
        <v>3</v>
      </c>
      <c r="C72" s="49" t="n">
        <f aca="false">COUNTIFS('Game Log Season 3'!$C$3:$C$1000,"Michelle",'Game Log Season 3'!$D$3:$D$1000,A72,'Game Log Season 3'!$F$3:$F$1000,1)</f>
        <v>0</v>
      </c>
      <c r="D72" s="49" t="n">
        <f aca="false">IFERROR(C72/B72,0)</f>
        <v>0</v>
      </c>
    </row>
    <row r="73" customFormat="false" ht="14.25" hidden="false" customHeight="false" outlineLevel="0" collapsed="false">
      <c r="A73" s="49" t="s">
        <v>86</v>
      </c>
      <c r="B73" s="49" t="n">
        <f aca="false">COUNTIFS('Game Log Season 3'!$C$3:$C$1000,"Michelle",'Game Log Season 3'!$D$3:$D$1000,A73)</f>
        <v>0</v>
      </c>
      <c r="C73" s="49" t="n">
        <f aca="false">COUNTIFS('Game Log Season 3'!$C$3:$C$1000,"Michelle",'Game Log Season 3'!$D$3:$D$1000,A73,'Game Log Season 3'!$F$3:$F$1000,1)</f>
        <v>0</v>
      </c>
      <c r="D73" s="49" t="n">
        <f aca="false">IFERROR(C73/B73,0)</f>
        <v>0</v>
      </c>
    </row>
    <row r="74" customFormat="false" ht="14.25" hidden="false" customHeight="false" outlineLevel="0" collapsed="false">
      <c r="A74" s="49" t="s">
        <v>96</v>
      </c>
      <c r="B74" s="49" t="n">
        <f aca="false">COUNTIFS('Game Log Season 3'!$C$3:$C$1000,"Michelle",'Game Log Season 3'!$D$3:$D$1000,A74)</f>
        <v>1</v>
      </c>
      <c r="C74" s="49" t="n">
        <f aca="false">COUNTIFS('Game Log Season 3'!$C$3:$C$1000,"Michelle",'Game Log Season 3'!$D$3:$D$1000,A74,'Game Log Season 3'!$F$3:$F$1000,1)</f>
        <v>0</v>
      </c>
      <c r="D74" s="49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170</v>
      </c>
      <c r="B1" s="51" t="s">
        <v>171</v>
      </c>
      <c r="C1" s="51" t="s">
        <v>172</v>
      </c>
      <c r="D1" s="51" t="s">
        <v>173</v>
      </c>
      <c r="E1" s="51" t="s">
        <v>169</v>
      </c>
      <c r="F1" s="51" t="s">
        <v>174</v>
      </c>
      <c r="G1" s="51" t="s">
        <v>175</v>
      </c>
      <c r="H1" s="51" t="s">
        <v>176</v>
      </c>
      <c r="I1" s="51" t="s">
        <v>177</v>
      </c>
      <c r="J1" s="51" t="s">
        <v>178</v>
      </c>
      <c r="K1" s="51" t="s">
        <v>179</v>
      </c>
      <c r="L1" s="51" t="s">
        <v>180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