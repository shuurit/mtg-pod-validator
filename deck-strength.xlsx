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<sst xmlns="http://schemas.openxmlformats.org/spreadsheetml/2006/main" count="903" uniqueCount="180">
  <si>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</si>
  <si>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</si>
  <si>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</si>
  <si>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</si>
  <si>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</si>
  <si>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</si>
  <si>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</si>
  <si>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</si>
  <si>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</si>
  <si>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</si>
  <si>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</si>
  <si>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</si>
  <si>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</si>
  <si>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</si>
  <si>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</si>
  <si>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</si>
  <si>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</si>
  <si>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</si>
  <si>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</si>
  <si>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</si>
  <si>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</si>
  <si>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</si>
  <si>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</si>
  <si>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</si>
  <si>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</si>
  <si>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</si>
  <si>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</si>
  <si>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</si>
  <si>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</si>
  <si>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</si>
  <si>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</si>
  <si>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</si>
  <si>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</si>
  <si>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</si>
  <si>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</si>
  <si>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</si>
  <si>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</si>
  <si>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</si>
  <si>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</si>
  <si>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</si>
  <si>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</si>
  <si>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</si>
  <si>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</si>
  <si>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</si>
  <si>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</si>
  <si>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</si>
  <si>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</si>
  <si>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</si>
  <si>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</si>
  <si>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</si>
  <si>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</si>
  <si>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</si>
  <si>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</si>
  <si>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</si>
  <si>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</si>
  <si>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</si>
  <si>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</si>
  <si>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</si>
  <si>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</si>
  <si>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</si>
  <si>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</si>
  <si>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</si>
  <si>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</si>
  <si>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</si>
  <si>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</si>
  <si>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</si>
  <si>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</si>
  <si>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</si>
  <si>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</si>
  <si>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</si>
  <si>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</si>
  <si>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</si>
  <si>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</si>
  <si>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</si>
  <si>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</si>
  <si>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</si>
  <si>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</si>
  <si>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</si>
  <si>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</si>
  <si>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</si>
  <si>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</si>
  <si>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</si>
  <si>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</si>
  <si>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</si>
  <si>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</si>
  <si>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</si>
  <si>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</si>
  <si>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</si>
  <si>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</si>
  <si>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</si>
  <si>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</si>
  <si>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</si>
  <si>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</si>
  <si>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</si>
  <si>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</si>
  <si>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</si>
  <si>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</si>
  <si>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</si>
  <si>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</si>
  <si>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</si>
  <si>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</si>
  <si>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</si>
  <si>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</si>
  <si>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</si>
  <si>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</si>
  <si>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</si>
  <si>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</si>
  <si>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</si>
  <si>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</si>
  <si>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</si>
  <si>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</si>
  <si>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</si>
  <si>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</si>
  <si>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</si>
  <si>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</si>
  <si>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</si>
  <si>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</si>
  <si>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</si>
  <si>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</si>
  <si>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</si>
  <si>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</si>
  <si>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</si>
  <si>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</si>
  <si>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</si>
  <si>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</si>
  <si>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</si>
  <si>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</si>
  <si>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</si>
  <si>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</si>
  <si>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</si>
  <si>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</si>
  <si>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</si>
  <si>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</si>
  <si>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</si>
  <si>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</si>
  <si>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</si>
  <si>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</si>
  <si>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</si>
  <si>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</si>
  <si>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</si>
  <si>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</si>
  <si>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</si>
  <si>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</si>
  <si>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</si>
  <si>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Leonardo, the Balance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</si>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</sst>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3.30029411764706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126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128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129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130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131</v>
      </c>
      <c r="D30" s="49" t="n">
        <v>3.6</v>
      </c>
      <c r="E30" s="47" t="s">
        <v>132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133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134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135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136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137</v>
      </c>
      <c r="D35" s="50" t="n">
        <v>3.9</v>
      </c>
      <c r="E35" s="47" t="s">
        <v>138</v>
      </c>
    </row>
    <row r="36" customFormat="false" ht="14.25" hidden="false" customHeight="false" outlineLevel="0" collapsed="false">
      <c r="A36" s="49" t="s">
        <v>139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140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141</v>
      </c>
    </row>
    <row r="38" customFormat="false" ht="14.25" hidden="false" customHeight="false" outlineLevel="0" collapsed="false">
      <c r="A38" s="49" t="s">
        <v>142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143</v>
      </c>
    </row>
    <row r="39" customFormat="false" ht="14.25" hidden="false" customHeight="false" outlineLevel="0" collapsed="false">
      <c r="A39" s="49" t="s">
        <v>144</v>
      </c>
      <c r="B39" s="49" t="n">
        <f aca="false">IFERROR(LOOKUP(2,1/(('Game Log Season 3'!$C$3:$C$1000="Mateo")*('Game Log Season 3'!$D$3:$D$1000=A39)*('Game Log Season 3'!$X$3:$X$1000&lt;&gt;"")),'Game Log Season 3'!$X$3:$X$1000), D39)</f>
        <v>3.4</v>
      </c>
      <c r="C39" s="46"/>
      <c r="D39" s="49" t="n">
        <v>3.4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150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151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152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153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154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155</v>
      </c>
    </row>
    <row r="52" customFormat="false" ht="14.25" hidden="false" customHeight="false" outlineLevel="0" collapsed="false">
      <c r="A52" s="49" t="s">
        <v>156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157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158</v>
      </c>
    </row>
    <row r="54" customFormat="false" ht="14.25" hidden="false" customHeight="false" outlineLevel="0" collapsed="false">
      <c r="A54" s="49" t="s">
        <v>159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160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131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131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137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161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162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163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164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165</v>
      </c>
      <c r="B1" s="45" t="s">
        <v>166</v>
      </c>
      <c r="C1" s="45" t="s">
        <v>167</v>
      </c>
      <c r="D1" s="45" t="s">
        <v>168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139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142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144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156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159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169</v>
      </c>
      <c r="B1" s="51" t="s">
        <v>170</v>
      </c>
      <c r="C1" s="51" t="s">
        <v>171</v>
      </c>
      <c r="D1" s="51" t="s">
        <v>172</v>
      </c>
      <c r="E1" s="51" t="s">
        <v>168</v>
      </c>
      <c r="F1" s="51" t="s">
        <v>173</v>
      </c>
      <c r="G1" s="51" t="s">
        <v>174</v>
      </c>
      <c r="H1" s="51" t="s">
        <v>175</v>
      </c>
      <c r="I1" s="51" t="s">
        <v>176</v>
      </c>
      <c r="J1" s="51" t="s">
        <v>177</v>
      </c>
      <c r="K1" s="51" t="s">
        <v>178</v>
      </c>
      <c r="L1" s="51" t="s">
        <v>179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