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<sst xmlns="http://schemas.openxmlformats.org/spreadsheetml/2006/main" count="878" uniqueCount="164">
  <si>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</si>
  <si>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</si>
  <si>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</si>
  <si>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</si>
  <si>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</si>
  <si>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</si>
  <si>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</si>
  <si>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</si>
  <si>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</si>
  <si>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</si>
  <si>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</si>
  <si>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</si>
  <si>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</si>
  <si>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</si>
  <si>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</si>
  <si>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</si>
  <si>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</si>
  <si>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</si>
  <si>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</si>
  <si>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</si>
  <si>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</si>
  <si>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</si>
  <si>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</si>
  <si>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</si>
  <si>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</si>
  <si>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</si>
  <si>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</si>
  <si>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</si>
  <si>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</si>
  <si>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</si>
  <si>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</si>
  <si>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</si>
  <si>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</si>
  <si>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</si>
  <si>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</si>
  <si>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</si>
  <si>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</si>
  <si>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</si>
  <si>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</si>
  <si>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</si>
  <si>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</si>
  <si>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</si>
  <si>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</si>
  <si>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</si>
  <si>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</si>
  <si>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</si>
  <si>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</si>
  <si>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</si>
  <si>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</si>
  <si>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</si>
  <si>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</si>
  <si>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</si>
  <si>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</si>
  <si>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</si>
  <si>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</si>
  <si>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</si>
  <si>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</si>
  <si>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</si>
  <si>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</si>
  <si>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</si>
  <si>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</si>
  <si>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</si>
  <si>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</si>
  <si>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</si>
  <si>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</si>
  <si>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</si>
  <si>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</si>
  <si>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</si>
  <si>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</si>
  <si>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</si>
  <si>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</si>
  <si>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</si>
  <si>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</si>
  <si>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</si>
  <si>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</si>
  <si>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</si>
  <si>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</si>
  <si>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</si>
  <si>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</si>
  <si>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</si>
  <si>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</si>
  <si>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</si>
  <si>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</si>
  <si>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</si>
  <si>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</si>
  <si>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</si>
  <si>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</si>
  <si>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</si>
  <si>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</si>
  <si>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</si>
  <si>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</si>
  <si>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</si>
  <si>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</si>
  <si>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</si>
  <si>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</si>
  <si>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</si>
  <si>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</si>
  <si>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</si>
  <si>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</si>
  <si>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</si>
  <si>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</si>
  <si>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</si>
  <si>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</si>
  <si>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</si>
  <si>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</si>
  <si>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</si>
  <si>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</si>
  <si>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</si>
  <si>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</si>
  <si>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</si>
  <si>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</si>
  <si>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</si>
  <si>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</si>
  <si>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</si>
  <si>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</si>
  <si>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</si>
  <si>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</si>
  <si>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639396</t>
  </si>
  <si>
    <t xml:space="preserve">614175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</si>
  <si>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</si>
  <si>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</si>
  <si>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</si>
  <si>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</si>
  <si>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</si>
  <si>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</si>
  <si>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</si>
  <si>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</si>
  <si>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</si>
  <si>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</si>
  <si>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</si>
  <si>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</si>
  <si>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</si>
  <si>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</si>
  <si>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</si>
  <si>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</si>
  <si>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</si>
  <si>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</si>
  <si>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</si>
  <si>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</si>
  <si>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</si>
  <si>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</si>
  <si>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</si>
  <si>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595027</t>
  </si>
  <si>
    <t xml:space="preserve">629604</t>
  </si>
  <si>
    <t xml:space="preserve">682763</t>
  </si>
  <si>
    <t xml:space="preserve">576574</t>
  </si>
  <si>
    <t xml:space="preserve">ZZTestAutoDeploy3</t>
  </si>
  <si>
    <t xml:space="preserve">Test Commander Auto 3</t>
  </si>
  <si>
    <t xml:space="preserve">999007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</si>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</sst>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AVERAGE(B3:B6)</f>
        <v>2.72288194444444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7" t="s">
        <v>28</v>
      </c>
      <c r="B7" s="48" t="n">
        <f aca="false">AVERAGE(B8:B17)</f>
        <v>3.28381944444444</v>
      </c>
      <c r="C7" s="46"/>
    </row>
    <row r="8" customFormat="false" ht="14.25" hidden="false" customHeight="false" outlineLevel="0" collapsed="false">
      <c r="A8" s="49" t="s">
        <v>68</v>
      </c>
      <c r="B8" s="49" t="n">
        <f aca="false">IFERROR(LOOKUP(2,1/(('Game Log Season 3'!$C$3:$C$1000="Manny")*('Game Log Season 3'!$D$3:$D$1000=A8)*('Game Log Season 3'!$X$3:$X$1000&lt;&gt;"")),'Game Log Season 3'!$X$3:$X$1000), D8)</f>
        <v>3.83916666666667</v>
      </c>
      <c r="C8" s="46"/>
      <c r="D8" s="49" t="n">
        <v>3.8</v>
      </c>
      <c r="E8" s="47" t="s">
        <v>106</v>
      </c>
    </row>
    <row r="9" customFormat="false" ht="14.25" hidden="false" customHeight="false" outlineLevel="0" collapsed="false">
      <c r="A9" s="49" t="s">
        <v>42</v>
      </c>
      <c r="B9" s="49" t="n">
        <f aca="false">IFERROR(LOOKUP(2,1/(('Game Log Season 3'!$C$3:$C$1000="Manny")*('Game Log Season 3'!$D$3:$D$1000=A9)*('Game Log Season 3'!$X$3:$X$1000&lt;&gt;"")),'Game Log Season 3'!$X$3:$X$1000), D9)</f>
        <v>3.9</v>
      </c>
      <c r="C9" s="46"/>
      <c r="D9" s="49" t="n">
        <v>3.9</v>
      </c>
      <c r="E9" s="47" t="s">
        <v>107</v>
      </c>
    </row>
    <row r="10" customFormat="false" ht="28.35" hidden="false" customHeight="false" outlineLevel="0" collapsed="false">
      <c r="A10" s="49" t="s">
        <v>67</v>
      </c>
      <c r="B10" s="49" t="n">
        <f aca="false">IFERROR(LOOKUP(2,1/(('Game Log Season 3'!$C$3:$C$1000="Manny")*('Game Log Season 3'!$D$3:$D$1000=A10)*('Game Log Season 3'!$X$3:$X$1000&lt;&gt;"")),'Game Log Season 3'!$X$3:$X$1000), D10)</f>
        <v>3.4</v>
      </c>
      <c r="C10" s="46" t="s">
        <v>108</v>
      </c>
      <c r="D10" s="49" t="n">
        <v>3.4</v>
      </c>
      <c r="E10" s="47" t="s">
        <v>109</v>
      </c>
    </row>
    <row r="11" customFormat="false" ht="14.25" hidden="false" customHeight="false" outlineLevel="0" collapsed="false">
      <c r="A11" s="49" t="s">
        <v>82</v>
      </c>
      <c r="B11" s="49" t="n">
        <f aca="false">IFERROR(LOOKUP(2,1/(('Game Log Season 3'!$C$3:$C$1000="Manny")*('Game Log Season 3'!$D$3:$D$1000=A11)*('Game Log Season 3'!$X$3:$X$1000&lt;&gt;"")),'Game Log Season 3'!$X$3:$X$1000), D11)</f>
        <v>2.6</v>
      </c>
      <c r="C11" s="46"/>
      <c r="D11" s="49" t="n">
        <v>2.6</v>
      </c>
      <c r="E11" s="47" t="s">
        <v>110</v>
      </c>
    </row>
    <row r="12" customFormat="false" ht="28.35" hidden="false" customHeight="false" outlineLevel="0" collapsed="false">
      <c r="A12" s="49" t="s">
        <v>44</v>
      </c>
      <c r="B12" s="49" t="n">
        <f aca="false">IFERROR(LOOKUP(2,1/(('Game Log Season 3'!$C$3:$C$1000="Manny")*('Game Log Season 3'!$D$3:$D$1000=A12)*('Game Log Season 3'!$X$3:$X$1000&lt;&gt;"")),'Game Log Season 3'!$X$3:$X$1000), D12)</f>
        <v>3.5</v>
      </c>
      <c r="C12" s="46" t="s">
        <v>103</v>
      </c>
      <c r="D12" s="49" t="n">
        <v>3.5</v>
      </c>
      <c r="E12" s="47" t="s">
        <v>111</v>
      </c>
    </row>
    <row r="13" customFormat="false" ht="14.25" hidden="false" customHeight="false" outlineLevel="0" collapsed="false">
      <c r="A13" s="49" t="s">
        <v>88</v>
      </c>
      <c r="B13" s="49" t="n">
        <f aca="false">IFERROR(LOOKUP(2,1/(('Game Log Season 3'!$C$3:$C$1000="Manny")*('Game Log Season 3'!$D$3:$D$1000=A13)*('Game Log Season 3'!$X$3:$X$1000&lt;&gt;"")),'Game Log Season 3'!$X$3:$X$1000), D13)</f>
        <v>2.65388888888889</v>
      </c>
      <c r="C13" s="46"/>
      <c r="D13" s="49" t="n">
        <v>2.7</v>
      </c>
      <c r="E13" s="47" t="s">
        <v>112</v>
      </c>
    </row>
    <row r="14" customFormat="false" ht="14.25" hidden="false" customHeight="false" outlineLevel="0" collapsed="false">
      <c r="A14" s="49" t="s">
        <v>48</v>
      </c>
      <c r="B14" s="49" t="n">
        <f aca="false">IFERROR(LOOKUP(2,1/(('Game Log Season 3'!$C$3:$C$1000="Manny")*('Game Log Season 3'!$D$3:$D$1000=A14)*('Game Log Season 3'!$X$3:$X$1000&lt;&gt;"")),'Game Log Season 3'!$X$3:$X$1000), D14)</f>
        <v>2.6</v>
      </c>
      <c r="C14" s="46"/>
      <c r="D14" s="49" t="n">
        <v>2.6</v>
      </c>
      <c r="E14" s="47" t="s">
        <v>113</v>
      </c>
    </row>
    <row r="15" customFormat="false" ht="14.25" hidden="false" customHeight="false" outlineLevel="0" collapsed="false">
      <c r="A15" s="49" t="s">
        <v>37</v>
      </c>
      <c r="B15" s="49" t="n">
        <f aca="false">IFERROR(LOOKUP(2,1/(('Game Log Season 3'!$C$3:$C$1000="Manny")*('Game Log Season 3'!$D$3:$D$1000=A15)*('Game Log Season 3'!$X$3:$X$1000&lt;&gt;"")),'Game Log Season 3'!$X$3:$X$1000), D15)</f>
        <v>3.91083333333333</v>
      </c>
      <c r="C15" s="46"/>
      <c r="D15" s="49" t="n">
        <v>3.9</v>
      </c>
      <c r="E15" s="47" t="s">
        <v>114</v>
      </c>
    </row>
    <row r="16" customFormat="false" ht="14.25" hidden="false" customHeight="false" outlineLevel="0" collapsed="false">
      <c r="A16" s="49" t="s">
        <v>91</v>
      </c>
      <c r="B16" s="49" t="n">
        <f aca="false">IFERROR(LOOKUP(2,1/(('Game Log Season 3'!$C$3:$C$1000="Manny")*('Game Log Season 3'!$D$3:$D$1000=A16)*('Game Log Season 3'!$X$3:$X$1000&lt;&gt;"")),'Game Log Season 3'!$X$3:$X$1000), D16)</f>
        <v>2.94083333333333</v>
      </c>
      <c r="C16" s="46"/>
      <c r="D16" s="49" t="n">
        <v>2.3</v>
      </c>
      <c r="E16" s="47" t="s">
        <v>115</v>
      </c>
    </row>
    <row r="17" customFormat="false" ht="14.25" hidden="false" customHeight="false" outlineLevel="0" collapsed="false">
      <c r="A17" s="49" t="s">
        <v>47</v>
      </c>
      <c r="B17" s="49" t="n">
        <f aca="false">IFERROR(LOOKUP(2,1/(('Game Log Season 3'!$C$3:$C$1000="Manny")*('Game Log Season 3'!$D$3:$D$1000=A17)*('Game Log Season 3'!$X$3:$X$1000&lt;&gt;"")),'Game Log Season 3'!$X$3:$X$1000), D17)</f>
        <v>3.49347222222222</v>
      </c>
      <c r="C17" s="46"/>
      <c r="D17" s="49" t="n">
        <v>3.5</v>
      </c>
      <c r="E17" s="47" t="s">
        <v>116</v>
      </c>
    </row>
    <row r="18" customFormat="false" ht="14.25" hidden="false" customHeight="false" outlineLevel="0" collapsed="false">
      <c r="A18" s="47" t="s">
        <v>30</v>
      </c>
      <c r="B18" s="48" t="n">
        <f aca="false">AVERAGE(B19:B32)</f>
        <v>3.31464285714286</v>
      </c>
      <c r="C18" s="46"/>
    </row>
    <row r="19" customFormat="false" ht="14.25" hidden="false" customHeight="false" outlineLevel="0" collapsed="false">
      <c r="A19" s="49" t="s">
        <v>73</v>
      </c>
      <c r="B19" s="49" t="n">
        <f aca="false">IFERROR(LOOKUP(2,1/(('Game Log Season 3'!$C$3:$C$1000="Mateo")*('Game Log Season 3'!$D$3:$D$1000=A19)*('Game Log Season 3'!$X$3:$X$1000&lt;&gt;"")),'Game Log Season 3'!$X$3:$X$1000), D19)</f>
        <v>2.4</v>
      </c>
      <c r="C19" s="46"/>
      <c r="D19" s="49" t="n">
        <v>2.4</v>
      </c>
      <c r="E19" s="47" t="s">
        <v>117</v>
      </c>
    </row>
    <row r="20" customFormat="false" ht="14.25" hidden="false" customHeight="false" outlineLevel="0" collapsed="false">
      <c r="A20" s="49" t="s">
        <v>66</v>
      </c>
      <c r="B20" s="49" t="n">
        <f aca="false">IFERROR(LOOKUP(2,1/(('Game Log Season 3'!$C$3:$C$1000="Mateo")*('Game Log Season 3'!$D$3:$D$1000=A20)*('Game Log Season 3'!$X$3:$X$1000&lt;&gt;"")),'Game Log Season 3'!$X$3:$X$1000), D20)</f>
        <v>2.6</v>
      </c>
      <c r="C20" s="46"/>
      <c r="D20" s="49" t="n">
        <v>2.6</v>
      </c>
      <c r="E20" s="47" t="s">
        <v>118</v>
      </c>
    </row>
    <row r="21" customFormat="false" ht="14.25" hidden="false" customHeight="false" outlineLevel="0" collapsed="false">
      <c r="A21" s="49" t="s">
        <v>31</v>
      </c>
      <c r="B21" s="49" t="n">
        <f aca="false">IFERROR(LOOKUP(2,1/(('Game Log Season 3'!$C$3:$C$1000="Mateo")*('Game Log Season 3'!$D$3:$D$1000=A21)*('Game Log Season 3'!$X$3:$X$1000&lt;&gt;"")),'Game Log Season 3'!$X$3:$X$1000), D21)</f>
        <v>3.57402777777778</v>
      </c>
      <c r="C21" s="46"/>
      <c r="D21" s="49" t="n">
        <v>3.6</v>
      </c>
      <c r="E21" s="47" t="s">
        <v>119</v>
      </c>
    </row>
    <row r="22" customFormat="false" ht="14.25" hidden="false" customHeight="false" outlineLevel="0" collapsed="false">
      <c r="A22" s="49" t="s">
        <v>34</v>
      </c>
      <c r="B22" s="49" t="n">
        <f aca="false">IFERROR(LOOKUP(2,1/(('Game Log Season 3'!$C$3:$C$1000="Mateo")*('Game Log Season 3'!$D$3:$D$1000=A22)*('Game Log Season 3'!$X$3:$X$1000&lt;&gt;"")),'Game Log Season 3'!$X$3:$X$1000), D22)</f>
        <v>3.6</v>
      </c>
      <c r="C22" s="46"/>
      <c r="D22" s="49" t="n">
        <v>3.6</v>
      </c>
      <c r="E22" s="47" t="s">
        <v>120</v>
      </c>
    </row>
    <row r="23" customFormat="false" ht="14.25" hidden="false" customHeight="false" outlineLevel="0" collapsed="false">
      <c r="A23" s="49" t="s">
        <v>74</v>
      </c>
      <c r="B23" s="49" t="n">
        <f aca="false">IFERROR(LOOKUP(2,1/(('Game Log Season 3'!$C$3:$C$1000="Mateo")*('Game Log Season 3'!$D$3:$D$1000=A23)*('Game Log Season 3'!$X$3:$X$1000&lt;&gt;"")),'Game Log Season 3'!$X$3:$X$1000), D23)</f>
        <v>2.9</v>
      </c>
      <c r="C23" s="46"/>
      <c r="D23" s="49" t="n">
        <v>2.9</v>
      </c>
      <c r="E23" s="47" t="s">
        <v>121</v>
      </c>
    </row>
    <row r="24" customFormat="false" ht="28.35" hidden="false" customHeight="false" outlineLevel="0" collapsed="false">
      <c r="A24" s="49" t="s">
        <v>57</v>
      </c>
      <c r="B24" s="49" t="n">
        <f aca="false">IFERROR(LOOKUP(2,1/(('Game Log Season 3'!$C$3:$C$1000="Mateo")*('Game Log Season 3'!$D$3:$D$1000=A24)*('Game Log Season 3'!$X$3:$X$1000&lt;&gt;"")),'Game Log Season 3'!$X$3:$X$1000), D24)</f>
        <v>3.9</v>
      </c>
      <c r="C24" s="46" t="s">
        <v>103</v>
      </c>
      <c r="D24" s="49" t="n">
        <v>3.9</v>
      </c>
      <c r="E24" s="47" t="s">
        <v>122</v>
      </c>
    </row>
    <row r="25" customFormat="false" ht="14.25" hidden="false" customHeight="false" outlineLevel="0" collapsed="false">
      <c r="A25" s="49" t="s">
        <v>80</v>
      </c>
      <c r="B25" s="49" t="n">
        <f aca="false">IFERROR(LOOKUP(2,1/(('Game Log Season 3'!$C$3:$C$1000="Mateo")*('Game Log Season 3'!$D$3:$D$1000=A25)*('Game Log Season 3'!$X$3:$X$1000&lt;&gt;"")),'Game Log Season 3'!$X$3:$X$1000), D25)</f>
        <v>2.8</v>
      </c>
      <c r="C25" s="46"/>
      <c r="D25" s="49" t="n">
        <v>2.8</v>
      </c>
    </row>
    <row r="26" customFormat="false" ht="14.25" hidden="false" customHeight="false" outlineLevel="0" collapsed="false">
      <c r="A26" s="49" t="s">
        <v>81</v>
      </c>
      <c r="B26" s="49" t="n">
        <f aca="false">IFERROR(LOOKUP(2,1/(('Game Log Season 3'!$C$3:$C$1000="Mateo")*('Game Log Season 3'!$D$3:$D$1000=A26)*('Game Log Season 3'!$X$3:$X$1000&lt;&gt;"")),'Game Log Season 3'!$X$3:$X$1000), D26)</f>
        <v>2.6</v>
      </c>
      <c r="C26" s="46"/>
      <c r="D26" s="49" t="n">
        <v>2.6</v>
      </c>
      <c r="E26" s="47" t="s">
        <v>123</v>
      </c>
    </row>
    <row r="27" customFormat="false" ht="14.25" hidden="false" customHeight="false" outlineLevel="0" collapsed="false">
      <c r="A27" s="49" t="s">
        <v>83</v>
      </c>
      <c r="B27" s="49" t="n">
        <f aca="false">IFERROR(LOOKUP(2,1/(('Game Log Season 3'!$C$3:$C$1000="Mateo")*('Game Log Season 3'!$D$3:$D$1000=A27)*('Game Log Season 3'!$X$3:$X$1000&lt;&gt;"")),'Game Log Season 3'!$X$3:$X$1000), D27)</f>
        <v>3.59875</v>
      </c>
      <c r="C27" s="46" t="s">
        <v>124</v>
      </c>
      <c r="D27" s="49" t="n">
        <v>3.6</v>
      </c>
      <c r="E27" s="47" t="s">
        <v>125</v>
      </c>
    </row>
    <row r="28" customFormat="false" ht="14.25" hidden="false" customHeight="false" outlineLevel="0" collapsed="false">
      <c r="A28" s="49" t="s">
        <v>48</v>
      </c>
      <c r="B28" s="49" t="n">
        <f aca="false">IFERROR(LOOKUP(2,1/(('Game Log Season 3'!$C$3:$C$1000="Mateo")*('Game Log Season 3'!$D$3:$D$1000=A28)*('Game Log Season 3'!$X$3:$X$1000&lt;&gt;"")),'Game Log Season 3'!$X$3:$X$1000), D28)</f>
        <v>3.94083333333333</v>
      </c>
      <c r="C28" s="46"/>
      <c r="D28" s="49" t="n">
        <v>3.9</v>
      </c>
      <c r="E28" s="47" t="s">
        <v>126</v>
      </c>
    </row>
    <row r="29" customFormat="false" ht="14.25" hidden="false" customHeight="false" outlineLevel="0" collapsed="false">
      <c r="A29" s="49" t="s">
        <v>90</v>
      </c>
      <c r="B29" s="49" t="n">
        <f aca="false">IFERROR(LOOKUP(2,1/(('Game Log Season 3'!$C$3:$C$1000="Mateo")*('Game Log Season 3'!$D$3:$D$1000=A29)*('Game Log Season 3'!$X$3:$X$1000&lt;&gt;"")),'Game Log Season 3'!$X$3:$X$1000), D29)</f>
        <v>3.65388888888889</v>
      </c>
      <c r="C29" s="46"/>
      <c r="D29" s="49" t="n">
        <v>3.7</v>
      </c>
      <c r="E29" s="47" t="s">
        <v>127</v>
      </c>
    </row>
    <row r="30" customFormat="false" ht="14.25" hidden="false" customHeight="false" outlineLevel="0" collapsed="false">
      <c r="A30" s="49" t="s">
        <v>46</v>
      </c>
      <c r="B30" s="50" t="n">
        <f aca="false">IFERROR(LOOKUP(2,1/(('Game Log Season 3'!$C$3:$C$1000="Mateo")*('Game Log Season 3'!$D$3:$D$1000=A30)*('Game Log Season 3'!$X$3:$X$1000&lt;&gt;"")),'Game Log Season 3'!$X$3:$X$1000), D30)</f>
        <v>3.95583333333333</v>
      </c>
      <c r="C30" s="46"/>
      <c r="D30" s="50" t="n">
        <v>4</v>
      </c>
      <c r="E30" s="47" t="s">
        <v>128</v>
      </c>
    </row>
    <row r="31" customFormat="false" ht="14.25" hidden="false" customHeight="false" outlineLevel="0" collapsed="false">
      <c r="A31" s="49" t="s">
        <v>92</v>
      </c>
      <c r="B31" s="50" t="n">
        <f aca="false">IFERROR(LOOKUP(2,1/(('Game Log Season 3'!$C$3:$C$1000="Mateo")*('Game Log Season 3'!$D$3:$D$1000=A31)*('Game Log Season 3'!$X$3:$X$1000&lt;&gt;"")),'Game Log Season 3'!$X$3:$X$1000), D31)</f>
        <v>2.94666666666667</v>
      </c>
      <c r="C31" s="46"/>
      <c r="D31" s="50" t="n">
        <v>2.9</v>
      </c>
      <c r="E31" s="47" t="s">
        <v>129</v>
      </c>
    </row>
    <row r="32" customFormat="false" ht="28.35" hidden="false" customHeight="false" outlineLevel="0" collapsed="false">
      <c r="A32" s="49" t="s">
        <v>40</v>
      </c>
      <c r="B32" s="50" t="n">
        <f aca="false">IFERROR(LOOKUP(2,1/(('Game Log Season 3'!$C$3:$C$1000="Mateo")*('Game Log Season 3'!$D$3:$D$1000=A32)*('Game Log Season 3'!$X$3:$X$1000&lt;&gt;"")),'Game Log Season 3'!$X$3:$X$1000), D32)</f>
        <v>3.935</v>
      </c>
      <c r="C32" s="46" t="s">
        <v>130</v>
      </c>
      <c r="D32" s="50" t="n">
        <v>3.9</v>
      </c>
      <c r="E32" s="47" t="s">
        <v>131</v>
      </c>
    </row>
    <row r="33" customFormat="false" ht="14.25" hidden="false" customHeight="false" outlineLevel="0" collapsed="false">
      <c r="A33" s="47" t="s">
        <v>32</v>
      </c>
      <c r="B33" s="48" t="n">
        <f aca="false">AVERAGE(B34:B44)</f>
        <v>3.26275505050505</v>
      </c>
      <c r="C33" s="46"/>
    </row>
    <row r="34" customFormat="false" ht="14.25" hidden="false" customHeight="false" outlineLevel="0" collapsed="false">
      <c r="A34" s="49" t="s">
        <v>36</v>
      </c>
      <c r="B34" s="49" t="n">
        <f aca="false">IFERROR(LOOKUP(2,1/(('Game Log Season 3'!$C$3:$C$1000="Ryan")*('Game Log Season 3'!$D$3:$D$1000=A34)*('Game Log Season 3'!$X$3:$X$1000&lt;&gt;"")),'Game Log Season 3'!$X$3:$X$1000), D34)</f>
        <v>3.5</v>
      </c>
      <c r="C34" s="46"/>
      <c r="D34" s="49" t="n">
        <v>3.5</v>
      </c>
      <c r="E34" s="47" t="s">
        <v>132</v>
      </c>
    </row>
    <row r="35" customFormat="false" ht="14.25" hidden="false" customHeight="false" outlineLevel="0" collapsed="false">
      <c r="A35" s="49" t="s">
        <v>62</v>
      </c>
      <c r="B35" s="49" t="n">
        <f aca="false">IFERROR(LOOKUP(2,1/(('Game Log Season 3'!$C$3:$C$1000="Ryan")*('Game Log Season 3'!$D$3:$D$1000=A35)*('Game Log Season 3'!$X$3:$X$1000&lt;&gt;"")),'Game Log Season 3'!$X$3:$X$1000), D35)</f>
        <v>3.43088888888889</v>
      </c>
      <c r="C35" s="46"/>
      <c r="D35" s="49" t="n">
        <v>3.4</v>
      </c>
      <c r="E35" s="47" t="s">
        <v>133</v>
      </c>
    </row>
    <row r="36" customFormat="false" ht="14.25" hidden="false" customHeight="false" outlineLevel="0" collapsed="false">
      <c r="A36" s="49" t="s">
        <v>33</v>
      </c>
      <c r="B36" s="49" t="n">
        <f aca="false">IFERROR(LOOKUP(2,1/(('Game Log Season 3'!$C$3:$C$1000="Ryan")*('Game Log Season 3'!$D$3:$D$1000=A36)*('Game Log Season 3'!$X$3:$X$1000&lt;&gt;"")),'Game Log Season 3'!$X$3:$X$1000), D36)</f>
        <v>3.7</v>
      </c>
      <c r="C36" s="46"/>
      <c r="D36" s="49" t="n">
        <v>3.7</v>
      </c>
      <c r="E36" s="47" t="s">
        <v>134</v>
      </c>
    </row>
    <row r="37" customFormat="false" ht="14.25" hidden="false" customHeight="false" outlineLevel="0" collapsed="false">
      <c r="A37" s="49" t="s">
        <v>61</v>
      </c>
      <c r="B37" s="49" t="n">
        <f aca="false">IFERROR(LOOKUP(2,1/(('Game Log Season 3'!$C$3:$C$1000="Ryan")*('Game Log Season 3'!$D$3:$D$1000=A37)*('Game Log Season 3'!$X$3:$X$1000&lt;&gt;"")),'Game Log Season 3'!$X$3:$X$1000), D37)</f>
        <v>2.6</v>
      </c>
      <c r="C37" s="46"/>
      <c r="D37" s="49" t="n">
        <v>2.6</v>
      </c>
      <c r="E37" s="47" t="s">
        <v>135</v>
      </c>
    </row>
    <row r="38" customFormat="false" ht="14.25" hidden="false" customHeight="false" outlineLevel="0" collapsed="false">
      <c r="A38" s="49" t="s">
        <v>41</v>
      </c>
      <c r="B38" s="49" t="n">
        <f aca="false">IFERROR(LOOKUP(2,1/(('Game Log Season 3'!$C$3:$C$1000="Ryan")*('Game Log Season 3'!$D$3:$D$1000=A38)*('Game Log Season 3'!$X$3:$X$1000&lt;&gt;"")),'Game Log Season 3'!$X$3:$X$1000), D38)</f>
        <v>3.77816666666667</v>
      </c>
      <c r="C38" s="46"/>
      <c r="D38" s="49" t="n">
        <v>3.8</v>
      </c>
      <c r="E38" s="47" t="s">
        <v>136</v>
      </c>
    </row>
    <row r="39" customFormat="false" ht="14.25" hidden="false" customHeight="false" outlineLevel="0" collapsed="false">
      <c r="A39" s="49" t="s">
        <v>79</v>
      </c>
      <c r="B39" s="49" t="n">
        <f aca="false">IFERROR(LOOKUP(2,1/(('Game Log Season 3'!$C$3:$C$1000="Ryan")*('Game Log Season 3'!$D$3:$D$1000=A39)*('Game Log Season 3'!$X$3:$X$1000&lt;&gt;"")),'Game Log Season 3'!$X$3:$X$1000), D39)</f>
        <v>2.59388888888889</v>
      </c>
      <c r="C39" s="46"/>
      <c r="D39" s="49" t="n">
        <v>2.6</v>
      </c>
      <c r="E39" s="47" t="s">
        <v>137</v>
      </c>
    </row>
    <row r="40" customFormat="false" ht="14.25" hidden="false" customHeight="false" outlineLevel="0" collapsed="false">
      <c r="A40" s="49" t="s">
        <v>54</v>
      </c>
      <c r="B40" s="49" t="n">
        <f aca="false">IFERROR(LOOKUP(2,1/(('Game Log Season 3'!$C$3:$C$1000="Ryan")*('Game Log Season 3'!$D$3:$D$1000=A40)*('Game Log Season 3'!$X$3:$X$1000&lt;&gt;"")),'Game Log Season 3'!$X$3:$X$1000), D40)</f>
        <v>3.23902777777778</v>
      </c>
      <c r="C40" s="46"/>
      <c r="D40" s="49" t="n">
        <v>3.6</v>
      </c>
      <c r="E40" s="47" t="s">
        <v>138</v>
      </c>
    </row>
    <row r="41" customFormat="false" ht="14.25" hidden="false" customHeight="false" outlineLevel="0" collapsed="false">
      <c r="A41" s="49" t="s">
        <v>87</v>
      </c>
      <c r="B41" s="49" t="n">
        <f aca="false">IFERROR(LOOKUP(2,1/(('Game Log Season 3'!$C$3:$C$1000="Ryan")*('Game Log Season 3'!$D$3:$D$1000=A41)*('Game Log Season 3'!$X$3:$X$1000&lt;&gt;"")),'Game Log Season 3'!$X$3:$X$1000), D41)</f>
        <v>2.6</v>
      </c>
      <c r="C41" s="46"/>
      <c r="D41" s="49" t="n">
        <v>2.6</v>
      </c>
      <c r="E41" s="47" t="s">
        <v>139</v>
      </c>
    </row>
    <row r="42" customFormat="false" ht="14.25" hidden="false" customHeight="false" outlineLevel="0" collapsed="false">
      <c r="A42" s="49" t="s">
        <v>89</v>
      </c>
      <c r="B42" s="49" t="n">
        <f aca="false">IFERROR(LOOKUP(2,1/(('Game Log Season 3'!$C$3:$C$1000="Ryan")*('Game Log Season 3'!$D$3:$D$1000=A42)*('Game Log Season 3'!$X$3:$X$1000&lt;&gt;"")),'Game Log Season 3'!$X$3:$X$1000), D42)</f>
        <v>3.58416666666667</v>
      </c>
      <c r="C42" s="46"/>
      <c r="D42" s="49" t="n">
        <v>3.6</v>
      </c>
    </row>
    <row r="43" customFormat="false" ht="14.25" hidden="false" customHeight="false" outlineLevel="0" collapsed="false">
      <c r="A43" s="49" t="s">
        <v>94</v>
      </c>
      <c r="B43" s="49" t="n">
        <f aca="false">IFERROR(LOOKUP(2,1/(('Game Log Season 3'!$C$3:$C$1000="Ryan")*('Game Log Season 3'!$D$3:$D$1000=A43)*('Game Log Season 3'!$X$3:$X$1000&lt;&gt;"")),'Game Log Season 3'!$X$3:$X$1000), D43)</f>
        <v>2.94083333333333</v>
      </c>
      <c r="C43" s="46"/>
      <c r="D43" s="49" t="n">
        <v>2.9</v>
      </c>
      <c r="E43" s="47" t="s">
        <v>140</v>
      </c>
    </row>
    <row r="44" customFormat="false" ht="14.25" hidden="false" customHeight="false" outlineLevel="0" collapsed="false">
      <c r="A44" s="49" t="s">
        <v>97</v>
      </c>
      <c r="B44" s="49" t="n">
        <f aca="false">IFERROR(LOOKUP(2,1/(('Game Log Season 3'!$C$3:$C$1000="Ryan")*('Game Log Season 3'!$D$3:$D$1000=A44)*('Game Log Season 3'!$X$3:$X$1000&lt;&gt;"")),'Game Log Season 3'!$X$3:$X$1000), D44)</f>
        <v>3.92333333333333</v>
      </c>
      <c r="C44" s="46"/>
      <c r="D44" s="49" t="n">
        <v>3.9</v>
      </c>
      <c r="E44" s="47" t="s">
        <v>141</v>
      </c>
    </row>
    <row r="45" customFormat="false" ht="14.25" hidden="false" customHeight="false" outlineLevel="0" collapsed="false">
      <c r="A45" s="47" t="s">
        <v>70</v>
      </c>
      <c r="B45" s="48" t="n">
        <f aca="false">AVERAGE(B46:B50)</f>
        <v>3.2865</v>
      </c>
      <c r="C45" s="46"/>
    </row>
    <row r="46" customFormat="false" ht="14.25" hidden="false" customHeight="false" outlineLevel="0" collapsed="false">
      <c r="A46" s="49" t="s">
        <v>71</v>
      </c>
      <c r="B46" s="49" t="n">
        <f aca="false">IFERROR(LOOKUP(2,1/(('Game Log Season 3'!$C$3:$C$1000="Kristy")*('Game Log Season 3'!$D$3:$D$1000=A46)*('Game Log Season 3'!$X$3:$X$1000&lt;&gt;"")),'Game Log Season 3'!$X$3:$X$1000), D46)</f>
        <v>3.6</v>
      </c>
      <c r="C46" s="46" t="s">
        <v>124</v>
      </c>
      <c r="D46" s="49" t="n">
        <v>3.6</v>
      </c>
    </row>
    <row r="47" customFormat="false" ht="14.25" hidden="false" customHeight="false" outlineLevel="0" collapsed="false">
      <c r="A47" s="49" t="s">
        <v>57</v>
      </c>
      <c r="B47" s="49" t="n">
        <f aca="false">IFERROR(LOOKUP(2,1/(('Game Log Season 3'!$C$3:$C$1000="Kristy")*('Game Log Season 3'!$D$3:$D$1000=A47)*('Game Log Season 3'!$X$3:$X$1000&lt;&gt;"")),'Game Log Season 3'!$X$3:$X$1000), D47)</f>
        <v>3.33761111111111</v>
      </c>
      <c r="C47" s="46" t="s">
        <v>124</v>
      </c>
      <c r="D47" s="49" t="n">
        <v>3.3</v>
      </c>
    </row>
    <row r="48" customFormat="false" ht="14.25" hidden="false" customHeight="false" outlineLevel="0" collapsed="false">
      <c r="A48" s="49" t="s">
        <v>78</v>
      </c>
      <c r="B48" s="49" t="n">
        <f aca="false">IFERROR(LOOKUP(2,1/(('Game Log Season 3'!$C$3:$C$1000="Kristy")*('Game Log Season 3'!$D$3:$D$1000=A48)*('Game Log Season 3'!$X$3:$X$1000&lt;&gt;"")),'Game Log Season 3'!$X$3:$X$1000), D48)</f>
        <v>3.2</v>
      </c>
      <c r="C48" s="46"/>
      <c r="D48" s="49" t="n">
        <v>3.2</v>
      </c>
    </row>
    <row r="49" customFormat="false" ht="28.35" hidden="false" customHeight="false" outlineLevel="0" collapsed="false">
      <c r="A49" s="49" t="s">
        <v>85</v>
      </c>
      <c r="B49" s="49" t="n">
        <f aca="false">IFERROR(LOOKUP(2,1/(('Game Log Season 3'!$C$3:$C$1000="Kristy")*('Game Log Season 3'!$D$3:$D$1000=A49)*('Game Log Season 3'!$X$3:$X$1000&lt;&gt;"")),'Game Log Season 3'!$X$3:$X$1000), D49)</f>
        <v>3.9</v>
      </c>
      <c r="C49" s="46" t="s">
        <v>130</v>
      </c>
      <c r="D49" s="49" t="n">
        <v>3.9</v>
      </c>
    </row>
    <row r="50" customFormat="false" ht="14.25" hidden="false" customHeight="false" outlineLevel="0" collapsed="false">
      <c r="A50" s="49" t="s">
        <v>93</v>
      </c>
      <c r="B50" s="49" t="n">
        <f aca="false">IFERROR(LOOKUP(2,1/(('Game Log Season 3'!$C$3:$C$1000="Kristy")*('Game Log Season 3'!$D$3:$D$1000=A50)*('Game Log Season 3'!$X$3:$X$1000&lt;&gt;"")),'Game Log Season 3'!$X$3:$X$1000), D50)</f>
        <v>2.39488888888889</v>
      </c>
      <c r="C50" s="46"/>
      <c r="D50" s="49" t="n">
        <v>2.4</v>
      </c>
    </row>
    <row r="51" customFormat="false" ht="14.25" hidden="false" customHeight="false" outlineLevel="0" collapsed="false">
      <c r="A51" s="47" t="s">
        <v>38</v>
      </c>
      <c r="B51" s="48" t="n">
        <f aca="false">AVERAGE(B52:B56)</f>
        <v>3.42807</v>
      </c>
      <c r="C51" s="46"/>
    </row>
    <row r="52" customFormat="false" ht="14.25" hidden="false" customHeight="false" outlineLevel="0" collapsed="false">
      <c r="A52" s="49" t="s">
        <v>49</v>
      </c>
      <c r="B52" s="49" t="n">
        <f aca="false">IFERROR(LOOKUP(2,1/(('Game Log Season 3'!$C$3:$C$1000="Joseph")*('Game Log Season 3'!$D$3:$D$1000=A52)*('Game Log Season 3'!$X$3:$X$1000&lt;&gt;"")),'Game Log Season 3'!$X$3:$X$1000), D52)</f>
        <v>3.6</v>
      </c>
      <c r="C52" s="46"/>
      <c r="D52" s="49" t="n">
        <v>3.6</v>
      </c>
    </row>
    <row r="53" customFormat="false" ht="14.25" hidden="false" customHeight="false" outlineLevel="0" collapsed="false">
      <c r="A53" s="49" t="s">
        <v>76</v>
      </c>
      <c r="B53" s="49" t="n">
        <f aca="false">IFERROR(LOOKUP(2,1/(('Game Log Season 3'!$C$3:$C$1000="Joseph")*('Game Log Season 3'!$D$3:$D$1000=A53)*('Game Log Season 3'!$X$3:$X$1000&lt;&gt;"")),'Game Log Season 3'!$X$3:$X$1000), D53)</f>
        <v>3.8</v>
      </c>
      <c r="C53" s="46"/>
      <c r="D53" s="49" t="n">
        <v>3.8</v>
      </c>
    </row>
    <row r="54" customFormat="false" ht="14.25" hidden="false" customHeight="false" outlineLevel="0" collapsed="false">
      <c r="A54" s="49" t="s">
        <v>77</v>
      </c>
      <c r="B54" s="49" t="n">
        <f aca="false">IFERROR(LOOKUP(2,1/(('Game Log Season 3'!$C$3:$C$1000="Joseph")*('Game Log Season 3'!$D$3:$D$1000=A54)*('Game Log Season 3'!$X$3:$X$1000&lt;&gt;"")),'Game Log Season 3'!$X$3:$X$1000), D54)</f>
        <v>2.7</v>
      </c>
      <c r="C54" s="46"/>
      <c r="D54" s="49" t="n">
        <v>2.7</v>
      </c>
    </row>
    <row r="55" customFormat="false" ht="14.25" hidden="false" customHeight="false" outlineLevel="0" collapsed="false">
      <c r="A55" s="49" t="s">
        <v>64</v>
      </c>
      <c r="B55" s="49" t="n">
        <f aca="false">IFERROR(LOOKUP(2,1/(('Game Log Season 3'!$C$3:$C$1000="Joseph")*('Game Log Season 3'!$D$3:$D$1000=A55)*('Game Log Season 3'!$X$3:$X$1000&lt;&gt;"")),'Game Log Season 3'!$X$3:$X$1000), D55)</f>
        <v>3.3</v>
      </c>
      <c r="C55" s="46"/>
      <c r="D55" s="49" t="n">
        <v>3.3</v>
      </c>
    </row>
    <row r="56" customFormat="false" ht="14.25" hidden="false" customHeight="false" outlineLevel="0" collapsed="false">
      <c r="A56" s="49" t="s">
        <v>63</v>
      </c>
      <c r="B56" s="49" t="n">
        <f aca="false">IFERROR(LOOKUP(2,1/(('Game Log Season 3'!$C$3:$C$1000="Joseph")*('Game Log Season 3'!$D$3:$D$1000=A56)*('Game Log Season 3'!$X$3:$X$1000&lt;&gt;"")),'Game Log Season 3'!$X$3:$X$1000), D56)</f>
        <v>3.74035</v>
      </c>
      <c r="C56" s="46"/>
      <c r="D56" s="49" t="n">
        <v>3.7</v>
      </c>
    </row>
    <row r="57" customFormat="false" ht="14.25" hidden="false" customHeight="false" outlineLevel="0" collapsed="false">
      <c r="A57" s="47" t="s">
        <v>59</v>
      </c>
      <c r="B57" s="48" t="n">
        <f aca="false">AVERAGE(B58:B59)</f>
        <v>3.05</v>
      </c>
      <c r="C57" s="46"/>
    </row>
    <row r="58" customFormat="false" ht="14.25" hidden="false" customHeight="false" outlineLevel="0" collapsed="false">
      <c r="A58" s="49" t="s">
        <v>33</v>
      </c>
      <c r="B58" s="49" t="n">
        <f aca="false">IFERROR(LOOKUP(2,1/(('Game Log Season 3'!$C$3:$C$1000="Red")*('Game Log Season 3'!$D$3:$D$1000=A58)*('Game Log Season 3'!$X$3:$X$1000&lt;&gt;"")),'Game Log Season 3'!$X$3:$X$1000), D58)</f>
        <v>2.7</v>
      </c>
      <c r="C58" s="46"/>
      <c r="D58" s="49" t="n">
        <v>2.7</v>
      </c>
      <c r="E58" s="47" t="s">
        <v>142</v>
      </c>
    </row>
    <row r="59" customFormat="false" ht="14.25" hidden="false" customHeight="false" outlineLevel="0" collapsed="false">
      <c r="A59" s="49" t="s">
        <v>69</v>
      </c>
      <c r="B59" s="49" t="n">
        <f aca="false">IFERROR(LOOKUP(2,1/(('Game Log Season 3'!$C$3:$C$1000="Red")*('Game Log Season 3'!$D$3:$D$1000=A59)*('Game Log Season 3'!$X$3:$X$1000&lt;&gt;"")),'Game Log Season 3'!$X$3:$X$1000), D59)</f>
        <v>3.4</v>
      </c>
      <c r="C59" s="46"/>
      <c r="D59" s="49" t="n">
        <v>3.4</v>
      </c>
      <c r="E59" s="47" t="s">
        <v>143</v>
      </c>
    </row>
    <row r="60" customFormat="false" ht="14.25" hidden="false" customHeight="false" outlineLevel="0" collapsed="false">
      <c r="A60" s="49" t="s">
        <v>84</v>
      </c>
      <c r="B60" s="50" t="n">
        <f aca="false">IFERROR(LOOKUP(2,1/(('Game Log Season 3'!$C$3:$C$1000="Red")*('Game Log Season 3'!$D$3:$D$1000=A60)*('Game Log Season 3'!$X$3:$X$1000&lt;&gt;"")),'Game Log Season 3'!$X$3:$X$1000), D60)</f>
        <v>1</v>
      </c>
      <c r="C60" s="46"/>
      <c r="D60" s="50" t="n">
        <v>1</v>
      </c>
      <c r="E60" s="47" t="s">
        <v>144</v>
      </c>
    </row>
    <row r="61" customFormat="false" ht="14.25" hidden="false" customHeight="false" outlineLevel="0" collapsed="false">
      <c r="A61" s="47" t="s">
        <v>51</v>
      </c>
      <c r="B61" s="48" t="n">
        <f aca="false">AVERAGE(B62:B63)</f>
        <v>2.25194444444444</v>
      </c>
      <c r="C61" s="46"/>
    </row>
    <row r="62" customFormat="false" ht="14.25" hidden="false" customHeight="false" outlineLevel="0" collapsed="false">
      <c r="A62" s="49" t="s">
        <v>52</v>
      </c>
      <c r="B62" s="49" t="n">
        <f aca="false">IFERROR(LOOKUP(2,1/(('Game Log Season 3'!$C$3:$C$1000="Michelle")*('Game Log Season 3'!$D$3:$D$1000=A62)*('Game Log Season 3'!$X$3:$X$1000&lt;&gt;"")),'Game Log Season 3'!$X$3:$X$1000), D62)</f>
        <v>2.30388888888889</v>
      </c>
      <c r="C62" s="46"/>
      <c r="D62" s="49" t="n">
        <v>2.5</v>
      </c>
    </row>
    <row r="63" customFormat="false" ht="14.25" hidden="false" customHeight="false" outlineLevel="0" collapsed="false">
      <c r="A63" s="49" t="s">
        <v>86</v>
      </c>
      <c r="B63" s="49" t="n">
        <f aca="false">IFERROR(LOOKUP(2,1/(('Game Log Season 3'!$C$3:$C$1000="Michelle")*('Game Log Season 3'!$D$3:$D$1000=A63)*('Game Log Season 3'!$X$3:$X$1000&lt;&gt;"")),'Game Log Season 3'!$X$3:$X$1000), D63)</f>
        <v>2.2</v>
      </c>
      <c r="C63" s="46"/>
      <c r="D63" s="49" t="n">
        <v>2.2</v>
      </c>
      <c r="E63" s="47" t="s">
        <v>145</v>
      </c>
    </row>
    <row r="64" customFormat="false" ht="14.25" hidden="false" customHeight="false" outlineLevel="0" collapsed="false">
      <c r="A64" s="49" t="s">
        <v>96</v>
      </c>
      <c r="B64" s="49" t="n">
        <f aca="false">IFERROR(LOOKUP(2,1/(('Game Log Season 3'!$C$3:$C$1000="Michelle")*('Game Log Season 3'!$D$3:$D$1000=A64)*('Game Log Season 3'!$X$3:$X$1000&lt;&gt;"")),'Game Log Season 3'!$X$3:$X$1000), D64)</f>
        <v>2.43069444444444</v>
      </c>
      <c r="D64" s="49" t="n">
        <v>2.4</v>
      </c>
    </row>
    <row r="65" customFormat="false" ht="14.25" hidden="false" customHeight="false" outlineLevel="0" collapsed="false">
      <c r="A65" s="47" t="s">
        <v>146</v>
      </c>
      <c r="B65" s="48" t="n">
        <f aca="false">AVERAGE(B66:B66)</f>
        <v>3</v>
      </c>
      <c r="C65" s="46"/>
    </row>
    <row r="66" customFormat="false" ht="14.25" hidden="false" customHeight="false" outlineLevel="0" collapsed="false">
      <c r="A66" s="49" t="s">
        <v>147</v>
      </c>
      <c r="B66" s="49" t="n">
        <f aca="false">IFERROR(LOOKUP(2,1/(('Game Log Season 3'!$C$3:$C$1000="ZZTestAutoDeploy3")*('Game Log Season 3'!$D$3:$D$1000=A66)*('Game Log Season 3'!$X$3:$X$1000&lt;&gt;"")),'Game Log Season 3'!$X$3:$X$1000), D66)</f>
        <v>3</v>
      </c>
      <c r="C66" s="46"/>
      <c r="D66" s="49" t="n">
        <v>3</v>
      </c>
      <c r="E66" s="47" t="s">
        <v>148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149</v>
      </c>
      <c r="B1" s="45" t="s">
        <v>150</v>
      </c>
      <c r="C1" s="45" t="s">
        <v>151</v>
      </c>
      <c r="D1" s="45" t="s">
        <v>152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7" t="s">
        <v>28</v>
      </c>
      <c r="B7" s="48" t="n">
        <f aca="false">COUNTIFS('Game Log Season 3'!$C$3:$C$1000,A7)</f>
        <v>14</v>
      </c>
      <c r="C7" s="48" t="n">
        <f aca="false">COUNTIFS('Game Log Season 3'!$C$3:$C$1000,A7,'Game Log Season 3'!$F$3:$F$1000,1)</f>
        <v>4</v>
      </c>
      <c r="D7" s="48" t="n">
        <f aca="false">IFERROR(C7/B7,0)</f>
        <v>0.285714285714286</v>
      </c>
    </row>
    <row r="8" customFormat="false" ht="14.25" hidden="false" customHeight="false" outlineLevel="0" collapsed="false">
      <c r="A8" s="49" t="s">
        <v>68</v>
      </c>
      <c r="B8" s="49" t="n">
        <f aca="false">COUNTIFS('Game Log Season 3'!$C$3:$C$1000,"Manny",'Game Log Season 3'!$D$3:$D$1000,A8)</f>
        <v>4</v>
      </c>
      <c r="C8" s="49" t="n">
        <f aca="false">COUNTIFS('Game Log Season 3'!$C$3:$C$1000,"Manny",'Game Log Season 3'!$D$3:$D$1000,A8,'Game Log Season 3'!$F$3:$F$1000,1)</f>
        <v>2</v>
      </c>
      <c r="D8" s="49" t="n">
        <f aca="false">IFERROR(C8/B8,0)</f>
        <v>0.5</v>
      </c>
    </row>
    <row r="9" customFormat="false" ht="14.25" hidden="false" customHeight="false" outlineLevel="0" collapsed="false">
      <c r="A9" s="49" t="s">
        <v>42</v>
      </c>
      <c r="B9" s="49" t="n">
        <f aca="false">COUNTIFS('Game Log Season 3'!$C$3:$C$1000,"Manny",'Game Log Season 3'!$D$3:$D$1000,A9)</f>
        <v>0</v>
      </c>
      <c r="C9" s="49" t="n">
        <f aca="false">COUNTIFS('Game Log Season 3'!$C$3:$C$1000,"Manny",'Game Log Season 3'!$D$3:$D$1000,A9,'Game Log Season 3'!$F$3:$F$1000,1)</f>
        <v>0</v>
      </c>
      <c r="D9" s="49" t="n">
        <f aca="false">IFERROR(C9/B9,0)</f>
        <v>0</v>
      </c>
    </row>
    <row r="10" customFormat="false" ht="14.25" hidden="false" customHeight="false" outlineLevel="0" collapsed="false">
      <c r="A10" s="49" t="s">
        <v>67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82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44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88</v>
      </c>
      <c r="B13" s="49" t="n">
        <f aca="false">COUNTIFS('Game Log Season 3'!$C$3:$C$1000,"Manny",'Game Log Season 3'!$D$3:$D$1000,A13)</f>
        <v>2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48</v>
      </c>
      <c r="B14" s="49" t="n">
        <f aca="false">COUNTIFS('Game Log Season 3'!$C$3:$C$1000,"Manny",'Game Log Season 3'!$D$3:$D$1000,A14)</f>
        <v>0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37</v>
      </c>
      <c r="B15" s="49" t="n">
        <f aca="false">COUNTIFS('Game Log Season 3'!$C$3:$C$1000,"Manny",'Game Log Season 3'!$D$3:$D$1000,A15)</f>
        <v>1</v>
      </c>
      <c r="C15" s="49" t="n">
        <f aca="false">COUNTIFS('Game Log Season 3'!$C$3:$C$1000,"Manny",'Game Log Season 3'!$D$3:$D$1000,A15,'Game Log Season 3'!$F$3:$F$1000,1)</f>
        <v>1</v>
      </c>
      <c r="D15" s="49" t="n">
        <f aca="false">IFERROR(C15/B15,0)</f>
        <v>1</v>
      </c>
    </row>
    <row r="16" customFormat="false" ht="14.25" hidden="false" customHeight="false" outlineLevel="0" collapsed="false">
      <c r="A16" s="49" t="s">
        <v>91</v>
      </c>
      <c r="B16" s="49" t="n">
        <f aca="false">COUNTIFS('Game Log Season 3'!$C$3:$C$1000,"Manny",'Game Log Season 3'!$D$3:$D$1000,A16)</f>
        <v>6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0.166666666666667</v>
      </c>
    </row>
    <row r="17" customFormat="false" ht="14.25" hidden="false" customHeight="false" outlineLevel="0" collapsed="false">
      <c r="A17" s="49" t="s">
        <v>47</v>
      </c>
      <c r="B17" s="49" t="n">
        <f aca="false">COUNTIFS('Game Log Season 3'!$C$3:$C$1000,"Manny",'Game Log Season 3'!$D$3:$D$1000,A17)</f>
        <v>1</v>
      </c>
      <c r="C17" s="49" t="n">
        <f aca="false">COUNTIFS('Game Log Season 3'!$C$3:$C$1000,"Manny",'Game Log Season 3'!$D$3:$D$1000,A17,'Game Log Season 3'!$F$3:$F$1000,1)</f>
        <v>0</v>
      </c>
      <c r="D17" s="49" t="n">
        <f aca="false">IFERROR(C17/B17,0)</f>
        <v>0</v>
      </c>
    </row>
    <row r="18" customFormat="false" ht="14.25" hidden="false" customHeight="false" outlineLevel="0" collapsed="false">
      <c r="A18" s="47" t="s">
        <v>30</v>
      </c>
      <c r="B18" s="48" t="n">
        <f aca="false">COUNTIFS('Game Log Season 3'!$C$3:$C$1000,A18)</f>
        <v>12</v>
      </c>
      <c r="C18" s="48" t="n">
        <f aca="false">COUNTIFS('Game Log Season 3'!$C$3:$C$1000,A18,'Game Log Season 3'!$F$3:$F$1000,1)</f>
        <v>5</v>
      </c>
      <c r="D18" s="48" t="n">
        <f aca="false">IFERROR(C18/B18,0)</f>
        <v>0.416666666666667</v>
      </c>
    </row>
    <row r="19" customFormat="false" ht="14.25" hidden="false" customHeight="false" outlineLevel="0" collapsed="false">
      <c r="A19" s="49" t="s">
        <v>73</v>
      </c>
      <c r="B19" s="49" t="n">
        <f aca="false">COUNTIFS('Game Log Season 3'!$C$3:$C$1000,"Mateo",'Game Log Season 3'!$D$3:$D$1000,A19)</f>
        <v>0</v>
      </c>
      <c r="C19" s="49" t="n">
        <f aca="false">COUNTIFS('Game Log Season 3'!$C$3:$C$1000,"Mateo",'Game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66</v>
      </c>
      <c r="B20" s="49" t="n">
        <f aca="false">COUNTIFS('Game Log Season 3'!$C$3:$C$1000,"Mateo",'Game Log Season 3'!$D$3:$D$1000,A20)</f>
        <v>0</v>
      </c>
      <c r="C20" s="49" t="n">
        <f aca="false">COUNTIFS('Game Log Season 3'!$C$3:$C$1000,"Mateo",'Game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31</v>
      </c>
      <c r="B21" s="49" t="n">
        <f aca="false">COUNTIFS('Game Log Season 3'!$C$3:$C$1000,"Mateo",'Game Log Season 3'!$D$3:$D$1000,A21)</f>
        <v>1</v>
      </c>
      <c r="C21" s="49" t="n">
        <f aca="false">COUNTIFS('Game Log Season 3'!$C$3:$C$1000,"Mateo",'Game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9" t="s">
        <v>34</v>
      </c>
      <c r="B22" s="49" t="n">
        <f aca="false">COUNTIFS('Game Log Season 3'!$C$3:$C$1000,"Mateo",'Game Log Season 3'!$D$3:$D$1000,A22)</f>
        <v>0</v>
      </c>
      <c r="C22" s="49" t="n">
        <f aca="false">COUNTIFS('Game Log Season 3'!$C$3:$C$1000,"Mateo",'Game Log Season 3'!$D$3:$D$1000,A22,'Game Log Season 3'!$F$3:$F$1000,1)</f>
        <v>0</v>
      </c>
      <c r="D22" s="49" t="n">
        <f aca="false">IFERROR(C22/B22,0)</f>
        <v>0</v>
      </c>
    </row>
    <row r="23" customFormat="false" ht="14.25" hidden="false" customHeight="false" outlineLevel="0" collapsed="false">
      <c r="A23" s="49" t="s">
        <v>74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57</v>
      </c>
      <c r="B24" s="49" t="n">
        <f aca="false">COUNTIFS('Game Log Season 3'!$C$3:$C$1000,"Mateo",'Game Log Season 3'!$D$3:$D$1000,A24)</f>
        <v>0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80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81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83</v>
      </c>
      <c r="B27" s="49" t="n">
        <f aca="false">COUNTIFS('Game Log Season 3'!$C$3:$C$1000,"Mateo",'Game Log Season 3'!$D$3:$D$1000,A27)</f>
        <v>1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48</v>
      </c>
      <c r="B28" s="49" t="n">
        <f aca="false">COUNTIFS('Game Log Season 3'!$C$3:$C$1000,"Mateo",'Game Log Season 3'!$D$3:$D$1000,A28)</f>
        <v>1</v>
      </c>
      <c r="C28" s="49" t="n">
        <f aca="false">COUNTIFS('Game Log Season 3'!$C$3:$C$1000,"Mateo",'Game Log Season 3'!$D$3:$D$1000,A28,'Game Log Season 3'!$F$3:$F$1000,1)</f>
        <v>1</v>
      </c>
      <c r="D28" s="49" t="n">
        <f aca="false">IFERROR(C28/B28,0)</f>
        <v>1</v>
      </c>
    </row>
    <row r="29" customFormat="false" ht="14.25" hidden="false" customHeight="false" outlineLevel="0" collapsed="false">
      <c r="A29" s="49" t="s">
        <v>90</v>
      </c>
      <c r="B29" s="49" t="n">
        <f aca="false">COUNTIFS('Game Log Season 3'!$C$3:$C$1000,"Mateo",'Game Log Season 3'!$D$3:$D$1000,A29)</f>
        <v>4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46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1</v>
      </c>
      <c r="D30" s="49" t="n">
        <f aca="false">IFERROR(C30/B30,0)</f>
        <v>1</v>
      </c>
    </row>
    <row r="31" customFormat="false" ht="14.25" hidden="false" customHeight="false" outlineLevel="0" collapsed="false">
      <c r="A31" s="49" t="s">
        <v>92</v>
      </c>
      <c r="B31" s="49" t="n">
        <f aca="false">COUNTIFS('Game Log Season 3'!$C$3:$C$1000,"Mateo",'Game Log Season 3'!$D$3:$D$1000,A31)</f>
        <v>3</v>
      </c>
      <c r="C31" s="49" t="n">
        <f aca="false">COUNTIFS('Game Log Season 3'!$C$3:$C$1000,"Mateo",'Game Log Season 3'!$D$3:$D$1000,A31,'Game Log Season 3'!$F$3:$F$1000,1)</f>
        <v>2</v>
      </c>
      <c r="D31" s="49" t="n">
        <f aca="false">IFERROR(C31/B31,0)</f>
        <v>0.666666666666667</v>
      </c>
    </row>
    <row r="32" customFormat="false" ht="14.25" hidden="false" customHeight="false" outlineLevel="0" collapsed="false">
      <c r="A32" s="49" t="s">
        <v>40</v>
      </c>
      <c r="B32" s="49" t="n">
        <f aca="false">COUNTIFS('Game Log Season 3'!$C$3:$C$1000,"Mateo",'Game Log Season 3'!$D$3:$D$1000,A32)</f>
        <v>1</v>
      </c>
      <c r="C32" s="49" t="n">
        <f aca="false">COUNTIFS('Game Log Season 3'!$C$3:$C$1000,"Mateo",'Game Log Season 3'!$D$3:$D$1000,A32,'Game Log Season 3'!$F$3:$F$1000,1)</f>
        <v>1</v>
      </c>
      <c r="D32" s="49" t="n">
        <f aca="false">IFERROR(C32/B32,0)</f>
        <v>1</v>
      </c>
    </row>
    <row r="33" customFormat="false" ht="14.25" hidden="false" customHeight="false" outlineLevel="0" collapsed="false">
      <c r="A33" s="47" t="s">
        <v>32</v>
      </c>
      <c r="B33" s="48" t="n">
        <f aca="false">COUNTIFS('Game Log Season 3'!$C$3:$C$1000,A33)</f>
        <v>11</v>
      </c>
      <c r="C33" s="48" t="n">
        <f aca="false">COUNTIFS('Game Log Season 3'!$C$3:$C$1000,A33,'Game Log Season 3'!$F$3:$F$1000,1)</f>
        <v>3</v>
      </c>
      <c r="D33" s="48" t="n">
        <f aca="false">IFERROR(C33/B33,0)</f>
        <v>0.272727272727273</v>
      </c>
    </row>
    <row r="34" customFormat="false" ht="14.25" hidden="false" customHeight="false" outlineLevel="0" collapsed="false">
      <c r="A34" s="49" t="s">
        <v>36</v>
      </c>
      <c r="B34" s="49" t="n">
        <f aca="false">COUNTIFS('Game Log Season 3'!$C$3:$C$1000,"Ryan",'Game Log Season 3'!$D$3:$D$1000,A34)</f>
        <v>0</v>
      </c>
      <c r="C34" s="49" t="n">
        <f aca="false">COUNTIFS('Game Log Season 3'!$C$3:$C$1000,"Ryan",'Game Log Season 3'!$D$3:$D$1000,A34,'Game Log Season 3'!$F$3:$F$1000,1)</f>
        <v>0</v>
      </c>
      <c r="D34" s="49" t="n">
        <f aca="false">IFERROR(C34/B34,0)</f>
        <v>0</v>
      </c>
    </row>
    <row r="35" customFormat="false" ht="14.25" hidden="false" customHeight="false" outlineLevel="0" collapsed="false">
      <c r="A35" s="49" t="s">
        <v>62</v>
      </c>
      <c r="B35" s="49" t="n">
        <f aca="false">COUNTIFS('Game Log Season 3'!$C$3:$C$1000,"Ryan",'Game Log Season 3'!$D$3:$D$1000,A35)</f>
        <v>1</v>
      </c>
      <c r="C35" s="49" t="n">
        <f aca="false">COUNTIFS('Game Log Season 3'!$C$3:$C$1000,"Ryan",'Game Log Season 3'!$D$3:$D$1000,A35,'Game Log Season 3'!$F$3:$F$1000,1)</f>
        <v>0</v>
      </c>
      <c r="D35" s="49" t="n">
        <f aca="false">IFERROR(C35/B35,0)</f>
        <v>0</v>
      </c>
    </row>
    <row r="36" customFormat="false" ht="14.25" hidden="false" customHeight="false" outlineLevel="0" collapsed="false">
      <c r="A36" s="49" t="s">
        <v>33</v>
      </c>
      <c r="B36" s="49" t="n">
        <f aca="false">COUNTIFS('Game Log Season 3'!$C$3:$C$1000,"Ryan",'Game Log Season 3'!$D$3:$D$1000,A36)</f>
        <v>0</v>
      </c>
      <c r="C36" s="49" t="n">
        <f aca="false">COUNTIFS('Game Log Season 3'!$C$3:$C$1000,"Ryan",'Game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61</v>
      </c>
      <c r="B37" s="49" t="n">
        <f aca="false">COUNTIFS('Game Log Season 3'!$C$3:$C$1000,"Ryan",'Game Log Season 3'!$D$3:$D$1000,A37)</f>
        <v>0</v>
      </c>
      <c r="C37" s="49" t="n">
        <f aca="false">COUNTIFS('Game Log Season 3'!$C$3:$C$1000,"Ryan",'Game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41</v>
      </c>
      <c r="B38" s="49" t="n">
        <f aca="false">COUNTIFS('Game Log Season 3'!$C$3:$C$1000,"Ryan",'Game Log Season 3'!$D$3:$D$1000,A38)</f>
        <v>1</v>
      </c>
      <c r="C38" s="49" t="n">
        <f aca="false">COUNTIFS('Game Log Season 3'!$C$3:$C$1000,"Ryan",'Game Log Season 3'!$D$3:$D$1000,A38,'Game Log Season 3'!$F$3:$F$1000,1)</f>
        <v>1</v>
      </c>
      <c r="D38" s="49" t="n">
        <f aca="false">IFERROR(C38/B38,0)</f>
        <v>1</v>
      </c>
    </row>
    <row r="39" customFormat="false" ht="14.25" hidden="false" customHeight="false" outlineLevel="0" collapsed="false">
      <c r="A39" s="49" t="s">
        <v>79</v>
      </c>
      <c r="B39" s="49" t="n">
        <f aca="false">COUNTIFS('Game Log Season 3'!$C$3:$C$1000,"Ryan",'Game Log Season 3'!$D$3:$D$1000,A39)</f>
        <v>1</v>
      </c>
      <c r="C39" s="49" t="n">
        <f aca="false">COUNTIFS('Game Log Season 3'!$C$3:$C$1000,"Ryan",'Game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9" t="s">
        <v>54</v>
      </c>
      <c r="B40" s="49" t="n">
        <f aca="false">COUNTIFS('Game Log Season 3'!$C$3:$C$1000,"Ryan",'Game Log Season 3'!$D$3:$D$1000,A40)</f>
        <v>2</v>
      </c>
      <c r="C40" s="49" t="n">
        <f aca="false">COUNTIFS('Game Log Season 3'!$C$3:$C$1000,"Ryan",'Game Log Season 3'!$D$3:$D$1000,A40,'Game Log Season 3'!$F$3:$F$1000,1)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9" t="s">
        <v>87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89</v>
      </c>
      <c r="B42" s="49" t="n">
        <f aca="false">COUNTIFS('Game Log Season 3'!$C$3:$C$1000,"Ryan",'Game Log Season 3'!$D$3:$D$1000,A42)</f>
        <v>2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94</v>
      </c>
      <c r="B43" s="49" t="n">
        <f aca="false">COUNTIFS('Game Log Season 3'!$C$3:$C$1000,"Ryan",'Game Log Season 3'!$D$3:$D$1000,A43)</f>
        <v>2</v>
      </c>
      <c r="C43" s="49" t="n">
        <f aca="false">COUNTIFS('Game Log Season 3'!$C$3:$C$1000,"Ryan",'Game Log Season 3'!$D$3:$D$1000,A43,'Game Log Season 3'!$F$3:$F$1000,1)</f>
        <v>1</v>
      </c>
      <c r="D43" s="49" t="n">
        <f aca="false">IFERROR(C43/B43,0)</f>
        <v>0.5</v>
      </c>
    </row>
    <row r="44" customFormat="false" ht="14.25" hidden="false" customHeight="false" outlineLevel="0" collapsed="false">
      <c r="A44" s="49" t="s">
        <v>97</v>
      </c>
      <c r="B44" s="49" t="n">
        <f aca="false">COUNTIFS('Game Log Season 3'!$C$3:$C$1000,"Ryan",'Game Log Season 3'!$D$3:$D$1000,A44)</f>
        <v>2</v>
      </c>
      <c r="C44" s="49" t="n">
        <f aca="false">COUNTIFS('Game Log Season 3'!$C$3:$C$1000,"Ryan",'Game Log Season 3'!$D$3:$D$1000,A44,'Game Log Season 3'!$F$3:$F$1000,1)</f>
        <v>1</v>
      </c>
      <c r="D44" s="49" t="n">
        <f aca="false">IFERROR(C44/B44,0)</f>
        <v>0.5</v>
      </c>
    </row>
    <row r="45" customFormat="false" ht="14.25" hidden="false" customHeight="false" outlineLevel="0" collapsed="false">
      <c r="A45" s="47" t="s">
        <v>70</v>
      </c>
      <c r="B45" s="48" t="n">
        <f aca="false">COUNTIFS('Game Log Season 3'!$C$3:$C$1000,A45)</f>
        <v>2</v>
      </c>
      <c r="C45" s="48" t="n">
        <f aca="false">COUNTIFS('Game Log Season 3'!$C$3:$C$1000,A45,'Game Log Season 3'!$F$3:$F$1000,1)</f>
        <v>0</v>
      </c>
      <c r="D45" s="48" t="n">
        <f aca="false">IFERROR(C45/B45,0)</f>
        <v>0</v>
      </c>
    </row>
    <row r="46" customFormat="false" ht="14.25" hidden="false" customHeight="false" outlineLevel="0" collapsed="false">
      <c r="A46" s="49" t="s">
        <v>71</v>
      </c>
      <c r="B46" s="49" t="n">
        <f aca="false">COUNTIFS('Game Log Season 3'!$C$3:$C$1000,"Kristy",'Game Log Season 3'!$D$3:$D$1000,A46)</f>
        <v>0</v>
      </c>
      <c r="C46" s="49" t="n">
        <f aca="false">COUNTIFS('Game Log Season 3'!$C$3:$C$1000,"Kristy",'Game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57</v>
      </c>
      <c r="B47" s="49" t="n">
        <f aca="false">COUNTIFS('Game Log Season 3'!$C$3:$C$1000,"Kristy",'Game Log Season 3'!$D$3:$D$1000,A47)</f>
        <v>1</v>
      </c>
      <c r="C47" s="49" t="n">
        <f aca="false">COUNTIFS('Game Log Season 3'!$C$3:$C$1000,"Kristy",'Game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78</v>
      </c>
      <c r="B48" s="49" t="n">
        <f aca="false">COUNTIFS('Game Log Season 3'!$C$3:$C$1000,"Kristy",'Game Log Season 3'!$D$3:$D$1000,A48)</f>
        <v>0</v>
      </c>
      <c r="C48" s="49" t="n">
        <f aca="false">COUNTIFS('Game Log Season 3'!$C$3:$C$1000,"Kristy",'Game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85</v>
      </c>
      <c r="B49" s="49" t="n">
        <f aca="false">COUNTIFS('Game Log Season 3'!$C$3:$C$1000,"Kristy",'Game Log Season 3'!$D$3:$D$1000,A49)</f>
        <v>0</v>
      </c>
      <c r="C49" s="49" t="n">
        <f aca="false">COUNTIFS('Game Log Season 3'!$C$3:$C$1000,"Kristy",'Game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93</v>
      </c>
      <c r="B50" s="49" t="n">
        <f aca="false">COUNTIFS('Game Log Season 3'!$C$3:$C$1000,"Kristy",'Game Log Season 3'!$D$3:$D$1000,A50)</f>
        <v>1</v>
      </c>
      <c r="C50" s="49" t="n">
        <f aca="false">COUNTIFS('Game Log Season 3'!$C$3:$C$1000,"Kristy",'Game Log Season 3'!$D$3:$D$1000,A50,'Game Log Season 3'!$F$3:$F$1000,1)</f>
        <v>0</v>
      </c>
      <c r="D50" s="49" t="n">
        <f aca="false">IFERROR(C50/B50,0)</f>
        <v>0</v>
      </c>
    </row>
    <row r="51" customFormat="false" ht="14.25" hidden="false" customHeight="false" outlineLevel="0" collapsed="false">
      <c r="A51" s="47" t="s">
        <v>38</v>
      </c>
      <c r="B51" s="48" t="n">
        <f aca="false">COUNTIFS('Game Log Season 3'!$C$3:$C$1000,A51)</f>
        <v>1</v>
      </c>
      <c r="C51" s="48" t="n">
        <f aca="false">COUNTIFS('Game Log Season 3'!$C$3:$C$1000,A51,'Game Log Season 3'!$F$3:$F$1000,1)</f>
        <v>0</v>
      </c>
      <c r="D51" s="48" t="n">
        <f aca="false">IFERROR(C51/B51,0)</f>
        <v>0</v>
      </c>
    </row>
    <row r="52" customFormat="false" ht="14.25" hidden="false" customHeight="false" outlineLevel="0" collapsed="false">
      <c r="A52" s="49" t="s">
        <v>49</v>
      </c>
      <c r="B52" s="49" t="n">
        <f aca="false">COUNTIFS('Game Log Season 3'!$C$3:$C$1000,"Joseph",'Game Log Season 3'!$D$3:$D$1000,A52)</f>
        <v>0</v>
      </c>
      <c r="C52" s="49" t="n">
        <f aca="false">COUNTIFS('Game Log Season 3'!$C$3:$C$1000,"Joseph",'Game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76</v>
      </c>
      <c r="B53" s="49" t="n">
        <f aca="false">COUNTIFS('Game Log Season 3'!$C$3:$C$1000,"Joseph",'Game Log Season 3'!$D$3:$D$1000,A53)</f>
        <v>0</v>
      </c>
      <c r="C53" s="49" t="n">
        <f aca="false">COUNTIFS('Game Log Season 3'!$C$3:$C$1000,"Joseph",'Game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77</v>
      </c>
      <c r="B54" s="49" t="n">
        <f aca="false">COUNTIFS('Game Log Season 3'!$C$3:$C$1000,"Joseph",'Game Log Season 3'!$D$3:$D$1000,A54)</f>
        <v>0</v>
      </c>
      <c r="C54" s="49" t="n">
        <f aca="false">COUNTIFS('Game Log Season 3'!$C$3:$C$1000,"Joseph",'Game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9" t="s">
        <v>64</v>
      </c>
      <c r="B55" s="49" t="n">
        <f aca="false">COUNTIFS('Game Log Season 3'!$C$3:$C$1000,"Joseph",'Game Log Season 3'!$D$3:$D$1000,A55)</f>
        <v>0</v>
      </c>
      <c r="C55" s="49" t="n">
        <f aca="false">COUNTIFS('Game Log Season 3'!$C$3:$C$1000,"Joseph",'Game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63</v>
      </c>
      <c r="B56" s="49" t="n">
        <f aca="false">COUNTIFS('Game Log Season 3'!$C$3:$C$1000,"Joseph",'Game Log Season 3'!$D$3:$D$1000,A56)</f>
        <v>1</v>
      </c>
      <c r="C56" s="49" t="n">
        <f aca="false">COUNTIFS('Game Log Season 3'!$C$3:$C$1000,"Joseph",'Game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7" t="s">
        <v>59</v>
      </c>
      <c r="B57" s="48" t="n">
        <f aca="false">COUNTIFS('Game Log Season 3'!$C$3:$C$1000,A57)</f>
        <v>0</v>
      </c>
      <c r="C57" s="48" t="n">
        <f aca="false">COUNTIFS('Game Log Season 3'!$C$3:$C$1000,A57,'Game Log Season 3'!$F$3:$F$1000,1)</f>
        <v>0</v>
      </c>
      <c r="D57" s="48" t="n">
        <f aca="false">IFERROR(C57/B57,0)</f>
        <v>0</v>
      </c>
    </row>
    <row r="58" customFormat="false" ht="14.25" hidden="false" customHeight="false" outlineLevel="0" collapsed="false">
      <c r="A58" s="49" t="s">
        <v>33</v>
      </c>
      <c r="B58" s="49" t="n">
        <f aca="false">COUNTIFS('Game Log Season 3'!$C$3:$C$1000,"Red",'Game Log Season 3'!$D$3:$D$1000,A58)</f>
        <v>0</v>
      </c>
      <c r="C58" s="49" t="n">
        <f aca="false">COUNTIFS('Game Log Season 3'!$C$3:$C$1000,"Red",'Game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69</v>
      </c>
      <c r="B59" s="49" t="n">
        <f aca="false">COUNTIFS('Game Log Season 3'!$C$3:$C$1000,"Red",'Game Log Season 3'!$D$3:$D$1000,A59)</f>
        <v>0</v>
      </c>
      <c r="C59" s="49" t="n">
        <f aca="false">COUNTIFS('Game Log Season 3'!$C$3:$C$1000,"Red",'Game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84</v>
      </c>
      <c r="B60" s="49" t="n">
        <f aca="false">COUNTIFS('Game Log Season 3'!$C$3:$C$1000,"Red",'Game Log Season 3'!$D$3:$D$1000,A60)</f>
        <v>0</v>
      </c>
      <c r="C60" s="49" t="n">
        <f aca="false">COUNTIFS('Game Log Season 3'!$C$3:$C$1000,"Red",'Game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51</v>
      </c>
      <c r="B61" s="48" t="n">
        <f aca="false">COUNTIFS('Game Log Season 3'!$C$3:$C$1000,A61)</f>
        <v>4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52</v>
      </c>
      <c r="B62" s="49" t="n">
        <f aca="false">COUNTIFS('Game Log Season 3'!$C$3:$C$1000,"Michelle",'Game Log Season 3'!$D$3:$D$1000,A62)</f>
        <v>3</v>
      </c>
      <c r="C62" s="49" t="n">
        <f aca="false">COUNTIFS('Game Log Season 3'!$C$3:$C$1000,"Michelle",'Game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86</v>
      </c>
      <c r="B63" s="49" t="n">
        <f aca="false">COUNTIFS('Game Log Season 3'!$C$3:$C$1000,"Michelle",'Game Log Season 3'!$D$3:$D$1000,A63)</f>
        <v>0</v>
      </c>
      <c r="C63" s="49" t="n">
        <f aca="false">COUNTIFS('Game Log Season 3'!$C$3:$C$1000,"Michelle",'Game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96</v>
      </c>
      <c r="B64" s="49" t="n">
        <f aca="false">COUNTIFS('Game Log Season 3'!$C$3:$C$1000,"Michelle",'Game Log Season 3'!$D$3:$D$1000,A64)</f>
        <v>1</v>
      </c>
      <c r="C64" s="49" t="n">
        <f aca="false">COUNTIFS('Game Log Season 3'!$C$3:$C$1000,"Michelle",'Game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7" t="s">
        <v>146</v>
      </c>
      <c r="B65" s="48" t="n">
        <f aca="false">COUNTIFS('Game Log Season 3'!$C$3:$C$1000,A65)</f>
        <v>0</v>
      </c>
      <c r="C65" s="48" t="n">
        <f aca="false">COUNTIFS('Game Log Season 3'!$C$3:$C$1000,A65,'Game Log Season 3'!$F$3:$F$1000,1)</f>
        <v>0</v>
      </c>
      <c r="D65" s="48" t="n">
        <f aca="false">IFERROR(C65/B65,0)</f>
        <v>0</v>
      </c>
    </row>
    <row r="66" customFormat="false" ht="14.25" hidden="false" customHeight="false" outlineLevel="0" collapsed="false">
      <c r="A66" s="49" t="s">
        <v>147</v>
      </c>
      <c r="B66" s="49" t="n">
        <f aca="false">COUNTIFS('Game Log Season 3'!$C$3:$C$1000,"ZZTestAutoDeploy3",'Game Log Season 3'!$D$3:$D$1000,A66)</f>
        <v>0</v>
      </c>
      <c r="C66" s="49" t="n">
        <f aca="false">COUNTIFS('Game Log Season 3'!$C$3:$C$1000,"ZZTestAutoDeploy3",'Game Log Season 3'!$D$3:$D$1000,A66,'Game Log Season 3'!$F$3:$F$1000,1)</f>
        <v>0</v>
      </c>
      <c r="D66" s="49" t="n">
        <f aca="false">IFERROR(C66/B66,0)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153</v>
      </c>
      <c r="B1" s="51" t="s">
        <v>154</v>
      </c>
      <c r="C1" s="51" t="s">
        <v>155</v>
      </c>
      <c r="D1" s="51" t="s">
        <v>156</v>
      </c>
      <c r="E1" s="51" t="s">
        <v>152</v>
      </c>
      <c r="F1" s="51" t="s">
        <v>157</v>
      </c>
      <c r="G1" s="51" t="s">
        <v>158</v>
      </c>
      <c r="H1" s="51" t="s">
        <v>159</v>
      </c>
      <c r="I1" s="51" t="s">
        <v>160</v>
      </c>
      <c r="J1" s="51" t="s">
        <v>161</v>
      </c>
      <c r="K1" s="51" t="s">
        <v>162</v>
      </c>
      <c r="L1" s="51" t="s">
        <v>163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