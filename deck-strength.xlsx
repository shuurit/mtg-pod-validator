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<sst xmlns="http://schemas.openxmlformats.org/spreadsheetml/2006/main" count="797" uniqueCount="120">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</sst>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Munden" refreshedDate="46229.755866898151" createdVersion="8" refreshedVersion="8" minRefreshableVersion="3" recordCount="48" xr:uid="{8056E9D3-2684-4CF2-9B4C-2A704DDBBC90}">
  <cacheSource type="worksheet">
    <worksheetSource ref="A2:X50" sheet="Game Log Season 3"/>
  </cacheSource>
  <cacheFields count="24">
    <cacheField name="Game Date" numFmtId="14">
      <sharedItems containsSemiMixedTypes="0" containsNonDate="0" containsDate="1" containsString="0" minDate="2026-07-01T00:00:00" maxDate="2026-07-26T00:00:00"/>
    </cacheField>
    <cacheField name="Game #" numFmtId="0">
      <sharedItems containsSemiMixedTypes="0" containsString="0" containsNumber="1" containsInteger="1" minValue="1" maxValue="13"/>
    </cacheField>
    <cacheField name="Player Name" numFmtId="0">
      <sharedItems count="7">
        <s v="Becca"/>
        <s v="Mateo"/>
        <s v="Manny"/>
        <s v="Ryan"/>
        <s v="Kristy"/>
        <s v="Michelle"/>
        <s v="Joseph"/>
      </sharedItems>
    </cacheField>
    <cacheField name="Commander" numFmtId="0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numFmtId="164">
      <sharedItems containsSemiMixedTypes="0" containsString="0" containsNumber="1" minValue="2" maxValue="3.9"/>
    </cacheField>
    <cacheField name="Game Result" numFmtId="0">
      <sharedItems containsSemiMixedTypes="0" containsString="0" containsNumber="1" containsInteger="1" minValue="0" maxValue="1"/>
    </cacheField>
    <cacheField name="Place" numFmtId="0">
      <sharedItems containsSemiMixedTypes="0" containsString="0" containsNumber="1" containsInteger="1" minValue="1" maxValue="5"/>
    </cacheField>
    <cacheField name="Pod Size" numFmtId="0">
      <sharedItems containsSemiMixedTypes="0" containsString="0" containsNumber="1" containsInteger="1" minValue="3" maxValue="5"/>
    </cacheField>
    <cacheField name="Knockouts" numFmtId="0">
      <sharedItems containsSemiMixedTypes="0" containsString="0" containsNumber="1" containsInteger="1" minValue="0" maxValue="4"/>
    </cacheField>
    <cacheField name="Adjusted Pod Size Win/Loss Score" numFmtId="0">
      <sharedItems containsSemiMixedTypes="0" containsString="0" containsNumber="1" minValue="-0.33333333333333331" maxValue="0.8"/>
    </cacheField>
    <cacheField name="Knockout Score" numFmtId="0">
      <sharedItems containsSemiMixedTypes="0" containsString="0" containsNumber="1" minValue="6.6666666666666654E-3" maxValue="0.80666666666666664"/>
    </cacheField>
    <cacheField name="Deck Strength Comparison Differential" numFmtId="0">
      <sharedItems containsSemiMixedTypes="0" containsString="0" containsNumber="1" minValue="-1.4750000000000001" maxValue="1.2000000000000002"/>
    </cacheField>
    <cacheField name="Win Probability based on Deck Strength" numFmtId="9">
      <sharedItems containsSemiMixedTypes="0" containsString="0" containsNumber="1" minValue="0.36724999999999997" maxValue="0.60799999999999998"/>
    </cacheField>
    <cacheField name="Player Score" numFmtId="0">
      <sharedItems containsSemiMixedTypes="0" containsString="0" containsNumber="1" minValue="0.2" maxValue="1.8"/>
    </cacheField>
    <cacheField name="Normalized Player Score" numFmtId="0">
      <sharedItems containsSemiMixedTypes="0" containsString="0" containsNumber="1" minValue="2.0000000000000011E-2" maxValue="0.98"/>
    </cacheField>
    <cacheField name="TOV" numFmtId="0">
      <sharedItems containsSemiMixedTypes="0" containsString="0" containsNumber="1" containsInteger="1" minValue="6" maxValue="14"/>
    </cacheField>
    <cacheField name="Normalized TOV" numFmtId="0">
      <sharedItems containsSemiMixedTypes="0" containsString="0" containsNumber="1" minValue="0.16666666666666666" maxValue="0.8666666666666667"/>
    </cacheField>
    <cacheField name="Pop-Off" numFmtId="0">
      <sharedItems containsSemiMixedTypes="0" containsString="0" containsNumber="1" containsInteger="1" minValue="0" maxValue="1"/>
    </cacheField>
    <cacheField name="Disruptions" numFmtId="0">
      <sharedItems containsSemiMixedTypes="0" containsString="0" containsNumber="1" containsInteger="1" minValue="0" maxValue="5"/>
    </cacheField>
    <cacheField name="Successful Recoveries" numFmtId="0">
      <sharedItems containsSemiMixedTypes="0" containsString="0" containsNumber="1" containsInteger="1" minValue="0" maxValue="3"/>
    </cacheField>
    <cacheField name="Deck Resilience Score" numFmtId="0">
      <sharedItems containsSemiMixedTypes="0" containsString="0" containsNumber="1" minValue="0" maxValue="1"/>
    </cacheField>
    <cacheField name="Games Clearly Behind" numFmtId="0">
      <sharedItems containsSemiMixedTypes="0" containsString="0" containsNumber="1" containsInteger="1" minValue="0" maxValue="1"/>
    </cacheField>
    <cacheField name="Current Deck Bracket" numFmtId="0">
      <sharedItems containsSemiMixedTypes="0" containsString="0" containsNumber="1" containsInteger="1" minValue="2" maxValue="3"/>
    </cacheField>
    <cacheField name="Game Calculated Deck Strength" numFmtId="164">
      <sharedItems containsSemiMixedTypes="0" containsString="0" containsNumber="1" minValue="2.2848611111111112" maxValue="3.9558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d v="2026-07-01T00:00:00"/>
    <n v="1"/>
    <x v="0"/>
    <x v="0"/>
    <n v="2.9"/>
    <n v="0"/>
    <n v="2"/>
    <n v="5"/>
    <n v="0"/>
    <n v="-0.2"/>
    <n v="6.6666666666666654E-3"/>
    <n v="-0.35000000000000009"/>
    <n v="0.46849999999999997"/>
    <n v="0.8"/>
    <n v="0.38"/>
    <n v="10"/>
    <n v="0.27777777777777779"/>
    <n v="0"/>
    <n v="1"/>
    <n v="1"/>
    <n v="1"/>
    <n v="0"/>
    <n v="2"/>
    <n v="2.5126111111111111"/>
  </r>
  <r>
    <d v="2026-07-01T00:00:00"/>
    <n v="1"/>
    <x v="1"/>
    <x v="1"/>
    <n v="3.7"/>
    <n v="0"/>
    <n v="2"/>
    <n v="5"/>
    <n v="0"/>
    <n v="-0.2"/>
    <n v="6.6666666666666654E-3"/>
    <n v="0.64999999999999991"/>
    <n v="0.5585"/>
    <n v="0.8"/>
    <n v="0.38"/>
    <n v="10"/>
    <n v="0.27777777777777779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6.6666666666666654E-3"/>
    <n v="-1.4750000000000001"/>
    <n v="0.36724999999999997"/>
    <n v="0.8"/>
    <n v="0.38"/>
    <n v="10"/>
    <n v="0.27777777777777779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4"/>
    <n v="0.89999999999999991"/>
    <n v="0.58099999999999996"/>
    <n v="1.8"/>
    <n v="0.98"/>
    <n v="10"/>
    <n v="0.76666666666666661"/>
    <n v="1"/>
    <n v="1"/>
    <n v="0"/>
    <n v="0"/>
    <n v="0"/>
    <n v="3"/>
    <n v="3.7781666666666665"/>
  </r>
  <r>
    <d v="2026-07-01T00:00:00"/>
    <n v="1"/>
    <x v="4"/>
    <x v="4"/>
    <n v="3.4"/>
    <n v="0"/>
    <n v="2"/>
    <n v="5"/>
    <n v="0"/>
    <n v="-0.2"/>
    <n v="6.6666666666666654E-3"/>
    <n v="0.27499999999999991"/>
    <n v="0.52474999999999994"/>
    <n v="0.8"/>
    <n v="0.38"/>
    <n v="10"/>
    <n v="0.27777777777777779"/>
    <n v="0"/>
    <n v="2"/>
    <n v="0"/>
    <n v="0"/>
    <n v="0"/>
    <n v="3"/>
    <n v="3.3376111111111113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37"/>
    <n v="1"/>
    <n v="0"/>
    <n v="0"/>
    <n v="1"/>
    <n v="0"/>
    <n v="3"/>
    <n v="3.9558333333333335"/>
  </r>
  <r>
    <d v="2026-07-03T00:00:00"/>
    <n v="2"/>
    <x v="5"/>
    <x v="6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1"/>
    <n v="0"/>
    <n v="0"/>
    <n v="1"/>
    <n v="0"/>
    <n v="2"/>
    <n v="2.6688888888888886"/>
  </r>
  <r>
    <d v="2026-07-03T00:00:00"/>
    <n v="2"/>
    <x v="0"/>
    <x v="7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0"/>
    <n v="0"/>
    <n v="0"/>
    <n v="1"/>
    <n v="0"/>
    <n v="2"/>
    <n v="2.4938888888888888"/>
  </r>
  <r>
    <d v="2026-07-03T00:00:00"/>
    <n v="2"/>
    <x v="2"/>
    <x v="8"/>
    <n v="3.6"/>
    <n v="0"/>
    <n v="2"/>
    <n v="4"/>
    <n v="0"/>
    <n v="-0.25"/>
    <n v="1.6666666666666673E-2"/>
    <n v="0.79999999999999982"/>
    <n v="0.57199999999999995"/>
    <n v="0.75"/>
    <n v="0.35000000000000003"/>
    <n v="8"/>
    <n v="0.22222222222222221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27"/>
    <n v="0.42799999999999999"/>
    <n v="1.25"/>
    <n v="0.64999999999999991"/>
    <n v="9"/>
    <n v="0.8"/>
    <n v="1"/>
    <n v="0"/>
    <n v="0"/>
    <n v="1"/>
    <n v="0"/>
    <n v="2"/>
    <n v="2.8600000000000003"/>
  </r>
  <r>
    <d v="2026-07-03T00:00:00"/>
    <n v="3"/>
    <x v="2"/>
    <x v="8"/>
    <n v="3.3"/>
    <n v="0"/>
    <n v="2"/>
    <n v="4"/>
    <n v="1"/>
    <n v="-0.25"/>
    <n v="0.2166666666666667"/>
    <n v="0.26666666666666661"/>
    <n v="0.52400000000000002"/>
    <n v="0.9375"/>
    <n v="0.46250000000000002"/>
    <n v="9"/>
    <n v="0.25"/>
    <n v="0"/>
    <n v="0"/>
    <n v="0"/>
    <n v="1"/>
    <n v="1"/>
    <n v="3"/>
    <n v="3.3574999999999999"/>
  </r>
  <r>
    <d v="2026-07-03T00:00:00"/>
    <n v="3"/>
    <x v="5"/>
    <x v="6"/>
    <n v="2.7"/>
    <n v="0"/>
    <n v="3"/>
    <n v="4"/>
    <n v="1"/>
    <n v="-0.25"/>
    <n v="0.2166666666666667"/>
    <n v="-0.53333333333333277"/>
    <n v="0.45200000000000007"/>
    <n v="0.625"/>
    <n v="0.27500000000000002"/>
    <n v="8"/>
    <n v="0.22222222222222221"/>
    <n v="1"/>
    <n v="1"/>
    <n v="0"/>
    <n v="0"/>
    <n v="0"/>
    <n v="2"/>
    <n v="2.4713888888888889"/>
  </r>
  <r>
    <d v="2026-07-03T00:00:00"/>
    <n v="3"/>
    <x v="1"/>
    <x v="9"/>
    <n v="3.9"/>
    <n v="0"/>
    <n v="4"/>
    <n v="4"/>
    <n v="0"/>
    <n v="-0.25"/>
    <n v="1.6666666666666673E-2"/>
    <n v="1.0666666666666664"/>
    <n v="0.59599999999999997"/>
    <n v="0.25"/>
    <n v="0.05"/>
    <n v="7"/>
    <n v="0.19444444444444445"/>
    <n v="1"/>
    <n v="0"/>
    <n v="0"/>
    <n v="1"/>
    <n v="0"/>
    <n v="3"/>
    <n v="3.5740277777777778"/>
  </r>
  <r>
    <d v="2026-07-03T00:00:00"/>
    <n v="4"/>
    <x v="1"/>
    <x v="10"/>
    <n v="3.8"/>
    <n v="1"/>
    <n v="1"/>
    <n v="3"/>
    <n v="2"/>
    <n v="0.66666666666666674"/>
    <n v="0.4333333333333334"/>
    <n v="1.0999999999999996"/>
    <n v="0.59899999999999998"/>
    <n v="1.6666666666666667"/>
    <n v="0.89999999999999991"/>
    <n v="8"/>
    <n v="0.83333333333333337"/>
    <n v="1"/>
    <n v="0"/>
    <n v="0"/>
    <n v="1"/>
    <n v="0"/>
    <n v="3"/>
    <n v="3.9408333333333334"/>
  </r>
  <r>
    <d v="2026-07-03T00:00:00"/>
    <n v="4"/>
    <x v="0"/>
    <x v="7"/>
    <n v="2.9"/>
    <n v="0"/>
    <n v="2"/>
    <n v="3"/>
    <n v="0"/>
    <n v="-0.33333333333333331"/>
    <n v="3.3333333333333347E-2"/>
    <n v="-0.25"/>
    <n v="0.47749999999999998"/>
    <n v="0.66666666666666663"/>
    <n v="0.3"/>
    <n v="8"/>
    <n v="0.22222222222222221"/>
    <n v="0"/>
    <n v="1"/>
    <n v="0"/>
    <n v="0"/>
    <n v="0"/>
    <n v="2"/>
    <n v="2.3038888888888889"/>
  </r>
  <r>
    <d v="2026-07-03T00:00:00"/>
    <n v="4"/>
    <x v="2"/>
    <x v="11"/>
    <n v="2.5"/>
    <n v="0"/>
    <n v="2"/>
    <n v="3"/>
    <n v="0"/>
    <n v="-0.33333333333333331"/>
    <n v="3.3333333333333347E-2"/>
    <n v="-0.84999999999999964"/>
    <n v="0.42350000000000004"/>
    <n v="0.66666666666666663"/>
    <n v="0.3"/>
    <n v="8"/>
    <n v="0.22222222222222221"/>
    <n v="0"/>
    <n v="1"/>
    <n v="0"/>
    <n v="0"/>
    <n v="0"/>
    <n v="2"/>
    <n v="2.3038888888888889"/>
  </r>
  <r>
    <d v="2026-07-08T00:00:00"/>
    <n v="5"/>
    <x v="0"/>
    <x v="0"/>
    <n v="2.5"/>
    <n v="1"/>
    <n v="1"/>
    <n v="4"/>
    <n v="1"/>
    <n v="0.75"/>
    <n v="0.2166666666666667"/>
    <n v="-0.86666666666666714"/>
    <n v="0.42199999999999993"/>
    <n v="1.25"/>
    <n v="0.64999999999999991"/>
    <n v="14"/>
    <n v="0.6333333333333333"/>
    <n v="1"/>
    <n v="3"/>
    <n v="2"/>
    <n v="0.66666666666666663"/>
    <n v="0"/>
    <n v="2"/>
    <n v="2.7725"/>
  </r>
  <r>
    <d v="2026-07-08T00:00:00"/>
    <n v="5"/>
    <x v="1"/>
    <x v="1"/>
    <n v="3.7"/>
    <n v="0"/>
    <n v="2"/>
    <n v="4"/>
    <n v="2"/>
    <n v="-0.25"/>
    <n v="0.41666666666666669"/>
    <n v="0.73333333333333339"/>
    <n v="0.56600000000000006"/>
    <n v="1.125"/>
    <n v="0.57499999999999996"/>
    <n v="14"/>
    <n v="0.3888888888888889"/>
    <n v="1"/>
    <n v="5"/>
    <n v="2"/>
    <n v="0.4"/>
    <n v="0"/>
    <n v="3"/>
    <n v="3.6605555555555558"/>
  </r>
  <r>
    <d v="2026-07-08T00:00:00"/>
    <n v="5"/>
    <x v="3"/>
    <x v="12"/>
    <n v="3.7"/>
    <n v="0"/>
    <n v="3"/>
    <n v="4"/>
    <n v="0"/>
    <n v="-0.25"/>
    <n v="1.6666666666666673E-2"/>
    <n v="0.73333333333333339"/>
    <n v="0.56600000000000006"/>
    <n v="0.5"/>
    <n v="0.2"/>
    <n v="14"/>
    <n v="0.3888888888888889"/>
    <n v="1"/>
    <n v="5"/>
    <n v="3"/>
    <n v="0.6"/>
    <n v="0"/>
    <n v="3"/>
    <n v="3.5830555555555552"/>
  </r>
  <r>
    <d v="2026-07-08T00:00:00"/>
    <n v="5"/>
    <x v="2"/>
    <x v="2"/>
    <n v="2.7"/>
    <n v="0"/>
    <n v="4"/>
    <n v="4"/>
    <n v="0"/>
    <n v="-0.25"/>
    <n v="1.6666666666666673E-2"/>
    <n v="-0.60000000000000009"/>
    <n v="0.44600000000000001"/>
    <n v="0.25"/>
    <n v="0.05"/>
    <n v="12"/>
    <n v="0.33333333333333331"/>
    <n v="1"/>
    <n v="1"/>
    <n v="1"/>
    <n v="1"/>
    <n v="0"/>
    <n v="2"/>
    <n v="2.5983333333333336"/>
  </r>
  <r>
    <d v="2026-07-17T00:00:00"/>
    <n v="6"/>
    <x v="1"/>
    <x v="13"/>
    <n v="2"/>
    <n v="1"/>
    <n v="1"/>
    <n v="5"/>
    <n v="2"/>
    <n v="0.8"/>
    <n v="0.40666666666666662"/>
    <n v="-0.77499999999999991"/>
    <n v="0.43025000000000002"/>
    <n v="1.4"/>
    <n v="0.73999999999999988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2"/>
    <n v="0.47500000000000009"/>
    <n v="0.54274999999999995"/>
    <n v="1.1199999999999999"/>
    <n v="0.57199999999999995"/>
    <n v="9"/>
    <n v="0.25"/>
    <n v="1"/>
    <n v="0"/>
    <n v="0"/>
    <n v="1"/>
    <n v="0"/>
    <n v="3"/>
    <n v="3.7403500000000003"/>
  </r>
  <r>
    <d v="2026-07-17T00:00:00"/>
    <n v="6"/>
    <x v="2"/>
    <x v="2"/>
    <n v="2.6"/>
    <n v="0"/>
    <n v="3"/>
    <n v="5"/>
    <n v="0"/>
    <n v="-0.2"/>
    <n v="6.6666666666666654E-3"/>
    <n v="-2.4999999999999911E-2"/>
    <n v="0.49775000000000003"/>
    <n v="0.6"/>
    <n v="0.26"/>
    <n v="8"/>
    <n v="0.22222222222222221"/>
    <n v="0"/>
    <n v="0"/>
    <n v="0"/>
    <n v="1"/>
    <n v="0"/>
    <n v="2"/>
    <n v="2.4668888888888887"/>
  </r>
  <r>
    <d v="2026-07-17T00:00:00"/>
    <n v="6"/>
    <x v="3"/>
    <x v="15"/>
    <n v="3.5"/>
    <n v="0"/>
    <n v="4"/>
    <n v="5"/>
    <n v="0"/>
    <n v="-0.2"/>
    <n v="6.6666666666666654E-3"/>
    <n v="1.1000000000000001"/>
    <n v="0.59899999999999998"/>
    <n v="0.4"/>
    <n v="0.14000000000000001"/>
    <n v="8"/>
    <n v="0.22222222222222221"/>
    <n v="0"/>
    <n v="0"/>
    <n v="0"/>
    <n v="1"/>
    <n v="0"/>
    <n v="3"/>
    <n v="3.4308888888888891"/>
  </r>
  <r>
    <d v="2026-07-17T00:00:00"/>
    <n v="6"/>
    <x v="4"/>
    <x v="16"/>
    <n v="2"/>
    <n v="0"/>
    <n v="5"/>
    <n v="5"/>
    <n v="0"/>
    <n v="-0.2"/>
    <n v="6.6666666666666654E-3"/>
    <n v="-0.77499999999999991"/>
    <n v="0.43025000000000002"/>
    <n v="0.2"/>
    <n v="2.0000000000000011E-2"/>
    <n v="8"/>
    <n v="0.22222222222222221"/>
    <n v="0"/>
    <n v="0"/>
    <n v="0"/>
    <n v="1"/>
    <n v="0"/>
    <n v="2"/>
    <n v="2.3948888888888886"/>
  </r>
  <r>
    <d v="2026-07-17T00:00:00"/>
    <n v="7"/>
    <x v="2"/>
    <x v="17"/>
    <n v="3.5"/>
    <n v="1"/>
    <n v="1"/>
    <n v="4"/>
    <n v="2"/>
    <n v="0.75"/>
    <n v="0.41666666666666669"/>
    <n v="0.66666666666666652"/>
    <n v="0.55999999999999994"/>
    <n v="1.5"/>
    <n v="0.79999999999999993"/>
    <n v="8"/>
    <n v="0.83333333333333337"/>
    <n v="1"/>
    <n v="0"/>
    <n v="0"/>
    <n v="1"/>
    <n v="0"/>
    <n v="3"/>
    <n v="3.9108333333333336"/>
  </r>
  <r>
    <d v="2026-07-17T00:00:00"/>
    <n v="7"/>
    <x v="3"/>
    <x v="18"/>
    <n v="2"/>
    <n v="0"/>
    <n v="2"/>
    <n v="4"/>
    <n v="1"/>
    <n v="-0.25"/>
    <n v="0.2166666666666667"/>
    <n v="-1.3333333333333335"/>
    <n v="0.38"/>
    <n v="0.9375"/>
    <n v="0.46250000000000002"/>
    <n v="8"/>
    <n v="0.22222222222222221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1.6666666666666673E-2"/>
    <n v="0.93333333333333313"/>
    <n v="0.58399999999999996"/>
    <n v="0.75"/>
    <n v="0.35000000000000003"/>
    <n v="8"/>
    <n v="0.22222222222222221"/>
    <n v="0"/>
    <n v="0"/>
    <n v="0"/>
    <n v="1"/>
    <n v="0"/>
    <n v="3"/>
    <n v="3.4938888888888888"/>
  </r>
  <r>
    <d v="2026-07-17T00:00:00"/>
    <n v="7"/>
    <x v="0"/>
    <x v="0"/>
    <n v="2.8"/>
    <n v="0"/>
    <n v="4"/>
    <n v="4"/>
    <n v="0"/>
    <n v="-0.25"/>
    <n v="1.6666666666666673E-2"/>
    <n v="-0.26666666666666661"/>
    <n v="0.47599999999999998"/>
    <n v="0.25"/>
    <n v="0.05"/>
    <n v="8"/>
    <n v="0.22222222222222221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4"/>
    <n v="0.4333333333333334"/>
    <n v="1.1999999999999997"/>
    <n v="0.60799999999999998"/>
    <n v="1.6666666666666667"/>
    <n v="0.89999999999999991"/>
    <n v="9"/>
    <n v="0.8"/>
    <n v="1"/>
    <n v="0"/>
    <n v="0"/>
    <n v="1"/>
    <n v="0"/>
    <n v="3"/>
    <n v="3.9350000000000001"/>
  </r>
  <r>
    <d v="2026-07-22T00:00:00"/>
    <n v="8"/>
    <x v="0"/>
    <x v="19"/>
    <n v="2"/>
    <n v="0"/>
    <n v="2"/>
    <n v="3"/>
    <n v="0"/>
    <n v="-0.33333333333333331"/>
    <n v="3.3333333333333347E-2"/>
    <n v="-0.89999999999999991"/>
    <n v="0.41900000000000004"/>
    <n v="0.66666666666666663"/>
    <n v="0.3"/>
    <n v="9"/>
    <n v="0.25"/>
    <n v="0"/>
    <n v="0"/>
    <n v="0"/>
    <n v="1"/>
    <n v="0"/>
    <n v="2"/>
    <n v="2.4837500000000001"/>
  </r>
  <r>
    <d v="2026-07-22T00:00:00"/>
    <n v="8"/>
    <x v="3"/>
    <x v="20"/>
    <n v="2.4"/>
    <n v="0"/>
    <n v="3"/>
    <n v="3"/>
    <n v="0"/>
    <n v="-0.33333333333333331"/>
    <n v="3.3333333333333347E-2"/>
    <n v="-0.30000000000000027"/>
    <n v="0.47299999999999998"/>
    <n v="0.33333333333333331"/>
    <n v="9.9999999999999992E-2"/>
    <n v="8"/>
    <n v="0.22222222222222221"/>
    <n v="1"/>
    <n v="0"/>
    <n v="0"/>
    <n v="1"/>
    <n v="0"/>
    <n v="2"/>
    <n v="2.5938888888888889"/>
  </r>
  <r>
    <d v="2026-07-24T00:00:00"/>
    <n v="9"/>
    <x v="2"/>
    <x v="8"/>
    <n v="3.9"/>
    <n v="1"/>
    <n v="1"/>
    <n v="4"/>
    <n v="3"/>
    <n v="0.75"/>
    <n v="0.6166666666666667"/>
    <n v="1.0999999999999996"/>
    <n v="0.59899999999999998"/>
    <n v="1.75"/>
    <n v="0.95"/>
    <n v="13"/>
    <n v="0.66666666666666674"/>
    <n v="1"/>
    <n v="2"/>
    <n v="1"/>
    <n v="0.5"/>
    <n v="0"/>
    <n v="3"/>
    <n v="3.8391666666666664"/>
  </r>
  <r>
    <d v="2026-07-24T00:00:00"/>
    <n v="9"/>
    <x v="3"/>
    <x v="21"/>
    <n v="3.5"/>
    <n v="0"/>
    <n v="2"/>
    <n v="4"/>
    <n v="0"/>
    <n v="-0.25"/>
    <n v="1.6666666666666673E-2"/>
    <n v="0.56666666666666643"/>
    <n v="0.55099999999999993"/>
    <n v="0.75"/>
    <n v="0.35000000000000003"/>
    <n v="13"/>
    <n v="0.3611111111111111"/>
    <n v="1"/>
    <n v="2"/>
    <n v="1"/>
    <n v="0.5"/>
    <n v="0"/>
    <n v="3"/>
    <n v="3.6056944444444445"/>
  </r>
  <r>
    <d v="2026-07-24T00:00:00"/>
    <n v="9"/>
    <x v="1"/>
    <x v="13"/>
    <n v="2.9"/>
    <n v="0"/>
    <n v="2"/>
    <n v="4"/>
    <n v="0"/>
    <n v="-0.25"/>
    <n v="1.6666666666666673E-2"/>
    <n v="-0.23333333333333339"/>
    <n v="0.47899999999999998"/>
    <n v="0.75"/>
    <n v="0.35000000000000003"/>
    <n v="13"/>
    <n v="0.3611111111111111"/>
    <n v="0"/>
    <n v="3"/>
    <n v="2"/>
    <n v="0.66666666666666663"/>
    <n v="1"/>
    <n v="2"/>
    <n v="2.2848611111111112"/>
  </r>
  <r>
    <d v="2026-07-24T00:00:00"/>
    <n v="9"/>
    <x v="5"/>
    <x v="22"/>
    <n v="2"/>
    <n v="0"/>
    <n v="2"/>
    <n v="4"/>
    <n v="0"/>
    <n v="-0.25"/>
    <n v="1.6666666666666673E-2"/>
    <n v="-1.4333333333333336"/>
    <n v="0.371"/>
    <n v="0.75"/>
    <n v="0.35000000000000003"/>
    <n v="13"/>
    <n v="0.3611111111111111"/>
    <n v="0"/>
    <n v="2"/>
    <n v="1"/>
    <n v="0.5"/>
    <n v="0"/>
    <n v="2"/>
    <n v="2.4306944444444443"/>
  </r>
  <r>
    <d v="2026-07-24T00:00:00"/>
    <n v="10"/>
    <x v="1"/>
    <x v="23"/>
    <n v="3"/>
    <n v="1"/>
    <n v="1"/>
    <n v="3"/>
    <n v="2"/>
    <n v="0.66666666666666674"/>
    <n v="0.4333333333333334"/>
    <n v="0.25"/>
    <n v="0.52249999999999996"/>
    <n v="1.6666666666666667"/>
    <n v="0.89999999999999991"/>
    <n v="9"/>
    <n v="0.8"/>
    <n v="1"/>
    <n v="0"/>
    <n v="0"/>
    <n v="1"/>
    <n v="0"/>
    <n v="3"/>
    <n v="3.9350000000000001"/>
  </r>
  <r>
    <d v="2026-07-24T00:00:00"/>
    <n v="10"/>
    <x v="2"/>
    <x v="2"/>
    <n v="2.5"/>
    <n v="0"/>
    <n v="2"/>
    <n v="3"/>
    <n v="0"/>
    <n v="-0.33333333333333331"/>
    <n v="3.3333333333333347E-2"/>
    <n v="-0.5"/>
    <n v="0.45500000000000002"/>
    <n v="0.66666666666666663"/>
    <n v="0.3"/>
    <n v="9"/>
    <n v="0.25"/>
    <n v="0"/>
    <n v="0"/>
    <n v="0"/>
    <n v="1"/>
    <n v="0"/>
    <n v="2"/>
    <n v="2.4837500000000001"/>
  </r>
  <r>
    <d v="2026-07-24T00:00:00"/>
    <n v="10"/>
    <x v="3"/>
    <x v="24"/>
    <n v="3"/>
    <n v="0"/>
    <n v="2"/>
    <n v="3"/>
    <n v="0"/>
    <n v="-0.33333333333333331"/>
    <n v="3.3333333333333347E-2"/>
    <n v="0.25"/>
    <n v="0.52249999999999996"/>
    <n v="0.66666666666666663"/>
    <n v="0.3"/>
    <n v="9"/>
    <n v="0.25"/>
    <n v="0"/>
    <n v="0"/>
    <n v="0"/>
    <n v="1"/>
    <n v="1"/>
    <n v="3"/>
    <n v="3.3087499999999999"/>
  </r>
  <r>
    <d v="2026-07-25T00:00:00"/>
    <n v="11"/>
    <x v="3"/>
    <x v="18"/>
    <n v="2.7"/>
    <n v="1"/>
    <n v="1"/>
    <n v="3"/>
    <n v="2"/>
    <n v="0.66666666666666674"/>
    <n v="0.4333333333333334"/>
    <n v="-0.19999999999999973"/>
    <n v="0.48200000000000004"/>
    <n v="1.6666666666666667"/>
    <n v="0.89999999999999991"/>
    <n v="8"/>
    <n v="0.83333333333333337"/>
    <n v="1"/>
    <n v="0"/>
    <n v="0"/>
    <n v="1"/>
    <n v="0"/>
    <n v="2"/>
    <n v="2.9408333333333334"/>
  </r>
  <r>
    <d v="2026-07-25T00:00:00"/>
    <n v="11"/>
    <x v="2"/>
    <x v="11"/>
    <n v="2.2999999999999998"/>
    <n v="0"/>
    <n v="2"/>
    <n v="3"/>
    <n v="0"/>
    <n v="-0.33333333333333331"/>
    <n v="3.3333333333333347E-2"/>
    <n v="-0.80000000000000027"/>
    <n v="0.42799999999999999"/>
    <n v="0.66666666666666663"/>
    <n v="0.3"/>
    <n v="8"/>
    <n v="0.22222222222222221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1"/>
    <n v="3.3333333333333347E-2"/>
    <n v="1"/>
    <n v="0.59"/>
    <n v="0.66666666666666663"/>
    <n v="0.3"/>
    <n v="8"/>
    <n v="0.22222222222222221"/>
    <n v="1"/>
    <n v="0"/>
    <n v="0"/>
    <n v="1"/>
    <n v="0"/>
    <n v="3"/>
    <n v="3.653888888888889"/>
  </r>
  <r>
    <d v="2026-07-25T00:00:00"/>
    <n v="12"/>
    <x v="1"/>
    <x v="13"/>
    <n v="2.2999999999999998"/>
    <n v="1"/>
    <n v="1"/>
    <n v="3"/>
    <n v="2"/>
    <n v="0.66666666666666674"/>
    <n v="0.4333333333333334"/>
    <n v="-0.75"/>
    <n v="0.4325"/>
    <n v="1.6666666666666667"/>
    <n v="0.89999999999999991"/>
    <n v="7"/>
    <n v="0.8666666666666667"/>
    <n v="1"/>
    <n v="0"/>
    <n v="0"/>
    <n v="1"/>
    <n v="0"/>
    <n v="2"/>
    <n v="2.9466666666666668"/>
  </r>
  <r>
    <d v="2026-07-25T00:00:00"/>
    <n v="12"/>
    <x v="2"/>
    <x v="2"/>
    <n v="2.5"/>
    <n v="0"/>
    <n v="2"/>
    <n v="3"/>
    <n v="0"/>
    <n v="-0.33333333333333331"/>
    <n v="3.3333333333333347E-2"/>
    <n v="-0.45000000000000018"/>
    <n v="0.45949999999999996"/>
    <n v="0.66666666666666663"/>
    <n v="0.3"/>
    <n v="7"/>
    <n v="0.19444444444444445"/>
    <n v="0"/>
    <n v="0"/>
    <n v="0"/>
    <n v="1"/>
    <n v="1"/>
    <n v="2"/>
    <n v="2.2990277777777779"/>
  </r>
  <r>
    <d v="2026-07-25T00:00:00"/>
    <n v="12"/>
    <x v="3"/>
    <x v="12"/>
    <n v="3.6"/>
    <n v="0"/>
    <n v="3"/>
    <n v="3"/>
    <n v="0"/>
    <n v="-0.33333333333333331"/>
    <n v="3.3333333333333347E-2"/>
    <n v="1.2000000000000002"/>
    <n v="0.60799999999999998"/>
    <n v="0.33333333333333331"/>
    <n v="9.9999999999999992E-2"/>
    <n v="6"/>
    <n v="0.16666666666666666"/>
    <n v="1"/>
    <n v="0"/>
    <n v="0"/>
    <n v="1"/>
    <n v="0"/>
    <n v="3"/>
    <n v="3.5841666666666665"/>
  </r>
  <r>
    <d v="2026-07-25T00:00:00"/>
    <n v="13"/>
    <x v="3"/>
    <x v="24"/>
    <n v="3.3"/>
    <n v="1"/>
    <n v="1"/>
    <n v="3"/>
    <n v="2"/>
    <n v="0.66666666666666674"/>
    <n v="0.4333333333333334"/>
    <n v="-5.0000000000000266E-2"/>
    <n v="0.4955"/>
    <n v="1.6666666666666667"/>
    <n v="0.89999999999999991"/>
    <n v="11"/>
    <n v="0.73333333333333339"/>
    <n v="1"/>
    <n v="0"/>
    <n v="0"/>
    <n v="1"/>
    <n v="0"/>
    <n v="3"/>
    <n v="3.9233333333333333"/>
  </r>
  <r>
    <d v="2026-07-25T00:00:00"/>
    <n v="13"/>
    <x v="2"/>
    <x v="25"/>
    <n v="3"/>
    <n v="0"/>
    <n v="2"/>
    <n v="3"/>
    <n v="0"/>
    <n v="-0.33333333333333331"/>
    <n v="3.3333333333333347E-2"/>
    <n v="-0.5"/>
    <n v="0.45500000000000002"/>
    <n v="0.66666666666666663"/>
    <n v="0.3"/>
    <n v="11"/>
    <n v="0.30555555555555558"/>
    <n v="0"/>
    <n v="0"/>
    <n v="0"/>
    <n v="1"/>
    <n v="0"/>
    <n v="3"/>
    <n v="3.4934722222222221"/>
  </r>
  <r>
    <d v="2026-07-25T00:00:00"/>
    <n v="13"/>
    <x v="1"/>
    <x v="26"/>
    <n v="3.7"/>
    <n v="0"/>
    <n v="3"/>
    <n v="3"/>
    <n v="0"/>
    <n v="-0.33333333333333331"/>
    <n v="3.3333333333333347E-2"/>
    <n v="0.55000000000000027"/>
    <n v="0.54949999999999999"/>
    <n v="0.33333333333333331"/>
    <n v="9.9999999999999992E-2"/>
    <n v="9"/>
    <n v="0.25"/>
    <n v="1"/>
    <n v="0"/>
    <n v="0"/>
    <n v="1"/>
    <n v="0"/>
    <n v="3"/>
    <n v="3.59874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A64-BCF0-4340-B4AC-DDB207BCA5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6" firstHeaderRow="0" firstDataRow="1" firstDataCol="1"/>
  <pivotFields count="24">
    <pivotField numFmtId="14"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axis="axisRow" showAll="0">
      <items count="28">
        <item x="0"/>
        <item x="4"/>
        <item x="3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</pivotFields>
  <rowFields count="2">
    <field x="2"/>
    <field x="3"/>
  </rowFields>
  <rowItems count="35">
    <i>
      <x/>
    </i>
    <i r="1">
      <x/>
    </i>
    <i r="1">
      <x v="7"/>
    </i>
    <i r="1">
      <x v="19"/>
    </i>
    <i>
      <x v="1"/>
    </i>
    <i r="1">
      <x v="4"/>
    </i>
    <i r="1">
      <x v="8"/>
    </i>
    <i r="1">
      <x v="11"/>
    </i>
    <i r="1">
      <x v="17"/>
    </i>
    <i r="1">
      <x v="25"/>
    </i>
    <i>
      <x v="2"/>
    </i>
    <i r="1">
      <x v="3"/>
    </i>
    <i r="1">
      <x v="5"/>
    </i>
    <i r="1">
      <x v="9"/>
    </i>
    <i r="1">
      <x v="10"/>
    </i>
    <i r="1">
      <x v="13"/>
    </i>
    <i r="1">
      <x v="23"/>
    </i>
    <i r="1">
      <x v="26"/>
    </i>
    <i>
      <x v="3"/>
    </i>
    <i r="1">
      <x v="2"/>
    </i>
    <i r="1">
      <x v="12"/>
    </i>
    <i r="1">
      <x v="15"/>
    </i>
    <i r="1">
      <x v="18"/>
    </i>
    <i r="1">
      <x v="20"/>
    </i>
    <i r="1">
      <x v="21"/>
    </i>
    <i r="1">
      <x v="24"/>
    </i>
    <i>
      <x v="4"/>
    </i>
    <i r="1">
      <x v="1"/>
    </i>
    <i r="1">
      <x v="16"/>
    </i>
    <i>
      <x v="5"/>
    </i>
    <i r="1">
      <x v="6"/>
    </i>
    <i r="1">
      <x v="22"/>
    </i>
    <i>
      <x v="6"/>
    </i>
    <i r="1"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me Result" fld="5" subtotal="count" baseField="2" baseItem="0"/>
    <dataField name="Sum of Game Resul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/>
      <c r="E51" s="3"/>
      <c r="M51" s="48"/>
      <c r="X51" s="3"/>
    </row>
    <row r="52" spans="1:24" x14ac:dyDescent="0.3">
      <c r="A52" s="1"/>
      <c r="E52" s="3"/>
      <c r="M52" s="48"/>
      <c r="X52" s="3"/>
    </row>
    <row r="53" spans="1:24" x14ac:dyDescent="0.3">
      <c r="A53" s="1"/>
      <c r="E53" s="3"/>
      <c r="M53" s="48"/>
      <c r="X53" s="3"/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C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</cols>
  <sheetData>
    <row r="1" spans="1:3" x14ac:dyDescent="0.3">
      <c r="A1" s="51" t="s">
        <v>95</v>
      </c>
      <c r="B1" s="51" t="s">
        <v>96</v>
      </c>
      <c r="C1" s="57"/>
    </row>
    <row r="2" spans="1:3" x14ac:dyDescent="0.3">
      <c r="A2" s="50" t="s">
        <v>5</v>
      </c>
      <c r="B2" s="52">
        <f>AVERAGE(B3:B6)</f>
        <v>2.7249999999999996</v>
      </c>
      <c r="C2" s="57"/>
    </row>
    <row r="3" spans="1:3" x14ac:dyDescent="0.3">
      <c r="A3" s="41" t="s">
        <v>11</v>
      </c>
      <c r="B3" s="41">
        <v>2.4</v>
      </c>
      <c r="C3" s="57"/>
    </row>
    <row r="4" spans="1:3" x14ac:dyDescent="0.3">
      <c r="A4" s="41" t="s">
        <v>24</v>
      </c>
      <c r="B4" s="41">
        <v>3.7</v>
      </c>
      <c r="C4" s="57" t="s">
        <v>99</v>
      </c>
    </row>
    <row r="5" spans="1:3" x14ac:dyDescent="0.3">
      <c r="A5" s="41" t="s">
        <v>90</v>
      </c>
      <c r="B5" s="41">
        <v>2.2999999999999998</v>
      </c>
      <c r="C5" s="57"/>
    </row>
    <row r="6" spans="1:3" x14ac:dyDescent="0.3">
      <c r="A6" s="41" t="s">
        <v>117</v>
      </c>
      <c r="B6" s="41">
        <v>2.5</v>
      </c>
      <c r="C6" s="57"/>
    </row>
    <row r="7" spans="1:3" x14ac:dyDescent="0.3">
      <c r="A7" s="50" t="s">
        <v>3</v>
      </c>
      <c r="B7" s="52">
        <f>AVERAGE(B8:B17)</f>
        <v>3.22</v>
      </c>
      <c r="C7" s="57"/>
    </row>
    <row r="8" spans="1:3" x14ac:dyDescent="0.3">
      <c r="A8" s="41" t="s">
        <v>86</v>
      </c>
      <c r="B8" s="41">
        <v>3.8</v>
      </c>
      <c r="C8" s="57"/>
    </row>
    <row r="9" spans="1:3" x14ac:dyDescent="0.3">
      <c r="A9" s="41" t="s">
        <v>42</v>
      </c>
      <c r="B9" s="41">
        <v>3.9</v>
      </c>
      <c r="C9" s="57"/>
    </row>
    <row r="10" spans="1:3" ht="28.8" x14ac:dyDescent="0.3">
      <c r="A10" s="41" t="s">
        <v>83</v>
      </c>
      <c r="B10" s="41">
        <v>3.4</v>
      </c>
      <c r="C10" s="57" t="s">
        <v>107</v>
      </c>
    </row>
    <row r="11" spans="1:3" x14ac:dyDescent="0.3">
      <c r="A11" s="41" t="s">
        <v>101</v>
      </c>
      <c r="B11" s="41">
        <v>2.6</v>
      </c>
      <c r="C11" s="57"/>
    </row>
    <row r="12" spans="1:3" x14ac:dyDescent="0.3">
      <c r="A12" s="41" t="s">
        <v>44</v>
      </c>
      <c r="B12" s="41">
        <v>3.5</v>
      </c>
      <c r="C12" s="57" t="s">
        <v>99</v>
      </c>
    </row>
    <row r="13" spans="1:3" x14ac:dyDescent="0.3">
      <c r="A13" s="41" t="s">
        <v>109</v>
      </c>
      <c r="B13" s="41">
        <v>2.7</v>
      </c>
      <c r="C13" s="57"/>
    </row>
    <row r="14" spans="1:3" x14ac:dyDescent="0.3">
      <c r="A14" s="41" t="s">
        <v>46</v>
      </c>
      <c r="B14" s="41">
        <v>2.6</v>
      </c>
      <c r="C14" s="57"/>
    </row>
    <row r="15" spans="1:3" x14ac:dyDescent="0.3">
      <c r="A15" s="41" t="s">
        <v>39</v>
      </c>
      <c r="B15" s="41">
        <v>3.9</v>
      </c>
      <c r="C15" s="57"/>
    </row>
    <row r="16" spans="1:3" x14ac:dyDescent="0.3">
      <c r="A16" s="41" t="s">
        <v>113</v>
      </c>
      <c r="B16" s="41">
        <v>2.2999999999999998</v>
      </c>
      <c r="C16" s="57"/>
    </row>
    <row r="17" spans="1:3" x14ac:dyDescent="0.3">
      <c r="A17" s="41" t="s">
        <v>9</v>
      </c>
      <c r="B17" s="41">
        <v>3.5</v>
      </c>
      <c r="C17" s="57"/>
    </row>
    <row r="18" spans="1:3" x14ac:dyDescent="0.3">
      <c r="A18" s="50" t="s">
        <v>6</v>
      </c>
      <c r="B18" s="52">
        <f>AVERAGE(B19:B32)</f>
        <v>3.3142857142857141</v>
      </c>
      <c r="C18" s="57"/>
    </row>
    <row r="19" spans="1:3" x14ac:dyDescent="0.3">
      <c r="A19" s="41" t="s">
        <v>88</v>
      </c>
      <c r="B19" s="41">
        <v>2.4</v>
      </c>
      <c r="C19" s="57"/>
    </row>
    <row r="20" spans="1:3" x14ac:dyDescent="0.3">
      <c r="A20" s="41" t="s">
        <v>82</v>
      </c>
      <c r="B20" s="41">
        <v>2.6</v>
      </c>
      <c r="C20" s="57"/>
    </row>
    <row r="21" spans="1:3" x14ac:dyDescent="0.3">
      <c r="A21" s="41" t="s">
        <v>23</v>
      </c>
      <c r="B21" s="41">
        <v>3.6</v>
      </c>
      <c r="C21" s="57"/>
    </row>
    <row r="22" spans="1:3" x14ac:dyDescent="0.3">
      <c r="A22" s="41" t="s">
        <v>8</v>
      </c>
      <c r="B22" s="41">
        <v>3.6</v>
      </c>
      <c r="C22" s="57"/>
    </row>
    <row r="23" spans="1:3" x14ac:dyDescent="0.3">
      <c r="A23" s="41" t="s">
        <v>89</v>
      </c>
      <c r="B23" s="41">
        <v>2.9</v>
      </c>
      <c r="C23" s="57"/>
    </row>
    <row r="24" spans="1:3" x14ac:dyDescent="0.3">
      <c r="A24" s="41" t="s">
        <v>71</v>
      </c>
      <c r="B24" s="41">
        <v>3.9</v>
      </c>
      <c r="C24" s="57" t="s">
        <v>99</v>
      </c>
    </row>
    <row r="25" spans="1:3" x14ac:dyDescent="0.3">
      <c r="A25" s="41" t="s">
        <v>98</v>
      </c>
      <c r="B25" s="41">
        <v>2.8</v>
      </c>
      <c r="C25" s="57"/>
    </row>
    <row r="26" spans="1:3" x14ac:dyDescent="0.3">
      <c r="A26" s="41" t="s">
        <v>100</v>
      </c>
      <c r="B26" s="41">
        <v>2.6</v>
      </c>
      <c r="C26" s="57"/>
    </row>
    <row r="27" spans="1:3" x14ac:dyDescent="0.3">
      <c r="A27" s="41" t="s">
        <v>103</v>
      </c>
      <c r="B27" s="41">
        <v>3.6</v>
      </c>
      <c r="C27" s="57" t="s">
        <v>102</v>
      </c>
    </row>
    <row r="28" spans="1:3" x14ac:dyDescent="0.3">
      <c r="A28" s="41" t="s">
        <v>46</v>
      </c>
      <c r="B28" s="41">
        <v>3.9</v>
      </c>
      <c r="C28" s="57"/>
    </row>
    <row r="29" spans="1:3" x14ac:dyDescent="0.3">
      <c r="A29" s="41" t="s">
        <v>111</v>
      </c>
      <c r="B29" s="41">
        <v>3.7</v>
      </c>
      <c r="C29" s="57"/>
    </row>
    <row r="30" spans="1:3" x14ac:dyDescent="0.3">
      <c r="A30" s="41" t="s">
        <v>45</v>
      </c>
      <c r="B30" s="53">
        <v>4</v>
      </c>
      <c r="C30" s="57"/>
    </row>
    <row r="31" spans="1:3" x14ac:dyDescent="0.3">
      <c r="A31" s="41" t="s">
        <v>114</v>
      </c>
      <c r="B31" s="53">
        <v>2.9</v>
      </c>
      <c r="C31" s="57"/>
    </row>
    <row r="32" spans="1:3" ht="28.8" x14ac:dyDescent="0.3">
      <c r="A32" s="41" t="s">
        <v>38</v>
      </c>
      <c r="B32" s="53">
        <v>3.9</v>
      </c>
      <c r="C32" s="57" t="s">
        <v>112</v>
      </c>
    </row>
    <row r="33" spans="1:3" x14ac:dyDescent="0.3">
      <c r="A33" s="50" t="s">
        <v>2</v>
      </c>
      <c r="B33" s="52">
        <f>AVERAGE(B34:B44)</f>
        <v>3.290909090909091</v>
      </c>
      <c r="C33" s="57"/>
    </row>
    <row r="34" spans="1:3" x14ac:dyDescent="0.3">
      <c r="A34" s="41" t="s">
        <v>36</v>
      </c>
      <c r="B34" s="41">
        <v>3.5</v>
      </c>
      <c r="C34" s="57"/>
    </row>
    <row r="35" spans="1:3" x14ac:dyDescent="0.3">
      <c r="A35" s="41" t="s">
        <v>76</v>
      </c>
      <c r="B35" s="41">
        <v>3.4</v>
      </c>
      <c r="C35" s="57"/>
    </row>
    <row r="36" spans="1:3" x14ac:dyDescent="0.3">
      <c r="A36" s="41" t="s">
        <v>26</v>
      </c>
      <c r="B36" s="41">
        <v>3.7</v>
      </c>
      <c r="C36" s="57"/>
    </row>
    <row r="37" spans="1:3" x14ac:dyDescent="0.3">
      <c r="A37" s="41" t="s">
        <v>75</v>
      </c>
      <c r="B37" s="41">
        <v>2.6</v>
      </c>
      <c r="C37" s="57"/>
    </row>
    <row r="38" spans="1:3" x14ac:dyDescent="0.3">
      <c r="A38" s="41" t="s">
        <v>37</v>
      </c>
      <c r="B38" s="41">
        <v>3.8</v>
      </c>
      <c r="C38" s="57"/>
    </row>
    <row r="39" spans="1:3" x14ac:dyDescent="0.3">
      <c r="A39" s="41" t="s">
        <v>97</v>
      </c>
      <c r="B39" s="41">
        <v>2.6</v>
      </c>
      <c r="C39" s="57"/>
    </row>
    <row r="40" spans="1:3" x14ac:dyDescent="0.3">
      <c r="A40" s="41" t="s">
        <v>52</v>
      </c>
      <c r="B40" s="41">
        <v>3.6</v>
      </c>
      <c r="C40" s="57"/>
    </row>
    <row r="41" spans="1:3" x14ac:dyDescent="0.3">
      <c r="A41" s="41" t="s">
        <v>108</v>
      </c>
      <c r="B41" s="41">
        <v>2.6</v>
      </c>
      <c r="C41" s="57"/>
    </row>
    <row r="42" spans="1:3" x14ac:dyDescent="0.3">
      <c r="A42" s="41" t="s">
        <v>110</v>
      </c>
      <c r="B42" s="41">
        <v>3.6</v>
      </c>
      <c r="C42" s="57"/>
    </row>
    <row r="43" spans="1:3" x14ac:dyDescent="0.3">
      <c r="A43" s="41" t="s">
        <v>116</v>
      </c>
      <c r="B43" s="41">
        <v>2.9</v>
      </c>
      <c r="C43" s="57"/>
    </row>
    <row r="44" spans="1:3" x14ac:dyDescent="0.3">
      <c r="A44" s="41" t="s">
        <v>119</v>
      </c>
      <c r="B44" s="41">
        <v>3.9</v>
      </c>
      <c r="C44" s="57"/>
    </row>
    <row r="45" spans="1:3" x14ac:dyDescent="0.3">
      <c r="A45" s="50" t="s">
        <v>87</v>
      </c>
      <c r="B45" s="52">
        <f>AVERAGE(B46:B50)</f>
        <v>3.2800000000000002</v>
      </c>
      <c r="C45" s="57"/>
    </row>
    <row r="46" spans="1:3" x14ac:dyDescent="0.3">
      <c r="A46" s="41" t="s">
        <v>85</v>
      </c>
      <c r="B46" s="41">
        <v>3.6</v>
      </c>
      <c r="C46" s="57" t="s">
        <v>102</v>
      </c>
    </row>
    <row r="47" spans="1:3" x14ac:dyDescent="0.3">
      <c r="A47" s="41" t="s">
        <v>71</v>
      </c>
      <c r="B47" s="41">
        <v>3.3</v>
      </c>
      <c r="C47" s="57" t="s">
        <v>102</v>
      </c>
    </row>
    <row r="48" spans="1:3" x14ac:dyDescent="0.3">
      <c r="A48" s="41" t="s">
        <v>93</v>
      </c>
      <c r="B48" s="41">
        <v>3.2</v>
      </c>
      <c r="C48" s="57"/>
    </row>
    <row r="49" spans="1:3" ht="28.8" x14ac:dyDescent="0.3">
      <c r="A49" s="41" t="s">
        <v>105</v>
      </c>
      <c r="B49" s="41">
        <v>3.9</v>
      </c>
      <c r="C49" s="57" t="s">
        <v>112</v>
      </c>
    </row>
    <row r="50" spans="1:3" x14ac:dyDescent="0.3">
      <c r="A50" s="41" t="s">
        <v>115</v>
      </c>
      <c r="B50" s="41">
        <v>2.4</v>
      </c>
      <c r="C50" s="57"/>
    </row>
    <row r="51" spans="1:3" x14ac:dyDescent="0.3">
      <c r="A51" s="50" t="s">
        <v>4</v>
      </c>
      <c r="B51" s="52">
        <f>AVERAGE(B52:B56)</f>
        <v>3.4200000000000004</v>
      </c>
      <c r="C51" s="57"/>
    </row>
    <row r="52" spans="1:3" x14ac:dyDescent="0.3">
      <c r="A52" s="41" t="s">
        <v>47</v>
      </c>
      <c r="B52" s="41">
        <v>3.6</v>
      </c>
      <c r="C52" s="57"/>
    </row>
    <row r="53" spans="1:3" x14ac:dyDescent="0.3">
      <c r="A53" s="41" t="s">
        <v>91</v>
      </c>
      <c r="B53" s="41">
        <v>3.8</v>
      </c>
      <c r="C53" s="57"/>
    </row>
    <row r="54" spans="1:3" x14ac:dyDescent="0.3">
      <c r="A54" s="41" t="s">
        <v>92</v>
      </c>
      <c r="B54" s="41">
        <v>2.7</v>
      </c>
      <c r="C54" s="57"/>
    </row>
    <row r="55" spans="1:3" x14ac:dyDescent="0.3">
      <c r="A55" s="41" t="s">
        <v>80</v>
      </c>
      <c r="B55" s="41">
        <v>3.3</v>
      </c>
      <c r="C55" s="57"/>
    </row>
    <row r="56" spans="1:3" x14ac:dyDescent="0.3">
      <c r="A56" s="41" t="s">
        <v>79</v>
      </c>
      <c r="B56" s="41">
        <v>3.7</v>
      </c>
      <c r="C56" s="57"/>
    </row>
    <row r="57" spans="1:3" x14ac:dyDescent="0.3">
      <c r="A57" s="50" t="s">
        <v>73</v>
      </c>
      <c r="B57" s="52">
        <f>AVERAGE(B58:B59)</f>
        <v>3.05</v>
      </c>
      <c r="C57" s="57"/>
    </row>
    <row r="58" spans="1:3" x14ac:dyDescent="0.3">
      <c r="A58" s="41" t="s">
        <v>26</v>
      </c>
      <c r="B58" s="41">
        <v>2.7</v>
      </c>
      <c r="C58" s="57"/>
    </row>
    <row r="59" spans="1:3" x14ac:dyDescent="0.3">
      <c r="A59" s="41" t="s">
        <v>84</v>
      </c>
      <c r="B59" s="41">
        <v>3.4</v>
      </c>
      <c r="C59" s="57"/>
    </row>
    <row r="60" spans="1:3" x14ac:dyDescent="0.3">
      <c r="A60" s="41" t="s">
        <v>104</v>
      </c>
      <c r="B60" s="53">
        <v>1</v>
      </c>
      <c r="C60" s="57"/>
    </row>
    <row r="61" spans="1:3" x14ac:dyDescent="0.3">
      <c r="A61" s="50" t="s">
        <v>49</v>
      </c>
      <c r="B61" s="52">
        <f>AVERAGE(B62:B63)</f>
        <v>2.35</v>
      </c>
      <c r="C61" s="57"/>
    </row>
    <row r="62" spans="1:3" x14ac:dyDescent="0.3">
      <c r="A62" s="41" t="s">
        <v>50</v>
      </c>
      <c r="B62" s="41">
        <v>2.5</v>
      </c>
      <c r="C62" s="57"/>
    </row>
    <row r="63" spans="1:3" x14ac:dyDescent="0.3">
      <c r="A63" s="41" t="s">
        <v>106</v>
      </c>
      <c r="B63" s="41">
        <v>2.2000000000000002</v>
      </c>
      <c r="C63" s="57"/>
    </row>
    <row r="64" spans="1:3" x14ac:dyDescent="0.3">
      <c r="A64" s="41" t="s">
        <v>118</v>
      </c>
      <c r="B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54"/>
  <sheetViews>
    <sheetView workbookViewId="0">
      <selection activeCell="D2" sqref="D2:D36"/>
    </sheetView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 x14ac:dyDescent="0.3">
      <c r="A1" s="42" t="s">
        <v>18</v>
      </c>
      <c r="B1" t="s">
        <v>78</v>
      </c>
      <c r="C1" t="s">
        <v>77</v>
      </c>
      <c r="D1" s="58" t="s">
        <v>58</v>
      </c>
    </row>
    <row r="2" spans="1:4" x14ac:dyDescent="0.3">
      <c r="A2" s="43" t="s">
        <v>5</v>
      </c>
      <c r="B2">
        <v>7</v>
      </c>
      <c r="C2">
        <v>2</v>
      </c>
      <c r="D2" s="45">
        <f t="shared" ref="D2:D36" si="0">C2/B2</f>
        <v>0.2857142857142857</v>
      </c>
    </row>
    <row r="3" spans="1:4" x14ac:dyDescent="0.3">
      <c r="A3" s="44" t="s">
        <v>11</v>
      </c>
      <c r="B3">
        <v>3</v>
      </c>
      <c r="C3">
        <v>1</v>
      </c>
      <c r="D3" s="36">
        <f t="shared" si="0"/>
        <v>0.33333333333333331</v>
      </c>
    </row>
    <row r="4" spans="1:4" x14ac:dyDescent="0.3">
      <c r="A4" s="44" t="s">
        <v>90</v>
      </c>
      <c r="B4">
        <v>3</v>
      </c>
      <c r="C4">
        <v>1</v>
      </c>
      <c r="D4" s="36">
        <f t="shared" si="0"/>
        <v>0.33333333333333331</v>
      </c>
    </row>
    <row r="5" spans="1:4" x14ac:dyDescent="0.3">
      <c r="A5" s="44" t="s">
        <v>117</v>
      </c>
      <c r="B5">
        <v>1</v>
      </c>
      <c r="C5">
        <v>0</v>
      </c>
      <c r="D5" s="36">
        <f t="shared" si="0"/>
        <v>0</v>
      </c>
    </row>
    <row r="6" spans="1:4" x14ac:dyDescent="0.3">
      <c r="A6" s="43" t="s">
        <v>3</v>
      </c>
      <c r="B6">
        <v>13</v>
      </c>
      <c r="C6">
        <v>3</v>
      </c>
      <c r="D6" s="45">
        <f t="shared" si="0"/>
        <v>0.23076923076923078</v>
      </c>
    </row>
    <row r="7" spans="1:4" x14ac:dyDescent="0.3">
      <c r="A7" s="44" t="s">
        <v>113</v>
      </c>
      <c r="B7">
        <v>5</v>
      </c>
      <c r="C7">
        <v>0</v>
      </c>
      <c r="D7" s="36">
        <f t="shared" si="0"/>
        <v>0</v>
      </c>
    </row>
    <row r="8" spans="1:4" x14ac:dyDescent="0.3">
      <c r="A8" s="44" t="s">
        <v>86</v>
      </c>
      <c r="B8">
        <v>4</v>
      </c>
      <c r="C8">
        <v>2</v>
      </c>
      <c r="D8" s="36">
        <f t="shared" si="0"/>
        <v>0.5</v>
      </c>
    </row>
    <row r="9" spans="1:4" x14ac:dyDescent="0.3">
      <c r="A9" s="44" t="s">
        <v>109</v>
      </c>
      <c r="B9">
        <v>2</v>
      </c>
      <c r="C9">
        <v>0</v>
      </c>
      <c r="D9" s="36">
        <f t="shared" si="0"/>
        <v>0</v>
      </c>
    </row>
    <row r="10" spans="1:4" x14ac:dyDescent="0.3">
      <c r="A10" s="44" t="s">
        <v>39</v>
      </c>
      <c r="B10">
        <v>1</v>
      </c>
      <c r="C10">
        <v>1</v>
      </c>
      <c r="D10" s="36">
        <f t="shared" si="0"/>
        <v>1</v>
      </c>
    </row>
    <row r="11" spans="1:4" x14ac:dyDescent="0.3">
      <c r="A11" s="44" t="s">
        <v>9</v>
      </c>
      <c r="B11">
        <v>1</v>
      </c>
      <c r="C11">
        <v>0</v>
      </c>
      <c r="D11" s="36">
        <f t="shared" si="0"/>
        <v>0</v>
      </c>
    </row>
    <row r="12" spans="1:4" x14ac:dyDescent="0.3">
      <c r="A12" s="43" t="s">
        <v>6</v>
      </c>
      <c r="B12">
        <v>12</v>
      </c>
      <c r="C12">
        <v>5</v>
      </c>
      <c r="D12" s="45">
        <f t="shared" si="0"/>
        <v>0.41666666666666669</v>
      </c>
    </row>
    <row r="13" spans="1:4" x14ac:dyDescent="0.3">
      <c r="A13" s="44" t="s">
        <v>111</v>
      </c>
      <c r="B13">
        <v>4</v>
      </c>
      <c r="C13">
        <v>0</v>
      </c>
      <c r="D13" s="36">
        <f t="shared" si="0"/>
        <v>0</v>
      </c>
    </row>
    <row r="14" spans="1:4" x14ac:dyDescent="0.3">
      <c r="A14" s="44" t="s">
        <v>45</v>
      </c>
      <c r="B14">
        <v>1</v>
      </c>
      <c r="C14">
        <v>1</v>
      </c>
      <c r="D14" s="36">
        <f t="shared" si="0"/>
        <v>1</v>
      </c>
    </row>
    <row r="15" spans="1:4" x14ac:dyDescent="0.3">
      <c r="A15" s="44" t="s">
        <v>23</v>
      </c>
      <c r="B15">
        <v>1</v>
      </c>
      <c r="C15">
        <v>0</v>
      </c>
      <c r="D15" s="36">
        <f t="shared" si="0"/>
        <v>0</v>
      </c>
    </row>
    <row r="16" spans="1:4" x14ac:dyDescent="0.3">
      <c r="A16" s="44" t="s">
        <v>46</v>
      </c>
      <c r="B16">
        <v>1</v>
      </c>
      <c r="C16">
        <v>1</v>
      </c>
      <c r="D16" s="36">
        <f t="shared" si="0"/>
        <v>1</v>
      </c>
    </row>
    <row r="17" spans="1:4" x14ac:dyDescent="0.3">
      <c r="A17" s="44" t="s">
        <v>114</v>
      </c>
      <c r="B17">
        <v>3</v>
      </c>
      <c r="C17">
        <v>2</v>
      </c>
      <c r="D17" s="36">
        <f t="shared" si="0"/>
        <v>0.66666666666666663</v>
      </c>
    </row>
    <row r="18" spans="1:4" x14ac:dyDescent="0.3">
      <c r="A18" s="44" t="s">
        <v>38</v>
      </c>
      <c r="B18">
        <v>1</v>
      </c>
      <c r="C18">
        <v>1</v>
      </c>
      <c r="D18" s="36">
        <f t="shared" si="0"/>
        <v>1</v>
      </c>
    </row>
    <row r="19" spans="1:4" x14ac:dyDescent="0.3">
      <c r="A19" s="44" t="s">
        <v>103</v>
      </c>
      <c r="B19">
        <v>1</v>
      </c>
      <c r="C19">
        <v>0</v>
      </c>
      <c r="D19" s="36">
        <f t="shared" si="0"/>
        <v>0</v>
      </c>
    </row>
    <row r="20" spans="1:4" x14ac:dyDescent="0.3">
      <c r="A20" s="43" t="s">
        <v>2</v>
      </c>
      <c r="B20">
        <v>10</v>
      </c>
      <c r="C20">
        <v>3</v>
      </c>
      <c r="D20" s="45">
        <f t="shared" si="0"/>
        <v>0.3</v>
      </c>
    </row>
    <row r="21" spans="1:4" x14ac:dyDescent="0.3">
      <c r="A21" s="44" t="s">
        <v>37</v>
      </c>
      <c r="B21">
        <v>1</v>
      </c>
      <c r="C21">
        <v>1</v>
      </c>
      <c r="D21" s="36">
        <f t="shared" si="0"/>
        <v>1</v>
      </c>
    </row>
    <row r="22" spans="1:4" x14ac:dyDescent="0.3">
      <c r="A22" s="44" t="s">
        <v>110</v>
      </c>
      <c r="B22">
        <v>2</v>
      </c>
      <c r="C22">
        <v>0</v>
      </c>
      <c r="D22" s="36">
        <f t="shared" si="0"/>
        <v>0</v>
      </c>
    </row>
    <row r="23" spans="1:4" x14ac:dyDescent="0.3">
      <c r="A23" s="44" t="s">
        <v>76</v>
      </c>
      <c r="B23">
        <v>1</v>
      </c>
      <c r="C23">
        <v>0</v>
      </c>
      <c r="D23" s="36">
        <f t="shared" si="0"/>
        <v>0</v>
      </c>
    </row>
    <row r="24" spans="1:4" x14ac:dyDescent="0.3">
      <c r="A24" s="44" t="s">
        <v>116</v>
      </c>
      <c r="B24">
        <v>2</v>
      </c>
      <c r="C24">
        <v>1</v>
      </c>
      <c r="D24" s="36">
        <f t="shared" si="0"/>
        <v>0.5</v>
      </c>
    </row>
    <row r="25" spans="1:4" x14ac:dyDescent="0.3">
      <c r="A25" s="44" t="s">
        <v>97</v>
      </c>
      <c r="B25">
        <v>1</v>
      </c>
      <c r="C25">
        <v>0</v>
      </c>
      <c r="D25" s="36">
        <f t="shared" si="0"/>
        <v>0</v>
      </c>
    </row>
    <row r="26" spans="1:4" x14ac:dyDescent="0.3">
      <c r="A26" s="44" t="s">
        <v>52</v>
      </c>
      <c r="B26">
        <v>1</v>
      </c>
      <c r="C26">
        <v>0</v>
      </c>
      <c r="D26" s="36">
        <f t="shared" si="0"/>
        <v>0</v>
      </c>
    </row>
    <row r="27" spans="1:4" x14ac:dyDescent="0.3">
      <c r="A27" s="44" t="s">
        <v>119</v>
      </c>
      <c r="B27">
        <v>2</v>
      </c>
      <c r="C27">
        <v>1</v>
      </c>
      <c r="D27" s="36">
        <f t="shared" si="0"/>
        <v>0.5</v>
      </c>
    </row>
    <row r="28" spans="1:4" x14ac:dyDescent="0.3">
      <c r="A28" s="43" t="s">
        <v>87</v>
      </c>
      <c r="B28">
        <v>2</v>
      </c>
      <c r="C28">
        <v>0</v>
      </c>
      <c r="D28" s="45">
        <f t="shared" si="0"/>
        <v>0</v>
      </c>
    </row>
    <row r="29" spans="1:4" x14ac:dyDescent="0.3">
      <c r="A29" s="44" t="s">
        <v>71</v>
      </c>
      <c r="B29">
        <v>1</v>
      </c>
      <c r="C29">
        <v>0</v>
      </c>
      <c r="D29" s="36">
        <f t="shared" si="0"/>
        <v>0</v>
      </c>
    </row>
    <row r="30" spans="1:4" x14ac:dyDescent="0.3">
      <c r="A30" s="44" t="s">
        <v>115</v>
      </c>
      <c r="B30">
        <v>1</v>
      </c>
      <c r="C30">
        <v>0</v>
      </c>
      <c r="D30" s="36">
        <f t="shared" si="0"/>
        <v>0</v>
      </c>
    </row>
    <row r="31" spans="1:4" x14ac:dyDescent="0.3">
      <c r="A31" s="43" t="s">
        <v>49</v>
      </c>
      <c r="B31">
        <v>3</v>
      </c>
      <c r="C31">
        <v>0</v>
      </c>
      <c r="D31" s="45">
        <f t="shared" si="0"/>
        <v>0</v>
      </c>
    </row>
    <row r="32" spans="1:4" x14ac:dyDescent="0.3">
      <c r="A32" s="44" t="s">
        <v>50</v>
      </c>
      <c r="B32">
        <v>2</v>
      </c>
      <c r="C32">
        <v>0</v>
      </c>
      <c r="D32" s="36">
        <f t="shared" si="0"/>
        <v>0</v>
      </c>
    </row>
    <row r="33" spans="1:4" x14ac:dyDescent="0.3">
      <c r="A33" s="44" t="s">
        <v>118</v>
      </c>
      <c r="B33">
        <v>1</v>
      </c>
      <c r="C33">
        <v>0</v>
      </c>
      <c r="D33" s="36">
        <f t="shared" si="0"/>
        <v>0</v>
      </c>
    </row>
    <row r="34" spans="1:4" x14ac:dyDescent="0.3">
      <c r="A34" s="43" t="s">
        <v>4</v>
      </c>
      <c r="B34">
        <v>1</v>
      </c>
      <c r="C34">
        <v>0</v>
      </c>
      <c r="D34" s="45">
        <f t="shared" si="0"/>
        <v>0</v>
      </c>
    </row>
    <row r="35" spans="1:4" x14ac:dyDescent="0.3">
      <c r="A35" s="44" t="s">
        <v>79</v>
      </c>
      <c r="B35">
        <v>1</v>
      </c>
      <c r="C35">
        <v>0</v>
      </c>
      <c r="D35" s="36">
        <f t="shared" si="0"/>
        <v>0</v>
      </c>
    </row>
    <row r="36" spans="1:4" x14ac:dyDescent="0.3">
      <c r="A36" s="43" t="s">
        <v>19</v>
      </c>
      <c r="B36">
        <v>48</v>
      </c>
      <c r="C36">
        <v>13</v>
      </c>
      <c r="D36" s="46">
        <f t="shared" si="0"/>
        <v>0.27083333333333331</v>
      </c>
    </row>
    <row r="37" spans="1:4" x14ac:dyDescent="0.3">
      <c r="D37" s="54"/>
    </row>
    <row r="38" spans="1:4" x14ac:dyDescent="0.3">
      <c r="D38" s="48"/>
    </row>
    <row r="39" spans="1:4" x14ac:dyDescent="0.3">
      <c r="D39" s="48"/>
    </row>
    <row r="40" spans="1:4" x14ac:dyDescent="0.3">
      <c r="D40" s="48"/>
    </row>
    <row r="41" spans="1:4" x14ac:dyDescent="0.3">
      <c r="D41" s="48"/>
    </row>
    <row r="42" spans="1:4" x14ac:dyDescent="0.3">
      <c r="D42" s="54"/>
    </row>
    <row r="43" spans="1:4" x14ac:dyDescent="0.3">
      <c r="D43" s="48"/>
    </row>
    <row r="44" spans="1:4" x14ac:dyDescent="0.3">
      <c r="D44" s="48"/>
    </row>
    <row r="45" spans="1:4" x14ac:dyDescent="0.3">
      <c r="D45" s="48"/>
    </row>
    <row r="46" spans="1:4" x14ac:dyDescent="0.3">
      <c r="D46" s="48"/>
    </row>
    <row r="47" spans="1:4" x14ac:dyDescent="0.3">
      <c r="D47" s="54"/>
    </row>
    <row r="48" spans="1:4" x14ac:dyDescent="0.3">
      <c r="D48" s="48"/>
    </row>
    <row r="49" spans="4:4" x14ac:dyDescent="0.3">
      <c r="D49" s="48"/>
    </row>
    <row r="50" spans="4:4" x14ac:dyDescent="0.3">
      <c r="D50" s="48"/>
    </row>
    <row r="51" spans="4:4" x14ac:dyDescent="0.3">
      <c r="D51" s="54"/>
    </row>
    <row r="52" spans="4:4" x14ac:dyDescent="0.3">
      <c r="D52" s="48"/>
    </row>
    <row r="53" spans="4:4" x14ac:dyDescent="0.3">
      <c r="D53" s="48"/>
    </row>
    <row r="54" spans="4:4" x14ac:dyDescent="0.3">
      <c r="D54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0.27472520353960433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7</v>
      </c>
      <c r="E3" s="36">
        <f t="shared" si="1"/>
        <v>0.3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5.0500000000000007</v>
      </c>
      <c r="H3" s="36">
        <f t="shared" si="2"/>
        <v>0.29698375870069604</v>
      </c>
      <c r="I3" s="36">
        <f>IF(C3&lt;&gt;0,AVERAGEIF('Game Log Season 3'!$C$3:$C$126, "Ryan", 'Game Log Season 3'!$K$3:$K$126),0)</f>
        <v>0.20300000000000007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7.1994999999999996</v>
      </c>
      <c r="L3" s="36">
        <f t="shared" si="3"/>
        <v>0.29006015185879103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0.20924751206541659</v>
      </c>
      <c r="C5">
        <f>COUNTIFS('Game Log Season 3'!$C$3:$C$126, "Manny", 'Game Log Season 3'!$F$3:$F$126, 1)</f>
        <v>3</v>
      </c>
      <c r="D5">
        <f>COUNTIFS('Game Log Season 3'!$C$3:$C$126, "Manny", 'Game Log Season 3'!$F$3:$F$126, 0)</f>
        <v>10</v>
      </c>
      <c r="E5" s="36">
        <f t="shared" si="1"/>
        <v>0.23076923076923078</v>
      </c>
      <c r="F5">
        <f>SUMIFS('Game Log Season 3'!$J$3:$J$126, 'Game Log Season 3'!$C$3:$C$126, "Manny", 'Game Log Season 3'!$F$3:$F$126, 1)</f>
        <v>2.166666666666667</v>
      </c>
      <c r="G5">
        <f>IFERROR((1-(AVERAGEIFS('Game Log Season 3'!$J$3:$J$126, 'Game Log Season 3'!$C$3:$C$126, "Manny", 'Game Log Season 3'!$F$3:$F$126, 0)*-1))*D5,0)</f>
        <v>7.1833333333333327</v>
      </c>
      <c r="H5" s="36">
        <f t="shared" si="2"/>
        <v>0.23172905525846707</v>
      </c>
      <c r="I5" s="36">
        <f>IF(C5&lt;&gt;0,AVERAGEIF('Game Log Season 3'!$C$3:$C$126, "Manny", 'Game Log Season 3'!$K$3:$K$126),0)</f>
        <v>0.14589743589743592</v>
      </c>
      <c r="J5">
        <f>IFERROR((1-(AVERAGEIFS('Game Log Season 3'!$M$3:$M$126, 'Game Log Season 3'!$C$3:$C$126, "Manny", 'Game Log Season 3'!$F$3:$F$126, 1)-0.5))*C5, 0)</f>
        <v>2.7330000000000001</v>
      </c>
      <c r="K5">
        <f>IFERROR((1+(AVERAGEIFS('Game Log Season 3'!$M$3:$M$126, 'Game Log Season 3'!$C$3:$C$126, "Manny", 'Game Log Season 3'!$F$3:$F$126, 0)-0.5))*D5, 0)</f>
        <v>9.6280000000000001</v>
      </c>
      <c r="L5" s="36">
        <f t="shared" si="3"/>
        <v>0.22109861661677857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