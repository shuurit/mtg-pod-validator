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<sst xmlns="http://schemas.openxmlformats.org/spreadsheetml/2006/main" count="923" uniqueCount="188">
  <si>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</si>
  <si>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</si>
  <si>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</si>
  <si>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</si>
  <si>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</si>
  <si>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</si>
  <si>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</si>
  <si>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</si>
  <si>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</si>
  <si>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</si>
  <si>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</si>
  <si>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</si>
  <si>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</si>
  <si>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</si>
  <si>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</si>
  <si>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</si>
  <si>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</si>
  <si>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</si>
  <si>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</si>
  <si>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</si>
  <si>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</si>
  <si>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</si>
  <si>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</si>
  <si>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</si>
  <si>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</si>
  <si>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</si>
  <si>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</si>
  <si>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</si>
  <si>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</si>
  <si>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</si>
  <si>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</si>
  <si>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</si>
  <si>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</si>
  <si>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</si>
  <si>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</si>
  <si>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</si>
  <si>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</si>
  <si>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</si>
  <si>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</si>
  <si>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</si>
  <si>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</si>
  <si>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</si>
  <si>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</si>
  <si>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</si>
  <si>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</si>
  <si>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</si>
  <si>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</si>
  <si>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</si>
  <si>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</si>
  <si>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</si>
  <si>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</si>
  <si>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</si>
  <si>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</si>
  <si>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</si>
  <si>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</si>
  <si>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</si>
  <si>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</si>
  <si>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</si>
  <si>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</si>
  <si>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</si>
  <si>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</si>
  <si>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</si>
  <si>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</si>
  <si>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</si>
  <si>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</si>
  <si>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</si>
  <si>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</si>
  <si>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</si>
  <si>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</si>
  <si>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</si>
  <si>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</si>
  <si>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</si>
  <si>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</si>
  <si>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</si>
  <si>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</si>
  <si>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</si>
  <si>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</si>
  <si>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</si>
  <si>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</si>
  <si>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</si>
  <si>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</si>
  <si>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</si>
  <si>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</si>
  <si>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</si>
  <si>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</si>
  <si>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</si>
  <si>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</si>
  <si>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</si>
  <si>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</si>
  <si>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</si>
  <si>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</si>
  <si>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</si>
  <si>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</si>
  <si>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</si>
  <si>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</si>
  <si>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</si>
  <si>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</si>
  <si>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</si>
  <si>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</si>
  <si>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</si>
  <si>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</si>
  <si>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</si>
  <si>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TestPlayer1</t>
  </si>
  <si>
    <t xml:space="preserve">Test G (THROWAWAY 4a)</t>
  </si>
  <si>
    <t xml:space="preserve">TestPlayer2</t>
  </si>
  <si>
    <t xml:space="preserve">Test H (THROWAWAY 4a)</t>
  </si>
  <si>
    <t xml:space="preserve">Test I (THROWAWAY 4b)</t>
  </si>
  <si>
    <t xml:space="preserve">Test J (THROWAWAY 4b)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</si>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</sst>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 t="n">
        <v>46242</v>
      </c>
      <c r="B58" s="22" t="n">
        <v>16</v>
      </c>
      <c r="C58" s="22" t="s">
        <v>102</v>
      </c>
      <c r="D58" s="22" t="s">
        <v>103</v>
      </c>
      <c r="E58" s="15" t="n">
        <v>3</v>
      </c>
      <c r="F58" s="22" t="n">
        <v>1</v>
      </c>
      <c r="G58" s="22" t="n">
        <v>1</v>
      </c>
      <c r="H58" s="22" t="n">
        <v>2</v>
      </c>
      <c r="I58" s="22" t="n">
        <v>0</v>
      </c>
      <c r="J58" s="22" t="n">
        <f aca="false">F58-(1/H58)</f>
        <v>0.5</v>
      </c>
      <c r="K58" s="22" t="n">
        <f aca="false">((I58-((H58-1)/H58))-(-5/6))/((5-(5/6))-(-5/6))</f>
        <v>0.0666666666666667</v>
      </c>
      <c r="L58" s="22" t="n">
        <f aca="false">E58-((E59)/1)</f>
        <v>0</v>
      </c>
      <c r="M58" s="17" t="n">
        <f aca="false">0.5+(L58*0.09)</f>
        <v>0.5</v>
      </c>
      <c r="N58" s="22" t="n">
        <f aca="false">((H58-(G58-1))/H58)*(IF(I58&lt;&gt;0,(I58+H58)/H58,1))</f>
        <v>1</v>
      </c>
      <c r="O58" s="26" t="n">
        <f aca="false">(N58-(1/6))/(10/6)</f>
        <v>0.5</v>
      </c>
      <c r="P58" s="22" t="n">
        <v>10</v>
      </c>
      <c r="Q58" s="26" t="n">
        <f aca="false">IF(F58=1,(((1-((P58-3)/15))*0.5)+0.5),((P58/18)*0.5))</f>
        <v>0.766666666666667</v>
      </c>
      <c r="R58" s="22" t="n">
        <v>0</v>
      </c>
      <c r="S58" s="22" t="n">
        <v>0</v>
      </c>
      <c r="T58" s="22" t="n">
        <v>0</v>
      </c>
      <c r="U58" s="26" t="n">
        <f aca="false">IFERROR(T58/S58, 1)</f>
        <v>1</v>
      </c>
      <c r="V58" s="27" t="n">
        <v>0</v>
      </c>
      <c r="W58" s="24" t="n">
        <v>3</v>
      </c>
      <c r="X58" s="15" t="n">
        <f aca="false">((O58*0.3)+(Q58*0.175)+(R58*0.175)+(U58*0.175)+((1-V58)*0.175))+W58</f>
        <v>3.63416666666667</v>
      </c>
      <c r="Y58" s="1" t="n">
        <v>999999996</v>
      </c>
    </row>
    <row r="59" customFormat="false" ht="14.25" hidden="false" customHeight="true" outlineLevel="0" collapsed="false">
      <c r="A59" s="40" t="n">
        <v>46242</v>
      </c>
      <c r="B59" s="22" t="n">
        <v>16</v>
      </c>
      <c r="C59" s="22" t="s">
        <v>104</v>
      </c>
      <c r="D59" s="22" t="s">
        <v>105</v>
      </c>
      <c r="E59" s="15" t="n">
        <v>3</v>
      </c>
      <c r="F59" s="22" t="n">
        <v>0</v>
      </c>
      <c r="G59" s="22" t="n">
        <v>2</v>
      </c>
      <c r="H59" s="22" t="n">
        <v>2</v>
      </c>
      <c r="I59" s="22" t="n">
        <v>0</v>
      </c>
      <c r="J59" s="22" t="n">
        <f aca="false">F59-(1/H59)</f>
        <v>-0.5</v>
      </c>
      <c r="K59" s="22" t="n">
        <f aca="false">((I59-((H59-1)/H59))-(-5/6))/((5-(5/6))-(-5/6))</f>
        <v>0.0666666666666667</v>
      </c>
      <c r="L59" s="22" t="n">
        <f aca="false">E59-((E58)/1)</f>
        <v>0</v>
      </c>
      <c r="M59" s="17" t="n">
        <f aca="false">0.5+(L59*0.09)</f>
        <v>0.5</v>
      </c>
      <c r="N59" s="22" t="n">
        <f aca="false">((H59-(G59-1))/H59)*(IF(I59&lt;&gt;0,(I59+H59)/H59,1))</f>
        <v>0.5</v>
      </c>
      <c r="O59" s="26" t="n">
        <f aca="false">(N59-(1/6))/(10/6)</f>
        <v>0.2</v>
      </c>
      <c r="P59" s="22" t="n">
        <v>10</v>
      </c>
      <c r="Q59" s="26" t="n">
        <f aca="false">IF(F59=1,(((1-((P59-3)/15))*0.5)+0.5),((P59/18)*0.5))</f>
        <v>0.277777777777778</v>
      </c>
      <c r="R59" s="22" t="n">
        <v>0</v>
      </c>
      <c r="S59" s="22" t="n">
        <v>0</v>
      </c>
      <c r="T59" s="22" t="n">
        <v>0</v>
      </c>
      <c r="U59" s="26" t="n">
        <f aca="false">IFERROR(T59/S59, 1)</f>
        <v>1</v>
      </c>
      <c r="V59" s="27" t="n">
        <v>0</v>
      </c>
      <c r="W59" s="24" t="n">
        <v>3</v>
      </c>
      <c r="X59" s="15" t="n">
        <f aca="false">((O59*0.3)+(Q59*0.175)+(R59*0.175)+(U59*0.175)+((1-V59)*0.175))+W59</f>
        <v>3.45861111111111</v>
      </c>
      <c r="Y59" s="1" t="n">
        <v>999999996</v>
      </c>
    </row>
    <row r="60" customFormat="false" ht="14.25" hidden="false" customHeight="true" outlineLevel="0" collapsed="false">
      <c r="A60" s="40" t="n">
        <v>46242</v>
      </c>
      <c r="B60" s="22" t="n">
        <v>17</v>
      </c>
      <c r="C60" s="22" t="s">
        <v>102</v>
      </c>
      <c r="D60" s="22" t="s">
        <v>106</v>
      </c>
      <c r="E60" s="15" t="n">
        <v>3</v>
      </c>
      <c r="F60" s="22" t="n">
        <v>1</v>
      </c>
      <c r="G60" s="22" t="n">
        <v>1</v>
      </c>
      <c r="H60" s="22" t="n">
        <v>2</v>
      </c>
      <c r="I60" s="22" t="n">
        <v>0</v>
      </c>
      <c r="J60" s="22" t="n">
        <f aca="false">F60-(1/H60)</f>
        <v>0.5</v>
      </c>
      <c r="K60" s="22" t="n">
        <f aca="false">((I60-((H60-1)/H60))-(-5/6))/((5-(5/6))-(-5/6))</f>
        <v>0.0666666666666667</v>
      </c>
      <c r="L60" s="22" t="n">
        <f aca="false">E60-((E61)/1)</f>
        <v>0</v>
      </c>
      <c r="M60" s="17" t="n">
        <f aca="false">0.5+(L60*0.09)</f>
        <v>0.5</v>
      </c>
      <c r="N60" s="22" t="n">
        <f aca="false">((H60-(G60-1))/H60)*(IF(I60&lt;&gt;0,(I60+H60)/H60,1))</f>
        <v>1</v>
      </c>
      <c r="O60" s="26" t="n">
        <f aca="false">(N60-(1/6))/(10/6)</f>
        <v>0.5</v>
      </c>
      <c r="P60" s="22" t="n">
        <v>10</v>
      </c>
      <c r="Q60" s="26" t="n">
        <f aca="false">IF(F60=1,(((1-((P60-3)/15))*0.5)+0.5),((P60/18)*0.5))</f>
        <v>0.766666666666667</v>
      </c>
      <c r="R60" s="22" t="n">
        <v>0</v>
      </c>
      <c r="S60" s="22" t="n">
        <v>0</v>
      </c>
      <c r="T60" s="22" t="n">
        <v>0</v>
      </c>
      <c r="U60" s="26" t="n">
        <f aca="false">IFERROR(T60/S60, 1)</f>
        <v>1</v>
      </c>
      <c r="V60" s="27" t="n">
        <v>0</v>
      </c>
      <c r="W60" s="24" t="n">
        <v>3</v>
      </c>
      <c r="X60" s="15" t="n">
        <f aca="false">((O60*0.3)+(Q60*0.175)+(R60*0.175)+(U60*0.175)+((1-V60)*0.175))+W60</f>
        <v>3.63416666666667</v>
      </c>
      <c r="Y60" s="1" t="n">
        <v>999999995</v>
      </c>
    </row>
    <row r="61" customFormat="false" ht="14.25" hidden="false" customHeight="true" outlineLevel="0" collapsed="false">
      <c r="A61" s="40" t="n">
        <v>46242</v>
      </c>
      <c r="B61" s="22" t="n">
        <v>17</v>
      </c>
      <c r="C61" s="22" t="s">
        <v>104</v>
      </c>
      <c r="D61" s="22" t="s">
        <v>107</v>
      </c>
      <c r="E61" s="15" t="n">
        <v>3</v>
      </c>
      <c r="F61" s="22" t="n">
        <v>0</v>
      </c>
      <c r="G61" s="22" t="n">
        <v>2</v>
      </c>
      <c r="H61" s="22" t="n">
        <v>2</v>
      </c>
      <c r="I61" s="22" t="n">
        <v>0</v>
      </c>
      <c r="J61" s="22" t="n">
        <f aca="false">F61-(1/H61)</f>
        <v>-0.5</v>
      </c>
      <c r="K61" s="22" t="n">
        <f aca="false">((I61-((H61-1)/H61))-(-5/6))/((5-(5/6))-(-5/6))</f>
        <v>0.0666666666666667</v>
      </c>
      <c r="L61" s="22" t="n">
        <f aca="false">E61-((E60)/1)</f>
        <v>0</v>
      </c>
      <c r="M61" s="17" t="n">
        <f aca="false">0.5+(L61*0.09)</f>
        <v>0.5</v>
      </c>
      <c r="N61" s="22" t="n">
        <f aca="false">((H61-(G61-1))/H61)*(IF(I61&lt;&gt;0,(I61+H61)/H61,1))</f>
        <v>0.5</v>
      </c>
      <c r="O61" s="26" t="n">
        <f aca="false">(N61-(1/6))/(10/6)</f>
        <v>0.2</v>
      </c>
      <c r="P61" s="22" t="n">
        <v>10</v>
      </c>
      <c r="Q61" s="26" t="n">
        <f aca="false">IF(F61=1,(((1-((P61-3)/15))*0.5)+0.5),((P61/18)*0.5))</f>
        <v>0.277777777777778</v>
      </c>
      <c r="R61" s="22" t="n">
        <v>0</v>
      </c>
      <c r="S61" s="22" t="n">
        <v>0</v>
      </c>
      <c r="T61" s="22" t="n">
        <v>0</v>
      </c>
      <c r="U61" s="26" t="n">
        <f aca="false">IFERROR(T61/S61, 1)</f>
        <v>1</v>
      </c>
      <c r="V61" s="27" t="n">
        <v>0</v>
      </c>
      <c r="W61" s="24" t="n">
        <v>3</v>
      </c>
      <c r="X61" s="15" t="n">
        <f aca="false">((O61*0.3)+(Q61*0.175)+(R61*0.175)+(U61*0.175)+((1-V61)*0.175))+W61</f>
        <v>3.45861111111111</v>
      </c>
      <c r="Y61" s="1" t="n">
        <v>999999995</v>
      </c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108</v>
      </c>
      <c r="B1" s="44" t="s">
        <v>109</v>
      </c>
      <c r="C1" s="45"/>
      <c r="D1" s="44" t="s">
        <v>110</v>
      </c>
      <c r="E1" s="46" t="s">
        <v>111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112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113</v>
      </c>
      <c r="D4" s="48" t="n">
        <v>3.7</v>
      </c>
      <c r="E4" s="46" t="s">
        <v>114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115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116</v>
      </c>
      <c r="D7" s="48" t="n">
        <v>2</v>
      </c>
      <c r="E7" s="46" t="s">
        <v>117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118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119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120</v>
      </c>
      <c r="D11" s="48" t="n">
        <v>3.4</v>
      </c>
      <c r="E11" s="46" t="s">
        <v>121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122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113</v>
      </c>
      <c r="D13" s="48" t="n">
        <v>3.5</v>
      </c>
      <c r="E13" s="46" t="s">
        <v>123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124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125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126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127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128</v>
      </c>
    </row>
    <row r="19" customFormat="false" ht="14.25" hidden="false" customHeight="true" outlineLevel="0" collapsed="false">
      <c r="A19" s="48" t="s">
        <v>129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130</v>
      </c>
    </row>
    <row r="20" customFormat="false" ht="14.25" hidden="false" customHeight="true" outlineLevel="0" collapsed="false">
      <c r="A20" s="48" t="s">
        <v>131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132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133</v>
      </c>
      <c r="D21" s="48" t="n">
        <v>3</v>
      </c>
      <c r="E21" s="46" t="s">
        <v>134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135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136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137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138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113</v>
      </c>
      <c r="D27" s="48" t="n">
        <v>3.9</v>
      </c>
      <c r="E27" s="46" t="s">
        <v>139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140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133</v>
      </c>
      <c r="D30" s="48" t="n">
        <v>3.6</v>
      </c>
      <c r="E30" s="46" t="s">
        <v>141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142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143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144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145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146</v>
      </c>
      <c r="D35" s="49" t="n">
        <v>3.9</v>
      </c>
      <c r="E35" s="46" t="s">
        <v>147</v>
      </c>
    </row>
    <row r="36" customFormat="false" ht="14.25" hidden="false" customHeight="true" outlineLevel="0" collapsed="false">
      <c r="A36" s="48" t="s">
        <v>148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149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150</v>
      </c>
    </row>
    <row r="38" customFormat="false" ht="14.25" hidden="false" customHeight="true" outlineLevel="0" collapsed="false">
      <c r="A38" s="48" t="s">
        <v>151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152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153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154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155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156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157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158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159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160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161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162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163</v>
      </c>
    </row>
    <row r="52" customFormat="false" ht="14.25" hidden="false" customHeight="true" outlineLevel="0" collapsed="false">
      <c r="A52" s="48" t="s">
        <v>164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165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166</v>
      </c>
    </row>
    <row r="54" customFormat="false" ht="14.25" hidden="false" customHeight="true" outlineLevel="0" collapsed="false">
      <c r="A54" s="48" t="s">
        <v>167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168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133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133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146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169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170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171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172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173</v>
      </c>
      <c r="B1" s="44" t="s">
        <v>174</v>
      </c>
      <c r="C1" s="44" t="s">
        <v>175</v>
      </c>
      <c r="D1" s="44" t="s">
        <v>176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129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131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148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151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164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167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177</v>
      </c>
      <c r="B1" s="50" t="s">
        <v>178</v>
      </c>
      <c r="C1" s="50" t="s">
        <v>179</v>
      </c>
      <c r="D1" s="50" t="s">
        <v>180</v>
      </c>
      <c r="E1" s="50" t="s">
        <v>176</v>
      </c>
      <c r="F1" s="50" t="s">
        <v>181</v>
      </c>
      <c r="G1" s="50" t="s">
        <v>182</v>
      </c>
      <c r="H1" s="50" t="s">
        <v>183</v>
      </c>
      <c r="I1" s="50" t="s">
        <v>184</v>
      </c>
      <c r="J1" s="50" t="s">
        <v>185</v>
      </c>
      <c r="K1" s="50" t="s">
        <v>186</v>
      </c>
      <c r="L1" s="50" t="s">
        <v>187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2026-08-08T21:42:17Z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